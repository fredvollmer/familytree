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Ancestor Index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Extended Family" sheetId="4" state="visible" r:id="rId4"/>
    <sheet xmlns:r="http://schemas.openxmlformats.org/officeDocument/2006/relationships" name="Household Audit" sheetId="5" state="visible" r:id="rId5"/>
    <sheet xmlns:r="http://schemas.openxmlformats.org/officeDocument/2006/relationships" name="Correction Log" sheetId="6" state="visible" r:id="rId6"/>
    <sheet xmlns:r="http://schemas.openxmlformats.org/officeDocument/2006/relationships" name="Research Gaps" sheetId="7" state="visible" r:id="rId7"/>
    <sheet xmlns:r="http://schemas.openxmlformats.org/officeDocument/2006/relationships" name="Source Key" sheetId="8" state="visible" r:id="rId8"/>
  </sheets>
  <definedNames>
    <definedName name="_xlnm._FilterDatabase" localSheetId="3" hidden="1">'Extended Family'!$A$1:$O$40</definedName>
    <definedName name="_xlnm._FilterDatabase" localSheetId="4" hidden="1">'Household Audit'!$A$1:$G$9</definedName>
    <definedName name="_xlnm._FilterDatabase" localSheetId="5" hidden="1">'Correction Log'!$A$1:$D$8</definedName>
  </definedNames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1"/>
    </font>
    <font>
      <name val="Carlito"/>
      <b val="1"/>
      <color rgb="FF17365D"/>
      <sz val="11"/>
    </font>
    <font>
      <name val="Carlito"/>
      <color rgb="FF000000"/>
      <sz val="11"/>
    </font>
    <font>
      <name val="Carlito"/>
      <b val="1"/>
      <color rgb="FF000000"/>
      <sz val="11"/>
    </font>
    <font>
      <b val="1"/>
      <color rgb="00FFFFFF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F3F6F9"/>
      </patternFill>
    </fill>
    <fill>
      <patternFill patternType="solid">
        <fgColor rgb="0017365D"/>
      </patternFill>
    </fill>
    <fill>
      <patternFill patternType="solid">
        <fgColor rgb="00F4F8FB"/>
      </patternFill>
    </fill>
  </fills>
  <borders count="3">
    <border/>
    <border/>
    <border>
      <bottom style="thin">
        <color rgb="00B7C9D6"/>
      </bottom>
    </border>
  </borders>
  <cellStyleXfs count="1">
    <xf numFmtId="0" fontId="0" fillId="0" borderId="1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4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/>
  </cellStyles>
  <dxfs count="4">
    <dxf>
      <font>
        <b val="1"/>
        <color rgb="FF1B5E20"/>
      </font>
      <fill>
        <patternFill patternType="solid">
          <bgColor rgb="FFC6E0B4"/>
        </patternFill>
      </fill>
    </dxf>
    <dxf>
      <font>
        <b val="1"/>
        <color rgb="FF0D47A1"/>
      </font>
      <fill>
        <patternFill patternType="solid">
          <bgColor rgb="FFDDEB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B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People in the current dataset by branch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People</v>
          </tx>
          <spPr>
            <a:ln xmlns:a="http://schemas.openxmlformats.org/drawingml/2006/main">
              <a:prstDash val="solid"/>
            </a:ln>
          </spPr>
          <cat>
            <strRef>
              <f>'Read Me'!$A$14:$A$21</f>
              <strCache>
                <ptCount val="0"/>
              </strCache>
            </strRef>
          </cat>
          <val>
            <numRef>
              <f>'Read Me'!$B$14:$B$21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12</row>
      <rowOff>0</rowOff>
    </from>
    <to>
      <col>8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ncestorIndexTable" displayName="AncestorIndexTable" ref="A1:R170" headerRowCount="1" totalsRowCount="0" totalsRowShown="0">
  <tableColumns count="18">
    <tableColumn id="1" name="Person ID"/>
    <tableColumn id="2" name="Ahnentafel No."/>
    <tableColumn id="3" name="Generation"/>
    <tableColumn id="4" name="Name"/>
    <tableColumn id="5" name="Sex"/>
    <tableColumn id="6" name="Birth date"/>
    <tableColumn id="7" name="Birth year"/>
    <tableColumn id="8" name="Birth place"/>
    <tableColumn id="9" name="Death date"/>
    <tableColumn id="10" name="Death year"/>
    <tableColumn id="11" name="Death place"/>
    <tableColumn id="12" name="Branch"/>
    <tableColumn id="13" name="Confidence"/>
    <tableColumn id="14" name="Father"/>
    <tableColumn id="15" name="Mother"/>
    <tableColumn id="16" name="Path from Fredric"/>
    <tableColumn id="17" name="Evidence note"/>
    <tableColumn id="18" name="Source 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hipsTable" displayName="RelationshipsTable" ref="A1:I94" headerRowCount="1" totalsRowCount="0" totalsRowShown="0">
  <tableColumns count="9">
    <tableColumn id="1" name="Child ID"/>
    <tableColumn id="2" name="Child"/>
    <tableColumn id="3" name="Generation"/>
    <tableColumn id="4" name="Father ID"/>
    <tableColumn id="5" name="Father"/>
    <tableColumn id="6" name="Mother ID"/>
    <tableColumn id="7" name="Mother"/>
    <tableColumn id="8" name="Relationship confidence"/>
    <tableColumn id="9" name="Source 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rrectedExtendedFamily" displayName="CorrectedExtendedFamily" ref="A1:O40" headerRowCount="1">
  <autoFilter ref="A1:O40"/>
  <tableColumns count="15">
    <tableColumn id="1" name="ID"/>
    <tableColumn id="2" name="Person"/>
    <tableColumn id="3" name="Branch"/>
    <tableColumn id="4" name="Tier"/>
    <tableColumn id="5" name="Relationship to Fredric"/>
    <tableColumn id="6" name="Relationship to Jan"/>
    <tableColumn id="7" name="Spouse / partner"/>
    <tableColumn id="8" name="Parents"/>
    <tableColumn id="9" name="Children in bounded scope"/>
    <tableColumn id="10" name="Status"/>
    <tableColumn id="11" name="Confidence"/>
    <tableColumn id="12" name="Public-record evidence"/>
    <tableColumn id="13" name="Family-document evidence"/>
    <tableColumn id="14" name="Source IDs"/>
    <tableColumn id="1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ouseholdAuditTable" displayName="HouseholdAuditTable" ref="A1:G9" headerRowCount="1">
  <autoFilter ref="A1:G9"/>
  <tableColumns count="7">
    <tableColumn id="1" name="Household"/>
    <tableColumn id="2" name="Branch"/>
    <tableColumn id="3" name="Children at bounded generation"/>
    <tableColumn id="4" name="Audit result"/>
    <tableColumn id="5" name="Confidence"/>
    <tableColumn id="6" name="Source IDs"/>
    <tableColumn id="7" name="Remaining record probl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rrectionLogTable" displayName="CorrectionLogTable" ref="A1:D8" headerRowCount="1">
  <autoFilter ref="A1:D8"/>
  <tableColumns count="4">
    <tableColumn id="1" name="Topic"/>
    <tableColumn id="2" name="Earlier treatment"/>
    <tableColumn id="3" name="Corrected treatment"/>
    <tableColumn id="4" name="Correction 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earchGapsTable" displayName="ResearchGapsTable" ref="A1:E13" headerRowCount="1" totalsRowCount="0" totalsRowShown="0">
  <tableColumns count="5">
    <tableColumn id="1" name="Priority"/>
    <tableColumn id="2" name="Branch / person"/>
    <tableColumn id="3" name="Open question"/>
    <tableColumn id="4" name="Best next record or action"/>
    <tableColumn id="5" name="Why it matte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KeyTable" displayName="SourceKeyTable" ref="A1:E26" headerRowCount="1" totalsRowCount="0" totalsRowShown="0">
  <tableColumns count="5">
    <tableColumn id="1" name="Source ID"/>
    <tableColumn id="2" name="Title"/>
    <tableColumn id="3" name="Type"/>
    <tableColumn id="4" name="URL"/>
    <tableColumn id="5" name="Use / ca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32" customWidth="1" min="4" max="4"/>
    <col width="18" customWidth="1" min="5" max="5"/>
  </cols>
  <sheetData>
    <row r="1" ht="28" customHeight="1">
      <c r="A1" s="42" t="inlineStr">
        <is>
          <t>Maternal Family Tree of Fredric Muller Vollmer — Records-First Corrected Edition</t>
        </is>
      </c>
      <c r="B1" s="41" t="n"/>
      <c r="C1" s="41" t="n"/>
      <c r="D1" s="41" t="n"/>
      <c r="E1" s="41" t="n"/>
      <c r="F1" s="41" t="n"/>
      <c r="G1" s="41" t="n"/>
      <c r="H1" s="41" t="n"/>
    </row>
    <row r="2" ht="28" customHeight="1">
      <c r="A2" s="43" t="inlineStr">
        <is>
          <t>Direct ancestry plus bounded collateral-family audit — 30 August 2026</t>
        </is>
      </c>
      <c r="B2" s="41" t="n"/>
      <c r="C2" s="41" t="n"/>
      <c r="D2" s="41" t="n"/>
      <c r="E2" s="41" t="n"/>
      <c r="F2" s="41" t="n"/>
      <c r="G2" s="41" t="n"/>
      <c r="H2" s="41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</row>
    <row r="4" ht="66" customHeight="1">
      <c r="A4" s="44" t="inlineStr">
        <is>
          <t>Scope: the 169-person direct maternal ancestor register is retained. The corrected collateral extension reconstructs each grandparental household from the parents downward, adds Fredric’s immediate maternal family, and includes Jan’s aunts/uncles and first cousins on both the Muller/Lee and McCormick/Slaughter branches. Children of Jan’s cousins are outside scope. Living dates and private contact details are omitted.</t>
        </is>
      </c>
      <c r="B4" s="41" t="n"/>
      <c r="C4" s="41" t="n"/>
      <c r="D4" s="41" t="n"/>
      <c r="E4" s="41" t="n"/>
      <c r="F4" s="41" t="n"/>
      <c r="G4" s="41" t="n"/>
      <c r="H4" s="41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</row>
    <row r="6">
      <c r="A6" s="45" t="inlineStr">
        <is>
          <t>Confidence</t>
        </is>
      </c>
      <c r="B6" s="45" t="inlineStr">
        <is>
          <t>Meaning</t>
        </is>
      </c>
      <c r="C6" s="39" t="n"/>
      <c r="D6" s="45" t="inlineStr">
        <is>
          <t>Metric</t>
        </is>
      </c>
      <c r="E6" s="45" t="inlineStr">
        <is>
          <t>Value</t>
        </is>
      </c>
      <c r="F6" s="39" t="n"/>
      <c r="G6" s="39" t="n"/>
      <c r="H6" s="39" t="n"/>
    </row>
    <row r="7" ht="44" customHeight="1">
      <c r="A7" s="39" t="inlineStr">
        <is>
          <t>A - Confirmed</t>
        </is>
      </c>
      <c r="B7" s="39" t="inlineStr">
        <is>
          <t>Strong primary/near-primary chain or close family evidence with corroboration</t>
        </is>
      </c>
      <c r="C7" s="39" t="n"/>
      <c r="D7" s="39" t="inlineStr">
        <is>
          <t>People in dataset</t>
        </is>
      </c>
      <c r="E7" s="39" t="n">
        <v>169</v>
      </c>
      <c r="F7" s="39" t="n"/>
      <c r="G7" s="39" t="n"/>
      <c r="H7" s="39" t="n"/>
    </row>
    <row r="8" ht="44" customHeight="1">
      <c r="A8" s="39" t="inlineStr">
        <is>
          <t>B - Strong</t>
        </is>
      </c>
      <c r="B8" s="39" t="inlineStr">
        <is>
          <t>Sourced secondary compilation, court/census/cemetery evidence, or record-referenced profile</t>
        </is>
      </c>
      <c r="C8" s="39" t="n"/>
      <c r="D8" s="39" t="inlineStr">
        <is>
          <t>Maximum generation</t>
        </is>
      </c>
      <c r="E8" s="39" t="n">
        <v>15</v>
      </c>
      <c r="F8" s="39" t="n"/>
      <c r="G8" s="39" t="n"/>
      <c r="H8" s="39" t="n"/>
    </row>
    <row r="9" ht="44" customHeight="1">
      <c r="A9" s="39" t="inlineStr">
        <is>
          <t>C - Provisional</t>
        </is>
      </c>
      <c r="B9" s="39" t="inlineStr">
        <is>
          <t>Family chart or incomplete proof; useful research lead</t>
        </is>
      </c>
      <c r="C9" s="39" t="n"/>
      <c r="D9" s="39" t="inlineStr">
        <is>
          <t>Confirmed (A)</t>
        </is>
      </c>
      <c r="E9" s="39">
        <f>COUNTIF('Ancestor Index'!$M:$M,"A - Confirmed")</f>
        <v/>
      </c>
      <c r="F9" s="39" t="n"/>
      <c r="G9" s="39" t="n"/>
      <c r="H9" s="39" t="n"/>
    </row>
    <row r="10" ht="44" customHeight="1">
      <c r="A10" s="39" t="inlineStr">
        <is>
          <t>D - Traditional / disputed</t>
        </is>
      </c>
      <c r="B10" s="39" t="inlineStr">
        <is>
          <t>Inherited claim or disputed earlier link</t>
        </is>
      </c>
      <c r="C10" s="39" t="n"/>
      <c r="D10" s="39" t="inlineStr">
        <is>
          <t>Strong (B)</t>
        </is>
      </c>
      <c r="E10" s="39">
        <f>COUNTIF('Ancestor Index'!$M:$M,"B - Strong")</f>
        <v/>
      </c>
      <c r="F10" s="39" t="n"/>
      <c r="G10" s="39" t="n"/>
      <c r="H10" s="39" t="n"/>
    </row>
    <row r="11" ht="44" customHeight="1">
      <c r="A11" s="39" t="n"/>
      <c r="B11" s="39" t="n"/>
      <c r="C11" s="39" t="n"/>
      <c r="D11" s="39" t="inlineStr">
        <is>
          <t>Provisional/disputed (C+D)</t>
        </is>
      </c>
      <c r="E11" s="39">
        <f>COUNTIF('Ancestor Index'!$M:$M,"C - Provisional")+COUNTIF('Ancestor Index'!$M:$M,"D - Traditional / disputed")</f>
        <v/>
      </c>
      <c r="F11" s="39" t="n"/>
      <c r="G11" s="39" t="n"/>
      <c r="H11" s="39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>
      <c r="A13" s="45" t="inlineStr">
        <is>
          <t>Branch</t>
        </is>
      </c>
      <c r="B13" s="45" t="inlineStr">
        <is>
          <t>People</t>
        </is>
      </c>
      <c r="C13" s="39" t="n"/>
      <c r="D13" s="39" t="n"/>
      <c r="E13" s="39" t="n"/>
      <c r="F13" s="39" t="n"/>
      <c r="G13" s="39" t="n"/>
      <c r="H13" s="39" t="n"/>
    </row>
    <row r="14">
      <c r="A14" s="39" t="inlineStr">
        <is>
          <t>Root</t>
        </is>
      </c>
      <c r="B14" s="39" t="n">
        <v>3</v>
      </c>
      <c r="C14" s="39" t="n"/>
      <c r="D14" s="39" t="n"/>
      <c r="E14" s="39" t="n"/>
      <c r="F14" s="39" t="n"/>
      <c r="G14" s="39" t="n"/>
      <c r="H14" s="39" t="n"/>
    </row>
    <row r="15">
      <c r="A15" s="39" t="inlineStr">
        <is>
          <t>Muller / Kleitz</t>
        </is>
      </c>
      <c r="B15" s="39" t="n">
        <v>9</v>
      </c>
      <c r="C15" s="39" t="n"/>
      <c r="D15" s="39" t="n"/>
      <c r="E15" s="39" t="n"/>
      <c r="F15" s="39" t="n"/>
      <c r="G15" s="39" t="n"/>
      <c r="H15" s="39" t="n"/>
    </row>
    <row r="16">
      <c r="A16" s="39" t="inlineStr">
        <is>
          <t>Lee / New England</t>
        </is>
      </c>
      <c r="B16" s="39" t="n">
        <v>95</v>
      </c>
      <c r="C16" s="39" t="n"/>
      <c r="D16" s="39" t="n"/>
      <c r="E16" s="39" t="n"/>
      <c r="F16" s="39" t="n"/>
      <c r="G16" s="39" t="n"/>
      <c r="H16" s="39" t="n"/>
    </row>
    <row r="17">
      <c r="A17" s="39" t="inlineStr">
        <is>
          <t>McCormick / O’Brien</t>
        </is>
      </c>
      <c r="B17" s="39" t="n">
        <v>8</v>
      </c>
      <c r="C17" s="39" t="n"/>
      <c r="D17" s="39" t="n"/>
      <c r="E17" s="39" t="n"/>
      <c r="F17" s="39" t="n"/>
      <c r="G17" s="39" t="n"/>
      <c r="H17" s="39" t="n"/>
    </row>
    <row r="18">
      <c r="A18" s="39" t="inlineStr">
        <is>
          <t>Brooks / Field</t>
        </is>
      </c>
      <c r="B18" s="39" t="n">
        <v>10</v>
      </c>
      <c r="C18" s="39" t="n"/>
      <c r="D18" s="39" t="n"/>
      <c r="E18" s="39" t="n"/>
      <c r="F18" s="39" t="n"/>
      <c r="G18" s="39" t="n"/>
      <c r="H18" s="39" t="n"/>
    </row>
    <row r="19">
      <c r="A19" s="39" t="inlineStr">
        <is>
          <t>Slaughter / Bush</t>
        </is>
      </c>
      <c r="B19" s="39" t="n">
        <v>4</v>
      </c>
      <c r="C19" s="39" t="n"/>
      <c r="D19" s="39" t="n"/>
      <c r="E19" s="39" t="n"/>
      <c r="F19" s="39" t="n"/>
      <c r="G19" s="39" t="n"/>
      <c r="H19" s="39" t="n"/>
    </row>
    <row r="20">
      <c r="A20" s="39" t="inlineStr">
        <is>
          <t>Rives / Harrison</t>
        </is>
      </c>
      <c r="B20" s="39" t="n">
        <v>23</v>
      </c>
      <c r="C20" s="39" t="n"/>
      <c r="D20" s="39" t="n"/>
      <c r="E20" s="39" t="n"/>
      <c r="F20" s="39" t="n"/>
      <c r="G20" s="39" t="n"/>
      <c r="H20" s="39" t="n"/>
    </row>
    <row r="21">
      <c r="A21" s="39" t="inlineStr">
        <is>
          <t>Agee / Ford / Bondurant</t>
        </is>
      </c>
      <c r="B21" s="39" t="n">
        <v>17</v>
      </c>
      <c r="C21" s="39" t="n"/>
      <c r="D21" s="39" t="n"/>
      <c r="E21" s="39" t="n"/>
      <c r="F21" s="39" t="n"/>
      <c r="G21" s="39" t="n"/>
      <c r="H21" s="39" t="n"/>
    </row>
    <row r="22">
      <c r="A22" s="39" t="n"/>
      <c r="B22" s="39" t="n"/>
      <c r="C22" s="39" t="n"/>
      <c r="D22" s="39" t="n"/>
      <c r="E22" s="39" t="n"/>
      <c r="F22" s="39" t="n"/>
      <c r="G22" s="39" t="n"/>
      <c r="H22" s="39" t="n"/>
    </row>
    <row r="23">
      <c r="A23" s="46" t="inlineStr">
        <is>
          <t>Collateral audit metric</t>
        </is>
      </c>
      <c r="B23" s="46" t="inlineStr">
        <is>
          <t>Value</t>
        </is>
      </c>
      <c r="C23" s="46" t="n"/>
      <c r="D23" s="46" t="n"/>
      <c r="E23" s="46" t="n"/>
      <c r="F23" s="46" t="n"/>
      <c r="G23" s="46" t="n"/>
      <c r="H23" s="46" t="n"/>
    </row>
    <row r="24">
      <c r="A24" s="39" t="inlineStr">
        <is>
          <t>People in corrected collateral dataset</t>
        </is>
      </c>
      <c r="B24" s="39" t="n">
        <v>39</v>
      </c>
      <c r="C24" s="39" t="n"/>
      <c r="D24" s="39" t="n"/>
      <c r="E24" s="39" t="n"/>
      <c r="F24" s="39" t="n"/>
      <c r="G24" s="39" t="n"/>
      <c r="H24" s="39" t="n"/>
    </row>
    <row r="25">
      <c r="A25" s="39" t="inlineStr">
        <is>
          <t>Households audited</t>
        </is>
      </c>
      <c r="B25" s="39" t="n">
        <v>8</v>
      </c>
      <c r="C25" s="39" t="n"/>
      <c r="D25" s="39" t="n"/>
      <c r="E25" s="39" t="n"/>
      <c r="F25" s="39" t="n"/>
      <c r="G25" s="39" t="n"/>
      <c r="H25" s="39" t="n"/>
    </row>
    <row r="26">
      <c r="A26" s="39" t="inlineStr">
        <is>
          <t>Jan first cousins identified</t>
        </is>
      </c>
      <c r="B26" s="39" t="n">
        <v>12</v>
      </c>
      <c r="C26" s="39" t="n"/>
      <c r="D26" s="39" t="n"/>
      <c r="E26" s="39" t="n"/>
      <c r="F26" s="39" t="n"/>
      <c r="G26" s="39" t="n"/>
      <c r="H26" s="39" t="n"/>
    </row>
    <row r="27">
      <c r="A27" s="39" t="inlineStr">
        <is>
          <t>Fredric maternal first cousins identified through Jan’s sibling line</t>
        </is>
      </c>
      <c r="B27" s="39" t="n">
        <v>0</v>
      </c>
      <c r="C27" s="39" t="n"/>
      <c r="D27" s="39" t="n"/>
      <c r="E27" s="39" t="n"/>
      <c r="F27" s="39" t="n"/>
      <c r="G27" s="39" t="n"/>
      <c r="H27" s="39" t="n"/>
    </row>
    <row r="28">
      <c r="A28" s="39" t="inlineStr">
        <is>
          <t>Unresolved descendant questions</t>
        </is>
      </c>
      <c r="B28" s="39" t="n">
        <v>2</v>
      </c>
      <c r="C28" s="39" t="n"/>
      <c r="D28" s="39" t="n"/>
      <c r="E28" s="39" t="n"/>
      <c r="F28" s="39" t="n"/>
      <c r="G28" s="39" t="n"/>
      <c r="H28" s="39" t="n"/>
    </row>
  </sheetData>
  <mergeCells count="3">
    <mergeCell ref="A4:H4"/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1" customWidth="1" min="4" max="4"/>
    <col width="7" customWidth="1" min="5" max="5"/>
    <col width="18" customWidth="1" min="6" max="6"/>
    <col width="10" customWidth="1" min="7" max="7"/>
    <col width="27" customWidth="1" min="8" max="8"/>
    <col width="18" customWidth="1" min="9" max="9"/>
    <col width="10" customWidth="1" min="10" max="10"/>
    <col width="27" customWidth="1" min="11" max="11"/>
    <col width="25" customWidth="1" min="12" max="12"/>
    <col width="24" customWidth="1" min="13" max="13"/>
    <col width="28" customWidth="1" min="14" max="14"/>
    <col width="28" customWidth="1" min="15" max="15"/>
    <col width="60" customWidth="1" min="16" max="16"/>
    <col width="62" customWidth="1" min="17" max="17"/>
    <col width="18" customWidth="1" min="18" max="18"/>
  </cols>
  <sheetData>
    <row r="1">
      <c r="A1" s="38" t="inlineStr">
        <is>
          <t>Person ID</t>
        </is>
      </c>
      <c r="B1" s="38" t="inlineStr">
        <is>
          <t>Ahnentafel No.</t>
        </is>
      </c>
      <c r="C1" s="38" t="inlineStr">
        <is>
          <t>Generation</t>
        </is>
      </c>
      <c r="D1" s="38" t="inlineStr">
        <is>
          <t>Name</t>
        </is>
      </c>
      <c r="E1" s="38" t="inlineStr">
        <is>
          <t>Sex</t>
        </is>
      </c>
      <c r="F1" s="38" t="inlineStr">
        <is>
          <t>Birth date</t>
        </is>
      </c>
      <c r="G1" s="38" t="inlineStr">
        <is>
          <t>Birth year</t>
        </is>
      </c>
      <c r="H1" s="38" t="inlineStr">
        <is>
          <t>Birth place</t>
        </is>
      </c>
      <c r="I1" s="38" t="inlineStr">
        <is>
          <t>Death date</t>
        </is>
      </c>
      <c r="J1" s="38" t="inlineStr">
        <is>
          <t>Death year</t>
        </is>
      </c>
      <c r="K1" s="38" t="inlineStr">
        <is>
          <t>Death place</t>
        </is>
      </c>
      <c r="L1" s="38" t="inlineStr">
        <is>
          <t>Branch</t>
        </is>
      </c>
      <c r="M1" s="38" t="inlineStr">
        <is>
          <t>Confidence</t>
        </is>
      </c>
      <c r="N1" s="38" t="inlineStr">
        <is>
          <t>Father</t>
        </is>
      </c>
      <c r="O1" s="38" t="inlineStr">
        <is>
          <t>Mother</t>
        </is>
      </c>
      <c r="P1" s="38" t="inlineStr">
        <is>
          <t>Path from Fredric</t>
        </is>
      </c>
      <c r="Q1" s="38" t="inlineStr">
        <is>
          <t>Evidence note</t>
        </is>
      </c>
      <c r="R1" s="38" t="inlineStr">
        <is>
          <t>Source IDs</t>
        </is>
      </c>
    </row>
    <row r="2">
      <c r="A2" s="39" t="inlineStr">
        <is>
          <t>I001</t>
        </is>
      </c>
      <c r="B2" s="39" t="inlineStr">
        <is>
          <t>1</t>
        </is>
      </c>
      <c r="C2" s="39" t="n">
        <v>0</v>
      </c>
      <c r="D2" s="39" t="inlineStr">
        <is>
          <t>Fredric Muller Vollmer</t>
        </is>
      </c>
      <c r="E2" s="39" t="inlineStr">
        <is>
          <t>M</t>
        </is>
      </c>
      <c r="F2" s="39" t="str"/>
      <c r="G2" s="39" t="n"/>
      <c r="H2" s="39" t="str"/>
      <c r="I2" s="39" t="str"/>
      <c r="J2" s="39" t="n"/>
      <c r="K2" s="39" t="str"/>
      <c r="L2" s="39" t="inlineStr">
        <is>
          <t>Root</t>
        </is>
      </c>
      <c r="M2" s="39" t="inlineStr">
        <is>
          <t>A - Confirmed</t>
        </is>
      </c>
      <c r="N2" s="39" t="str"/>
      <c r="O2" s="39" t="inlineStr">
        <is>
          <t>Jan Muller Vollmer</t>
        </is>
      </c>
      <c r="P2" s="39" t="inlineStr">
        <is>
          <t>Fredric Muller Vollmer</t>
        </is>
      </c>
      <c r="Q2" s="39" t="inlineStr">
        <is>
          <t>Living person; dates intentionally omitted.</t>
        </is>
      </c>
      <c r="R2" s="39" t="inlineStr">
        <is>
          <t>S1</t>
        </is>
      </c>
    </row>
    <row r="3">
      <c r="A3" s="39" t="inlineStr">
        <is>
          <t>I002</t>
        </is>
      </c>
      <c r="B3" s="39" t="inlineStr">
        <is>
          <t>3</t>
        </is>
      </c>
      <c r="C3" s="39" t="n">
        <v>1</v>
      </c>
      <c r="D3" s="39" t="inlineStr">
        <is>
          <t>Jan Muller Vollmer</t>
        </is>
      </c>
      <c r="E3" s="39" t="inlineStr">
        <is>
          <t>F</t>
        </is>
      </c>
      <c r="F3" s="39" t="str"/>
      <c r="G3" s="39" t="n"/>
      <c r="H3" s="39" t="str"/>
      <c r="I3" s="39" t="str"/>
      <c r="J3" s="39" t="n"/>
      <c r="K3" s="39" t="str"/>
      <c r="L3" s="39" t="inlineStr">
        <is>
          <t>Root</t>
        </is>
      </c>
      <c r="M3" s="39" t="inlineStr">
        <is>
          <t>A - Confirmed</t>
        </is>
      </c>
      <c r="N3" s="39" t="inlineStr">
        <is>
          <t>Arthur John Muller</t>
        </is>
      </c>
      <c r="O3" s="39" t="inlineStr">
        <is>
          <t>Anne Rives McCormick Muller</t>
        </is>
      </c>
      <c r="P3" s="39" t="inlineStr">
        <is>
          <t>Fredric Muller Vollmer → Jan Muller Vollmer</t>
        </is>
      </c>
      <c r="Q3" s="39" t="inlineStr">
        <is>
          <t>Living person; dates intentionally omitted.</t>
        </is>
      </c>
      <c r="R3" s="39" t="inlineStr">
        <is>
          <t>S1, S2</t>
        </is>
      </c>
    </row>
    <row r="4">
      <c r="A4" s="39" t="inlineStr">
        <is>
          <t>I003</t>
        </is>
      </c>
      <c r="B4" s="39" t="inlineStr">
        <is>
          <t>6</t>
        </is>
      </c>
      <c r="C4" s="39" t="n">
        <v>2</v>
      </c>
      <c r="D4" s="39" t="inlineStr">
        <is>
          <t>Arthur John Muller</t>
        </is>
      </c>
      <c r="E4" s="39" t="inlineStr">
        <is>
          <t>M</t>
        </is>
      </c>
      <c r="F4" s="39" t="inlineStr">
        <is>
          <t>12 May 1925</t>
        </is>
      </c>
      <c r="G4" s="39" t="n">
        <v>1925</v>
      </c>
      <c r="H4" s="39" t="inlineStr">
        <is>
          <t>Detroit, Michigan</t>
        </is>
      </c>
      <c r="I4" s="39" t="inlineStr">
        <is>
          <t>9 Jan 2005</t>
        </is>
      </c>
      <c r="J4" s="39" t="n">
        <v>2005</v>
      </c>
      <c r="K4" s="39" t="inlineStr">
        <is>
          <t>Bellingham, Washington</t>
        </is>
      </c>
      <c r="L4" s="39" t="inlineStr">
        <is>
          <t>Muller / Kleitz</t>
        </is>
      </c>
      <c r="M4" s="39" t="inlineStr">
        <is>
          <t>A - Confirmed</t>
        </is>
      </c>
      <c r="N4" s="39" t="inlineStr">
        <is>
          <t>Arthur Herman Muller</t>
        </is>
      </c>
      <c r="O4" s="39" t="inlineStr">
        <is>
          <t>Elma Anna Lee</t>
        </is>
      </c>
      <c r="P4" s="39" t="inlineStr">
        <is>
          <t>Fredric Muller Vollmer → Jan Muller Vollmer → Arthur John Muller</t>
        </is>
      </c>
      <c r="Q4" s="39" t="inlineStr">
        <is>
          <t>U.S. Army, 1943-1945; Company B, 134th Infantry, 35th Division. Family members called him Art or Opa.</t>
        </is>
      </c>
      <c r="R4" s="39" t="inlineStr">
        <is>
          <t>S2, S5</t>
        </is>
      </c>
    </row>
    <row r="5">
      <c r="A5" s="39" t="inlineStr">
        <is>
          <t>I004</t>
        </is>
      </c>
      <c r="B5" s="39" t="inlineStr">
        <is>
          <t>7</t>
        </is>
      </c>
      <c r="C5" s="39" t="n">
        <v>2</v>
      </c>
      <c r="D5" s="39" t="inlineStr">
        <is>
          <t>Anne Rives McCormick Muller</t>
        </is>
      </c>
      <c r="E5" s="39" t="inlineStr">
        <is>
          <t>F</t>
        </is>
      </c>
      <c r="F5" s="39" t="inlineStr">
        <is>
          <t>30 May 1927</t>
        </is>
      </c>
      <c r="G5" s="39" t="n">
        <v>1927</v>
      </c>
      <c r="H5" s="39" t="str"/>
      <c r="I5" s="39" t="inlineStr">
        <is>
          <t>2016</t>
        </is>
      </c>
      <c r="J5" s="39" t="n">
        <v>2016</v>
      </c>
      <c r="K5" s="39" t="str"/>
      <c r="L5" s="39" t="inlineStr">
        <is>
          <t>Root</t>
        </is>
      </c>
      <c r="M5" s="39" t="inlineStr">
        <is>
          <t>A - Confirmed</t>
        </is>
      </c>
      <c r="N5" s="39" t="inlineStr">
        <is>
          <t>Charles Ellsworth McCormick II</t>
        </is>
      </c>
      <c r="O5" s="39" t="inlineStr">
        <is>
          <t>Eloise A. “Elvie/Elvia” Slaughter McCormick</t>
        </is>
      </c>
      <c r="P5" s="39" t="inlineStr">
        <is>
          <t>Fredric Muller Vollmer → Jan Muller Vollmer → Anne Rives McCormick Muller</t>
        </is>
      </c>
      <c r="Q5" s="39" t="inlineStr">
        <is>
          <t>The 1937 Agee history spells her given name Ann; family usage is Anne.</t>
        </is>
      </c>
      <c r="R5" s="39" t="inlineStr">
        <is>
          <t>S1, S8</t>
        </is>
      </c>
    </row>
    <row r="6">
      <c r="A6" s="39" t="inlineStr">
        <is>
          <t>I006</t>
        </is>
      </c>
      <c r="B6" s="39" t="inlineStr">
        <is>
          <t>13</t>
        </is>
      </c>
      <c r="C6" s="39" t="n">
        <v>3</v>
      </c>
      <c r="D6" s="39" t="inlineStr">
        <is>
          <t>Elma Anna Lee</t>
        </is>
      </c>
      <c r="E6" s="39" t="inlineStr">
        <is>
          <t>F</t>
        </is>
      </c>
      <c r="F6" s="39" t="inlineStr">
        <is>
          <t>14 Jan 1897</t>
        </is>
      </c>
      <c r="G6" s="39" t="n">
        <v>1897</v>
      </c>
      <c r="H6" s="39" t="inlineStr">
        <is>
          <t>Caro, Michigan</t>
        </is>
      </c>
      <c r="I6" s="39" t="inlineStr">
        <is>
          <t>26 Dec 1972</t>
        </is>
      </c>
      <c r="J6" s="39" t="n">
        <v>1972</v>
      </c>
      <c r="K6" s="39" t="inlineStr">
        <is>
          <t>Detroit, Michigan</t>
        </is>
      </c>
      <c r="L6" s="39" t="inlineStr">
        <is>
          <t>Lee / New England</t>
        </is>
      </c>
      <c r="M6" s="39" t="inlineStr">
        <is>
          <t>A - Confirmed</t>
        </is>
      </c>
      <c r="N6" s="39" t="inlineStr">
        <is>
          <t>Elmer Ellsworth Lee</t>
        </is>
      </c>
      <c r="O6" s="39" t="inlineStr">
        <is>
          <t>Mary Wilhelmina Ohmer</t>
        </is>
      </c>
      <c r="P6" s="39" t="inlineStr">
        <is>
          <t>Fredric Muller Vollmer → Jan Muller Vollmer → Arthur John Muller → Elma Anna Lee</t>
        </is>
      </c>
      <c r="Q6" s="39" t="inlineStr">
        <is>
          <t>Called Gramma Muller in family correspondence.</t>
        </is>
      </c>
      <c r="R6" s="39" t="inlineStr">
        <is>
          <t>S2, S3, S24</t>
        </is>
      </c>
    </row>
    <row r="7">
      <c r="A7" s="39" t="inlineStr">
        <is>
          <t>I007</t>
        </is>
      </c>
      <c r="B7" s="39" t="inlineStr">
        <is>
          <t>14</t>
        </is>
      </c>
      <c r="C7" s="39" t="n">
        <v>3</v>
      </c>
      <c r="D7" s="39" t="inlineStr">
        <is>
          <t>Charles Ellsworth McCormick II</t>
        </is>
      </c>
      <c r="E7" s="39" t="inlineStr">
        <is>
          <t>M</t>
        </is>
      </c>
      <c r="F7" s="39" t="inlineStr">
        <is>
          <t>12 Jul 1896</t>
        </is>
      </c>
      <c r="G7" s="39" t="n">
        <v>1896</v>
      </c>
      <c r="H7" s="39" t="inlineStr">
        <is>
          <t>Kentucky</t>
        </is>
      </c>
      <c r="I7" s="39" t="inlineStr">
        <is>
          <t>9 Sep 1978</t>
        </is>
      </c>
      <c r="J7" s="39" t="n">
        <v>1978</v>
      </c>
      <c r="K7" s="39" t="inlineStr">
        <is>
          <t>Asheville, North Carolina</t>
        </is>
      </c>
      <c r="L7" s="39" t="inlineStr">
        <is>
          <t>McCormick / O’Brien</t>
        </is>
      </c>
      <c r="M7" s="39" t="inlineStr">
        <is>
          <t>A - Confirmed</t>
        </is>
      </c>
      <c r="N7" s="39" t="inlineStr">
        <is>
          <t>Charles Ellsworth McCormick I</t>
        </is>
      </c>
      <c r="O7" s="39" t="inlineStr">
        <is>
          <t>Mary Moore Brooks</t>
        </is>
      </c>
      <c r="P7" s="39" t="inlineStr">
        <is>
          <t>Fredric Muller Vollmer → Jan Muller Vollmer → Anne Rives McCormick Muller → Charles Ellsworth McCormick II</t>
        </is>
      </c>
      <c r="Q7" s="39" t="inlineStr">
        <is>
          <t>Known in family correspondence as Daddy Mac.</t>
        </is>
      </c>
      <c r="R7" s="39" t="inlineStr">
        <is>
          <t>S1, S25</t>
        </is>
      </c>
    </row>
    <row r="8">
      <c r="A8" s="39" t="inlineStr">
        <is>
          <t>I005</t>
        </is>
      </c>
      <c r="B8" s="39" t="inlineStr">
        <is>
          <t>12</t>
        </is>
      </c>
      <c r="C8" s="39" t="n">
        <v>3</v>
      </c>
      <c r="D8" s="39" t="inlineStr">
        <is>
          <t>Arthur Herman Muller</t>
        </is>
      </c>
      <c r="E8" s="39" t="inlineStr">
        <is>
          <t>M</t>
        </is>
      </c>
      <c r="F8" s="39" t="inlineStr">
        <is>
          <t>28 Nov 1896</t>
        </is>
      </c>
      <c r="G8" s="39" t="n">
        <v>1896</v>
      </c>
      <c r="H8" s="39" t="inlineStr">
        <is>
          <t>Highland Falls, New York</t>
        </is>
      </c>
      <c r="I8" s="39" t="inlineStr">
        <is>
          <t>1966</t>
        </is>
      </c>
      <c r="J8" s="39" t="n">
        <v>1966</v>
      </c>
      <c r="K8" s="39" t="str"/>
      <c r="L8" s="39" t="inlineStr">
        <is>
          <t>Muller / Kleitz</t>
        </is>
      </c>
      <c r="M8" s="39" t="inlineStr">
        <is>
          <t>B - Strong</t>
        </is>
      </c>
      <c r="N8" s="39" t="inlineStr">
        <is>
          <t>Christian August Vollrath Muller</t>
        </is>
      </c>
      <c r="O8" s="39" t="inlineStr">
        <is>
          <t>Henrietta Kleitz</t>
        </is>
      </c>
      <c r="P8" s="39" t="inlineStr">
        <is>
          <t>Fredric Muller Vollmer → Jan Muller Vollmer → Arthur John Muller → Arthur Herman Muller</t>
        </is>
      </c>
      <c r="Q8" s="39" t="str"/>
      <c r="R8" s="39" t="inlineStr">
        <is>
          <t>S2</t>
        </is>
      </c>
    </row>
    <row r="9">
      <c r="A9" s="39" t="inlineStr">
        <is>
          <t>I008</t>
        </is>
      </c>
      <c r="B9" s="39" t="inlineStr">
        <is>
          <t>15</t>
        </is>
      </c>
      <c r="C9" s="39" t="n">
        <v>3</v>
      </c>
      <c r="D9" s="39" t="inlineStr">
        <is>
          <t>Eloise A. “Elvie/Elvia” Slaughter McCormick</t>
        </is>
      </c>
      <c r="E9" s="39" t="inlineStr">
        <is>
          <t>F</t>
        </is>
      </c>
      <c r="F9" s="39" t="inlineStr">
        <is>
          <t>25 Dec 1903</t>
        </is>
      </c>
      <c r="G9" s="39" t="n">
        <v>1903</v>
      </c>
      <c r="H9" s="39" t="str"/>
      <c r="I9" s="39" t="inlineStr">
        <is>
          <t>1993</t>
        </is>
      </c>
      <c r="J9" s="39" t="n">
        <v>1993</v>
      </c>
      <c r="K9" s="39" t="str"/>
      <c r="L9" s="39" t="inlineStr">
        <is>
          <t>Slaughter / Bush</t>
        </is>
      </c>
      <c r="M9" s="39" t="inlineStr">
        <is>
          <t>A - Confirmed</t>
        </is>
      </c>
      <c r="N9" s="39" t="inlineStr">
        <is>
          <t>Isaac Bush Slaughter Sr.</t>
        </is>
      </c>
      <c r="O9" s="39" t="inlineStr">
        <is>
          <t>Lula Arnelia Rives</t>
        </is>
      </c>
      <c r="P9" s="39" t="inlineStr">
        <is>
          <t>Fredric Muller Vollmer → Jan Muller Vollmer → Anne Rives McCormick Muller → Eloise A. “Elvie/Elvia” Slaughter McCormick</t>
        </is>
      </c>
      <c r="Q9" s="39" t="inlineStr">
        <is>
          <t>Family usage is Eloise; the 1937 Agee history prints Elvie A. and other family material uses Elvia.</t>
        </is>
      </c>
      <c r="R9" s="39" t="inlineStr">
        <is>
          <t>S1, S8</t>
        </is>
      </c>
    </row>
    <row r="10">
      <c r="A10" s="39" t="inlineStr">
        <is>
          <t>I115</t>
        </is>
      </c>
      <c r="B10" s="39" t="inlineStr">
        <is>
          <t>29</t>
        </is>
      </c>
      <c r="C10" s="39" t="n">
        <v>4</v>
      </c>
      <c r="D10" s="39" t="inlineStr">
        <is>
          <t>Mary Moore Brooks</t>
        </is>
      </c>
      <c r="E10" s="39" t="inlineStr">
        <is>
          <t>F</t>
        </is>
      </c>
      <c r="F10" s="39" t="inlineStr">
        <is>
          <t>1874</t>
        </is>
      </c>
      <c r="G10" s="39" t="n">
        <v>1874</v>
      </c>
      <c r="H10" s="39" t="str"/>
      <c r="I10" s="39" t="inlineStr">
        <is>
          <t>1964</t>
        </is>
      </c>
      <c r="J10" s="39" t="n">
        <v>1964</v>
      </c>
      <c r="K10" s="39" t="str"/>
      <c r="L10" s="39" t="inlineStr">
        <is>
          <t>Brooks / Field</t>
        </is>
      </c>
      <c r="M10" s="39" t="inlineStr">
        <is>
          <t>A - Confirmed</t>
        </is>
      </c>
      <c r="N10" s="39" t="inlineStr">
        <is>
          <t>Abram Field Brooks</t>
        </is>
      </c>
      <c r="O10" s="39" t="inlineStr">
        <is>
          <t>Mary P. “Mollie” Moore</t>
        </is>
      </c>
      <c r="P10" s="39" t="inlineStr">
        <is>
          <t>Fredric Muller Vollmer → Jan Muller Vollmer → Anne Rives McCormick Muller → Charles Ellsworth McCormick II → Mary Moore Brooks</t>
        </is>
      </c>
      <c r="Q10" s="39" t="inlineStr">
        <is>
          <t>Known in family correspondence as Mama Mac; associated with Brookland in Bullitt County.</t>
        </is>
      </c>
      <c r="R10" s="39" t="inlineStr">
        <is>
          <t>S3, S17</t>
        </is>
      </c>
    </row>
    <row r="11">
      <c r="A11" s="39" t="inlineStr">
        <is>
          <t>I013</t>
        </is>
      </c>
      <c r="B11" s="39" t="inlineStr">
        <is>
          <t>26</t>
        </is>
      </c>
      <c r="C11" s="39" t="n">
        <v>4</v>
      </c>
      <c r="D11" s="39" t="inlineStr">
        <is>
          <t>Elmer Ellsworth Lee</t>
        </is>
      </c>
      <c r="E11" s="39" t="inlineStr">
        <is>
          <t>M</t>
        </is>
      </c>
      <c r="F11" s="39" t="inlineStr">
        <is>
          <t>about 1863</t>
        </is>
      </c>
      <c r="G11" s="39" t="n">
        <v>1863</v>
      </c>
      <c r="H11" s="39" t="inlineStr">
        <is>
          <t>Michigan</t>
        </is>
      </c>
      <c r="I11" s="39" t="inlineStr">
        <is>
          <t>8 Jul 1941</t>
        </is>
      </c>
      <c r="J11" s="39" t="n">
        <v>1941</v>
      </c>
      <c r="K11" s="39" t="inlineStr">
        <is>
          <t>Detroit, Michigan</t>
        </is>
      </c>
      <c r="L11" s="39" t="inlineStr">
        <is>
          <t>Lee / New England</t>
        </is>
      </c>
      <c r="M11" s="39" t="inlineStr">
        <is>
          <t>B - Strong</t>
        </is>
      </c>
      <c r="N11" s="39" t="inlineStr">
        <is>
          <t>Hubbard Stone Lee</t>
        </is>
      </c>
      <c r="O11" s="39" t="inlineStr">
        <is>
          <t>Sarah M. Willitts</t>
        </is>
      </c>
      <c r="P11" s="39" t="inlineStr">
        <is>
          <t>Fredric Muller Vollmer → Jan Muller Vollmer → Arthur John Muller → Elma Anna Lee → Elmer Ellsworth Lee</t>
        </is>
      </c>
      <c r="Q11" s="39" t="inlineStr">
        <is>
          <t>A same-name Michigan man causes index confusion; the Hubbard Stone Lee family group cites Elmer’s death certificate and names him as Hubbard’s son.</t>
        </is>
      </c>
      <c r="R11" s="39" t="inlineStr">
        <is>
          <t>S2, S3, S6, S24</t>
        </is>
      </c>
    </row>
    <row r="12">
      <c r="A12" s="39" t="inlineStr">
        <is>
          <t>I014</t>
        </is>
      </c>
      <c r="B12" s="39" t="inlineStr">
        <is>
          <t>27</t>
        </is>
      </c>
      <c r="C12" s="39" t="n">
        <v>4</v>
      </c>
      <c r="D12" s="39" t="inlineStr">
        <is>
          <t>Mary Wilhelmina Ohmer</t>
        </is>
      </c>
      <c r="E12" s="39" t="inlineStr">
        <is>
          <t>F</t>
        </is>
      </c>
      <c r="F12" s="39" t="str"/>
      <c r="G12" s="39" t="n"/>
      <c r="H12" s="39" t="str"/>
      <c r="I12" s="39" t="str"/>
      <c r="J12" s="39" t="n"/>
      <c r="K12" s="39" t="str"/>
      <c r="L12" s="39" t="inlineStr">
        <is>
          <t>Lee / New England</t>
        </is>
      </c>
      <c r="M12" s="39" t="inlineStr">
        <is>
          <t>B - Strong</t>
        </is>
      </c>
      <c r="N12" s="39" t="str"/>
      <c r="O12" s="39" t="str"/>
      <c r="P12" s="39" t="inlineStr">
        <is>
          <t>Fredric Muller Vollmer → Jan Muller Vollmer → Arthur John Muller → Elma Anna Lee → Mary Wilhelmina Ohmer</t>
        </is>
      </c>
      <c r="Q12" s="39" t="inlineStr">
        <is>
          <t>Identified as Elma Anna Lee’s mother. Her own parentage remains unresolved.</t>
        </is>
      </c>
      <c r="R12" s="39" t="inlineStr">
        <is>
          <t>S2, S24</t>
        </is>
      </c>
    </row>
    <row r="13">
      <c r="A13" s="39" t="inlineStr">
        <is>
          <t>I114</t>
        </is>
      </c>
      <c r="B13" s="39" t="inlineStr">
        <is>
          <t>28</t>
        </is>
      </c>
      <c r="C13" s="39" t="n">
        <v>4</v>
      </c>
      <c r="D13" s="39" t="inlineStr">
        <is>
          <t>Charles Ellsworth McCormick I</t>
        </is>
      </c>
      <c r="E13" s="39" t="inlineStr">
        <is>
          <t>M</t>
        </is>
      </c>
      <c r="F13" s="39" t="inlineStr">
        <is>
          <t>26 Feb 1862</t>
        </is>
      </c>
      <c r="G13" s="39" t="n">
        <v>1862</v>
      </c>
      <c r="H13" s="39" t="inlineStr">
        <is>
          <t>Shepherdsville, Bullitt County, Kentucky</t>
        </is>
      </c>
      <c r="I13" s="39" t="inlineStr">
        <is>
          <t>1911</t>
        </is>
      </c>
      <c r="J13" s="39" t="n">
        <v>1911</v>
      </c>
      <c r="K13" s="39" t="str"/>
      <c r="L13" s="39" t="inlineStr">
        <is>
          <t>McCormick / O’Brien</t>
        </is>
      </c>
      <c r="M13" s="39" t="inlineStr">
        <is>
          <t>A - Confirmed</t>
        </is>
      </c>
      <c r="N13" s="39" t="inlineStr">
        <is>
          <t>Edward H. McCormick</t>
        </is>
      </c>
      <c r="O13" s="39" t="inlineStr">
        <is>
          <t>Martha Ann “Annie” O’Brien</t>
        </is>
      </c>
      <c r="P13" s="39" t="inlineStr">
        <is>
          <t>Fredric Muller Vollmer → Jan Muller Vollmer → Anne Rives McCormick Muller → Charles Ellsworth McCormick II → Charles Ellsworth McCormick I</t>
        </is>
      </c>
      <c r="Q13" s="39" t="str"/>
      <c r="R13" s="39" t="inlineStr">
        <is>
          <t>S3, S14, S22</t>
        </is>
      </c>
    </row>
    <row r="14">
      <c r="A14" s="39" t="inlineStr">
        <is>
          <t>I009</t>
        </is>
      </c>
      <c r="B14" s="39" t="inlineStr">
        <is>
          <t>24</t>
        </is>
      </c>
      <c r="C14" s="39" t="n">
        <v>4</v>
      </c>
      <c r="D14" s="39" t="inlineStr">
        <is>
          <t>Christian August Vollrath Muller</t>
        </is>
      </c>
      <c r="E14" s="39" t="inlineStr">
        <is>
          <t>M</t>
        </is>
      </c>
      <c r="F14" s="39" t="inlineStr">
        <is>
          <t>about 1866</t>
        </is>
      </c>
      <c r="G14" s="39" t="n">
        <v>1866</v>
      </c>
      <c r="H14" s="39" t="str"/>
      <c r="I14" s="39" t="inlineStr">
        <is>
          <t>1922</t>
        </is>
      </c>
      <c r="J14" s="39" t="n">
        <v>1922</v>
      </c>
      <c r="K14" s="39" t="str"/>
      <c r="L14" s="39" t="inlineStr">
        <is>
          <t>Muller / Kleitz</t>
        </is>
      </c>
      <c r="M14" s="39" t="inlineStr">
        <is>
          <t>C - Provisional</t>
        </is>
      </c>
      <c r="N14" s="39" t="inlineStr">
        <is>
          <t>Lorenz Muller</t>
        </is>
      </c>
      <c r="O14" s="39" t="inlineStr">
        <is>
          <t>Pauline Vollrath</t>
        </is>
      </c>
      <c r="P14" s="39" t="inlineStr">
        <is>
          <t>Fredric Muller Vollmer → Jan Muller Vollmer → Arthur John Muller → Arthur Herman Muller → Christian August Vollrath Muller</t>
        </is>
      </c>
      <c r="Q14" s="39" t="inlineStr">
        <is>
          <t>Name and parentage are from the 1998 family chart; exact dates need original civil/church records.</t>
        </is>
      </c>
      <c r="R14" s="39" t="inlineStr">
        <is>
          <t>S2</t>
        </is>
      </c>
    </row>
    <row r="15">
      <c r="A15" s="39" t="inlineStr">
        <is>
          <t>I010</t>
        </is>
      </c>
      <c r="B15" s="39" t="inlineStr">
        <is>
          <t>25</t>
        </is>
      </c>
      <c r="C15" s="39" t="n">
        <v>4</v>
      </c>
      <c r="D15" s="39" t="inlineStr">
        <is>
          <t>Henrietta Kleitz</t>
        </is>
      </c>
      <c r="E15" s="39" t="inlineStr">
        <is>
          <t>F</t>
        </is>
      </c>
      <c r="F15" s="39" t="inlineStr">
        <is>
          <t>1871</t>
        </is>
      </c>
      <c r="G15" s="39" t="n">
        <v>1871</v>
      </c>
      <c r="H15" s="39" t="inlineStr">
        <is>
          <t>New York, New York</t>
        </is>
      </c>
      <c r="I15" s="39" t="str"/>
      <c r="J15" s="39" t="n"/>
      <c r="K15" s="39" t="str"/>
      <c r="L15" s="39" t="inlineStr">
        <is>
          <t>Muller / Kleitz</t>
        </is>
      </c>
      <c r="M15" s="39" t="inlineStr">
        <is>
          <t>B - Strong</t>
        </is>
      </c>
      <c r="N15" s="39" t="inlineStr">
        <is>
          <t>Lambert Kleitz</t>
        </is>
      </c>
      <c r="O15" s="39" t="inlineStr">
        <is>
          <t>Elizabeth Wüst</t>
        </is>
      </c>
      <c r="P15" s="39" t="inlineStr">
        <is>
          <t>Fredric Muller Vollmer → Jan Muller Vollmer → Arthur John Muller → Arthur Herman Muller → Henrietta Kleitz</t>
        </is>
      </c>
      <c r="Q15" s="39" t="str"/>
      <c r="R15" s="39" t="inlineStr">
        <is>
          <t>S2, S21</t>
        </is>
      </c>
    </row>
    <row r="16">
      <c r="A16" s="39" t="inlineStr">
        <is>
          <t>I131</t>
        </is>
      </c>
      <c r="B16" s="39" t="inlineStr">
        <is>
          <t>31</t>
        </is>
      </c>
      <c r="C16" s="39" t="n">
        <v>4</v>
      </c>
      <c r="D16" s="39" t="inlineStr">
        <is>
          <t>Lula Arnelia Rives</t>
        </is>
      </c>
      <c r="E16" s="39" t="inlineStr">
        <is>
          <t>F</t>
        </is>
      </c>
      <c r="F16" s="39" t="inlineStr">
        <is>
          <t>30/31 Jan 1872</t>
        </is>
      </c>
      <c r="G16" s="39" t="n">
        <v>1872</v>
      </c>
      <c r="H16" s="39" t="inlineStr">
        <is>
          <t>Benton, Lowndes County, Alabama</t>
        </is>
      </c>
      <c r="I16" s="39" t="inlineStr">
        <is>
          <t>2 Sep 1957</t>
        </is>
      </c>
      <c r="J16" s="39" t="n">
        <v>1957</v>
      </c>
      <c r="K16" s="39" t="inlineStr">
        <is>
          <t>Sparks, Maryland</t>
        </is>
      </c>
      <c r="L16" s="39" t="inlineStr">
        <is>
          <t>Rives / Harrison</t>
        </is>
      </c>
      <c r="M16" s="39" t="inlineStr">
        <is>
          <t>A - Confirmed</t>
        </is>
      </c>
      <c r="N16" s="39" t="inlineStr">
        <is>
          <t>Robert Calhoun Rives</t>
        </is>
      </c>
      <c r="O16" s="39" t="inlineStr">
        <is>
          <t>Florence Estelle Agee</t>
        </is>
      </c>
      <c r="P16" s="39" t="inlineStr">
        <is>
          <t>Fredric Muller Vollmer → Jan Muller Vollmer → Anne Rives McCormick Muller → Eloise A. “Elvie/Elvia” Slaughter McCormick → Lula Arnelia Rives</t>
        </is>
      </c>
      <c r="Q16" s="39" t="str"/>
      <c r="R16" s="39" t="inlineStr">
        <is>
          <t>S4, S8, S9</t>
        </is>
      </c>
    </row>
    <row r="17">
      <c r="A17" s="39" t="inlineStr">
        <is>
          <t>I130</t>
        </is>
      </c>
      <c r="B17" s="39" t="inlineStr">
        <is>
          <t>30</t>
        </is>
      </c>
      <c r="C17" s="39" t="n">
        <v>4</v>
      </c>
      <c r="D17" s="39" t="inlineStr">
        <is>
          <t>Isaac Bush Slaughter Sr.</t>
        </is>
      </c>
      <c r="E17" s="39" t="inlineStr">
        <is>
          <t>M</t>
        </is>
      </c>
      <c r="F17" s="39" t="inlineStr">
        <is>
          <t>28 Feb 1857</t>
        </is>
      </c>
      <c r="G17" s="39" t="n">
        <v>1857</v>
      </c>
      <c r="H17" s="39" t="inlineStr">
        <is>
          <t>Perdue Hill, Monroe County, Alabama</t>
        </is>
      </c>
      <c r="I17" s="39" t="inlineStr">
        <is>
          <t>30 Apr 1937</t>
        </is>
      </c>
      <c r="J17" s="39" t="n">
        <v>1937</v>
      </c>
      <c r="K17" s="39" t="inlineStr">
        <is>
          <t>Edinburg, Texas</t>
        </is>
      </c>
      <c r="L17" s="39" t="inlineStr">
        <is>
          <t>Slaughter / Bush</t>
        </is>
      </c>
      <c r="M17" s="39" t="inlineStr">
        <is>
          <t>A - Confirmed</t>
        </is>
      </c>
      <c r="N17" s="39" t="inlineStr">
        <is>
          <t>John Wesley Slaughter</t>
        </is>
      </c>
      <c r="O17" s="39" t="inlineStr">
        <is>
          <t>Sarah C. Bush</t>
        </is>
      </c>
      <c r="P17" s="39" t="inlineStr">
        <is>
          <t>Fredric Muller Vollmer → Jan Muller Vollmer → Anne Rives McCormick Muller → Eloise A. “Elvie/Elvia” Slaughter McCormick → Isaac Bush Slaughter Sr.</t>
        </is>
      </c>
      <c r="Q17" s="39" t="str"/>
      <c r="R17" s="39" t="inlineStr">
        <is>
          <t>S4, S8, S23</t>
        </is>
      </c>
    </row>
    <row r="18">
      <c r="A18" s="39" t="inlineStr">
        <is>
          <t>I136</t>
        </is>
      </c>
      <c r="B18" s="39" t="inlineStr">
        <is>
          <t>63</t>
        </is>
      </c>
      <c r="C18" s="39" t="n">
        <v>5</v>
      </c>
      <c r="D18" s="39" t="inlineStr">
        <is>
          <t>Florence Estelle Agee</t>
        </is>
      </c>
      <c r="E18" s="39" t="inlineStr">
        <is>
          <t>F</t>
        </is>
      </c>
      <c r="F18" s="39" t="inlineStr">
        <is>
          <t>7 Sep 1844</t>
        </is>
      </c>
      <c r="G18" s="39" t="n">
        <v>1844</v>
      </c>
      <c r="H18" s="39" t="inlineStr">
        <is>
          <t>Benton, Lowndes County, Alabama</t>
        </is>
      </c>
      <c r="I18" s="39" t="inlineStr">
        <is>
          <t>10 Dec 1878</t>
        </is>
      </c>
      <c r="J18" s="39" t="n">
        <v>1878</v>
      </c>
      <c r="K18" s="39" t="inlineStr">
        <is>
          <t>Benton, Lowndes County, Alabama</t>
        </is>
      </c>
      <c r="L18" s="39" t="inlineStr">
        <is>
          <t>Agee / Ford / Bondurant</t>
        </is>
      </c>
      <c r="M18" s="39" t="inlineStr">
        <is>
          <t>A - Confirmed</t>
        </is>
      </c>
      <c r="N18" s="39" t="inlineStr">
        <is>
          <t>William Raiford Agee</t>
        </is>
      </c>
      <c r="O18" s="39" t="inlineStr">
        <is>
          <t>Elvina Hill</t>
        </is>
      </c>
      <c r="P18" s="39" t="inlineStr">
        <is>
          <t>Fredric Muller Vollmer → Jan Muller Vollmer → Anne Rives McCormick Muller → Eloise A. “Elvie/Elvia” Slaughter McCormick → Lula Arnelia Rives → Florence Estelle Agee</t>
        </is>
      </c>
      <c r="Q18" s="39" t="str"/>
      <c r="R18" s="39" t="inlineStr">
        <is>
          <t>S4, S8, S9</t>
        </is>
      </c>
    </row>
    <row r="19">
      <c r="A19" s="39" t="inlineStr">
        <is>
          <t>I120</t>
        </is>
      </c>
      <c r="B19" s="39" t="inlineStr">
        <is>
          <t>58</t>
        </is>
      </c>
      <c r="C19" s="39" t="n">
        <v>5</v>
      </c>
      <c r="D19" s="39" t="inlineStr">
        <is>
          <t>Abram Field Brooks</t>
        </is>
      </c>
      <c r="E19" s="39" t="inlineStr">
        <is>
          <t>M</t>
        </is>
      </c>
      <c r="F19" s="39" t="inlineStr">
        <is>
          <t>1844</t>
        </is>
      </c>
      <c r="G19" s="39" t="n">
        <v>1844</v>
      </c>
      <c r="H19" s="39" t="str"/>
      <c r="I19" s="39" t="inlineStr">
        <is>
          <t>1892</t>
        </is>
      </c>
      <c r="J19" s="39" t="n">
        <v>1892</v>
      </c>
      <c r="K19" s="39" t="str"/>
      <c r="L19" s="39" t="inlineStr">
        <is>
          <t>Brooks / Field</t>
        </is>
      </c>
      <c r="M19" s="39" t="inlineStr">
        <is>
          <t>B - Strong</t>
        </is>
      </c>
      <c r="N19" s="39" t="inlineStr">
        <is>
          <t>Solomon Neal Brooks</t>
        </is>
      </c>
      <c r="O19" s="39" t="inlineStr">
        <is>
          <t>Elizabeth Field</t>
        </is>
      </c>
      <c r="P19" s="39" t="inlineStr">
        <is>
          <t>Fredric Muller Vollmer → Jan Muller Vollmer → Anne Rives McCormick Muller → Charles Ellsworth McCormick II → Mary Moore Brooks → Abram Field Brooks</t>
        </is>
      </c>
      <c r="Q19" s="39" t="str"/>
      <c r="R19" s="39" t="inlineStr">
        <is>
          <t>S17</t>
        </is>
      </c>
    </row>
    <row r="20">
      <c r="A20" s="39" t="inlineStr">
        <is>
          <t>I121</t>
        </is>
      </c>
      <c r="B20" s="39" t="inlineStr">
        <is>
          <t>59</t>
        </is>
      </c>
      <c r="C20" s="39" t="n">
        <v>5</v>
      </c>
      <c r="D20" s="39" t="inlineStr">
        <is>
          <t>Mary P. “Mollie” Moore</t>
        </is>
      </c>
      <c r="E20" s="39" t="inlineStr">
        <is>
          <t>F</t>
        </is>
      </c>
      <c r="F20" s="39" t="inlineStr">
        <is>
          <t>1852</t>
        </is>
      </c>
      <c r="G20" s="39" t="n">
        <v>1852</v>
      </c>
      <c r="H20" s="39" t="str"/>
      <c r="I20" s="39" t="inlineStr">
        <is>
          <t>1940</t>
        </is>
      </c>
      <c r="J20" s="39" t="n">
        <v>1940</v>
      </c>
      <c r="K20" s="39" t="str"/>
      <c r="L20" s="39" t="inlineStr">
        <is>
          <t>Brooks / Field</t>
        </is>
      </c>
      <c r="M20" s="39" t="inlineStr">
        <is>
          <t>B - Strong</t>
        </is>
      </c>
      <c r="N20" s="39" t="str"/>
      <c r="O20" s="39" t="str"/>
      <c r="P20" s="39" t="inlineStr">
        <is>
          <t>Fredric Muller Vollmer → Jan Muller Vollmer → Anne Rives McCormick Muller → Charles Ellsworth McCormick II → Mary Moore Brooks → Mary P. “Mollie” Moore</t>
        </is>
      </c>
      <c r="Q20" s="39" t="inlineStr">
        <is>
          <t>Raised at Mound Grove near Arkansas Post. Her parents remain unresolved.</t>
        </is>
      </c>
      <c r="R20" s="39" t="inlineStr">
        <is>
          <t>S17</t>
        </is>
      </c>
    </row>
    <row r="21">
      <c r="A21" s="39" t="inlineStr">
        <is>
          <t>I022</t>
        </is>
      </c>
      <c r="B21" s="39" t="inlineStr">
        <is>
          <t>52</t>
        </is>
      </c>
      <c r="C21" s="39" t="n">
        <v>5</v>
      </c>
      <c r="D21" s="39" t="inlineStr">
        <is>
          <t>Hubbard Stone Lee</t>
        </is>
      </c>
      <c r="E21" s="39" t="inlineStr">
        <is>
          <t>M</t>
        </is>
      </c>
      <c r="F21" s="39" t="inlineStr">
        <is>
          <t>6 Jul 1822</t>
        </is>
      </c>
      <c r="G21" s="39" t="n">
        <v>1822</v>
      </c>
      <c r="H21" s="39" t="inlineStr">
        <is>
          <t>Connecticut</t>
        </is>
      </c>
      <c r="I21" s="39" t="inlineStr">
        <is>
          <t>22 Apr 1901</t>
        </is>
      </c>
      <c r="J21" s="39" t="n">
        <v>1901</v>
      </c>
      <c r="K21" s="39" t="inlineStr">
        <is>
          <t>Bloomfield, Oakland County, Michigan</t>
        </is>
      </c>
      <c r="L21" s="39" t="inlineStr">
        <is>
          <t>Lee / New England</t>
        </is>
      </c>
      <c r="M21" s="39" t="inlineStr">
        <is>
          <t>B - Strong</t>
        </is>
      </c>
      <c r="N21" s="39" t="inlineStr">
        <is>
          <t>Elon Lee</t>
        </is>
      </c>
      <c r="O21" s="39" t="inlineStr">
        <is>
          <t>Grace Stone</t>
        </is>
      </c>
      <c r="P21" s="39" t="inlineStr">
        <is>
          <t>Fredric Muller Vollmer → Jan Muller Vollmer → Arthur John Muller → Elma Anna Lee → Elmer Ellsworth Lee → Hubbard Stone Lee</t>
        </is>
      </c>
      <c r="Q21" s="39" t="str"/>
      <c r="R21" s="39" t="inlineStr">
        <is>
          <t>S6, S7</t>
        </is>
      </c>
    </row>
    <row r="22">
      <c r="A22" s="39" t="inlineStr">
        <is>
          <t>I023</t>
        </is>
      </c>
      <c r="B22" s="39" t="inlineStr">
        <is>
          <t>53</t>
        </is>
      </c>
      <c r="C22" s="39" t="n">
        <v>5</v>
      </c>
      <c r="D22" s="39" t="inlineStr">
        <is>
          <t>Sarah M. Willitts</t>
        </is>
      </c>
      <c r="E22" s="39" t="inlineStr">
        <is>
          <t>F</t>
        </is>
      </c>
      <c r="F22" s="39" t="inlineStr">
        <is>
          <t>1831</t>
        </is>
      </c>
      <c r="G22" s="39" t="n">
        <v>1831</v>
      </c>
      <c r="H22" s="39" t="inlineStr">
        <is>
          <t>Birmingham, Oakland County, Michigan</t>
        </is>
      </c>
      <c r="I22" s="39" t="inlineStr">
        <is>
          <t>1913</t>
        </is>
      </c>
      <c r="J22" s="39" t="n">
        <v>1913</v>
      </c>
      <c r="K22" s="39" t="str"/>
      <c r="L22" s="39" t="inlineStr">
        <is>
          <t>Lee / New England</t>
        </is>
      </c>
      <c r="M22" s="39" t="inlineStr">
        <is>
          <t>B - Strong</t>
        </is>
      </c>
      <c r="N22" s="39" t="str"/>
      <c r="O22" s="39" t="str"/>
      <c r="P22" s="39" t="inlineStr">
        <is>
          <t>Fredric Muller Vollmer → Jan Muller Vollmer → Arthur John Muller → Elma Anna Lee → Elmer Ellsworth Lee → Sarah M. Willitts</t>
        </is>
      </c>
      <c r="Q22" s="39" t="inlineStr">
        <is>
          <t>Her parents remain unresolved in this research pass.</t>
        </is>
      </c>
      <c r="R22" s="39" t="inlineStr">
        <is>
          <t>S6, S7</t>
        </is>
      </c>
    </row>
    <row r="23">
      <c r="A23" s="39" t="inlineStr">
        <is>
          <t>I116</t>
        </is>
      </c>
      <c r="B23" s="39" t="inlineStr">
        <is>
          <t>56</t>
        </is>
      </c>
      <c r="C23" s="39" t="n">
        <v>5</v>
      </c>
      <c r="D23" s="39" t="inlineStr">
        <is>
          <t>Edward H. McCormick</t>
        </is>
      </c>
      <c r="E23" s="39" t="inlineStr">
        <is>
          <t>M</t>
        </is>
      </c>
      <c r="F23" s="39" t="inlineStr">
        <is>
          <t>1838</t>
        </is>
      </c>
      <c r="G23" s="39" t="n">
        <v>1838</v>
      </c>
      <c r="H23" s="39" t="str"/>
      <c r="I23" s="39" t="inlineStr">
        <is>
          <t>1871</t>
        </is>
      </c>
      <c r="J23" s="39" t="n">
        <v>1871</v>
      </c>
      <c r="K23" s="39" t="str"/>
      <c r="L23" s="39" t="inlineStr">
        <is>
          <t>McCormick / O’Brien</t>
        </is>
      </c>
      <c r="M23" s="39" t="inlineStr">
        <is>
          <t>A - Confirmed</t>
        </is>
      </c>
      <c r="N23" s="39" t="inlineStr">
        <is>
          <t>Charles McCormick</t>
        </is>
      </c>
      <c r="O23" s="39" t="inlineStr">
        <is>
          <t>Elizabeth (surname unknown) McCormick</t>
        </is>
      </c>
      <c r="P23" s="39" t="inlineStr">
        <is>
          <t>Fredric Muller Vollmer → Jan Muller Vollmer → Anne Rives McCormick Muller → Charles Ellsworth McCormick II → Charles Ellsworth McCormick I → Edward H. McCormick</t>
        </is>
      </c>
      <c r="Q23" s="39" t="str"/>
      <c r="R23" s="39" t="inlineStr">
        <is>
          <t>S14, S15, S16</t>
        </is>
      </c>
    </row>
    <row r="24">
      <c r="A24" s="39" t="inlineStr">
        <is>
          <t>I117</t>
        </is>
      </c>
      <c r="B24" s="39" t="inlineStr">
        <is>
          <t>57</t>
        </is>
      </c>
      <c r="C24" s="39" t="n">
        <v>5</v>
      </c>
      <c r="D24" s="39" t="inlineStr">
        <is>
          <t>Martha Ann “Annie” O’Brien</t>
        </is>
      </c>
      <c r="E24" s="39" t="inlineStr">
        <is>
          <t>F</t>
        </is>
      </c>
      <c r="F24" s="39" t="inlineStr">
        <is>
          <t>1841</t>
        </is>
      </c>
      <c r="G24" s="39" t="n">
        <v>1841</v>
      </c>
      <c r="H24" s="39" t="str"/>
      <c r="I24" s="39" t="inlineStr">
        <is>
          <t>1889</t>
        </is>
      </c>
      <c r="J24" s="39" t="n">
        <v>1889</v>
      </c>
      <c r="K24" s="39" t="str"/>
      <c r="L24" s="39" t="inlineStr">
        <is>
          <t>McCormick / O’Brien</t>
        </is>
      </c>
      <c r="M24" s="39" t="inlineStr">
        <is>
          <t>A - Confirmed</t>
        </is>
      </c>
      <c r="N24" s="39" t="inlineStr">
        <is>
          <t>Christopher O’Brien</t>
        </is>
      </c>
      <c r="O24" s="39" t="inlineStr">
        <is>
          <t>Sophronia Simmons</t>
        </is>
      </c>
      <c r="P24" s="39" t="inlineStr">
        <is>
          <t>Fredric Muller Vollmer → Jan Muller Vollmer → Anne Rives McCormick Muller → Charles Ellsworth McCormick II → Charles Ellsworth McCormick I → Martha Ann “Annie” O’Brien</t>
        </is>
      </c>
      <c r="Q24" s="39" t="inlineStr">
        <is>
          <t>Also recorded as Anna O’Brian/O’Brien.</t>
        </is>
      </c>
      <c r="R24" s="39" t="inlineStr">
        <is>
          <t>S14, S16</t>
        </is>
      </c>
    </row>
    <row r="25">
      <c r="A25" s="39" t="inlineStr">
        <is>
          <t>I020</t>
        </is>
      </c>
      <c r="B25" s="39" t="inlineStr">
        <is>
          <t>51</t>
        </is>
      </c>
      <c r="C25" s="39" t="n">
        <v>5</v>
      </c>
      <c r="D25" s="39" t="inlineStr">
        <is>
          <t>Elizabeth Wüst</t>
        </is>
      </c>
      <c r="E25" s="39" t="inlineStr">
        <is>
          <t>F</t>
        </is>
      </c>
      <c r="F25" s="39" t="inlineStr">
        <is>
          <t>1837</t>
        </is>
      </c>
      <c r="G25" s="39" t="n">
        <v>1837</v>
      </c>
      <c r="H25" s="39" t="inlineStr">
        <is>
          <t>Bavaria</t>
        </is>
      </c>
      <c r="I25" s="39" t="inlineStr">
        <is>
          <t>about 1907</t>
        </is>
      </c>
      <c r="J25" s="39" t="n">
        <v>1907</v>
      </c>
      <c r="K25" s="39" t="str"/>
      <c r="L25" s="39" t="inlineStr">
        <is>
          <t>Muller / Kleitz</t>
        </is>
      </c>
      <c r="M25" s="39" t="inlineStr">
        <is>
          <t>B - Strong</t>
        </is>
      </c>
      <c r="N25" s="39" t="inlineStr">
        <is>
          <t>Jacob Wüst</t>
        </is>
      </c>
      <c r="O25" s="39" t="str"/>
      <c r="P25" s="39" t="inlineStr">
        <is>
          <t>Fredric Muller Vollmer → Jan Muller Vollmer → Arthur John Muller → Arthur Herman Muller → Henrietta Kleitz → Elizabeth Wüst</t>
        </is>
      </c>
      <c r="Q25" s="39" t="inlineStr">
        <is>
          <t>Surname also rendered Wust/Wuest in indexes.</t>
        </is>
      </c>
      <c r="R25" s="39" t="inlineStr">
        <is>
          <t>S2, S21</t>
        </is>
      </c>
    </row>
    <row r="26">
      <c r="A26" s="39" t="inlineStr">
        <is>
          <t>I019</t>
        </is>
      </c>
      <c r="B26" s="39" t="inlineStr">
        <is>
          <t>50</t>
        </is>
      </c>
      <c r="C26" s="39" t="n">
        <v>5</v>
      </c>
      <c r="D26" s="39" t="inlineStr">
        <is>
          <t>Lambert Kleitz</t>
        </is>
      </c>
      <c r="E26" s="39" t="inlineStr">
        <is>
          <t>M</t>
        </is>
      </c>
      <c r="F26" s="39" t="inlineStr">
        <is>
          <t>1840</t>
        </is>
      </c>
      <c r="G26" s="39" t="n">
        <v>1840</v>
      </c>
      <c r="H26" s="39" t="inlineStr">
        <is>
          <t>Alsace, France</t>
        </is>
      </c>
      <c r="I26" s="39" t="str"/>
      <c r="J26" s="39" t="n"/>
      <c r="K26" s="39" t="str"/>
      <c r="L26" s="39" t="inlineStr">
        <is>
          <t>Muller / Kleitz</t>
        </is>
      </c>
      <c r="M26" s="39" t="inlineStr">
        <is>
          <t>B - Strong</t>
        </is>
      </c>
      <c r="N26" s="39" t="str"/>
      <c r="O26" s="39" t="str"/>
      <c r="P26" s="39" t="inlineStr">
        <is>
          <t>Fredric Muller Vollmer → Jan Muller Vollmer → Arthur John Muller → Arthur Herman Muller → Henrietta Kleitz → Lambert Kleitz</t>
        </is>
      </c>
      <c r="Q26" s="39" t="inlineStr">
        <is>
          <t>Married Elizabeth Wüst in New York in 1860; listed as a builder/carpenter.</t>
        </is>
      </c>
      <c r="R26" s="39" t="inlineStr">
        <is>
          <t>S2, S21</t>
        </is>
      </c>
    </row>
    <row r="27">
      <c r="A27" s="39" t="inlineStr">
        <is>
          <t>I017</t>
        </is>
      </c>
      <c r="B27" s="39" t="inlineStr">
        <is>
          <t>48</t>
        </is>
      </c>
      <c r="C27" s="39" t="n">
        <v>5</v>
      </c>
      <c r="D27" s="39" t="inlineStr">
        <is>
          <t>Lorenz Muller</t>
        </is>
      </c>
      <c r="E27" s="39" t="inlineStr">
        <is>
          <t>M</t>
        </is>
      </c>
      <c r="F27" s="39" t="str"/>
      <c r="G27" s="39" t="n"/>
      <c r="H27" s="39" t="str"/>
      <c r="I27" s="39" t="str"/>
      <c r="J27" s="39" t="n"/>
      <c r="K27" s="39" t="str"/>
      <c r="L27" s="39" t="inlineStr">
        <is>
          <t>Muller / Kleitz</t>
        </is>
      </c>
      <c r="M27" s="39" t="inlineStr">
        <is>
          <t>C - Provisional</t>
        </is>
      </c>
      <c r="N27" s="39" t="str"/>
      <c r="O27" s="39" t="str"/>
      <c r="P27" s="39" t="inlineStr">
        <is>
          <t>Fredric Muller Vollmer → Jan Muller Vollmer → Arthur John Muller → Arthur Herman Muller → Christian August Vollrath Muller → Lorenz Muller</t>
        </is>
      </c>
      <c r="Q27" s="39" t="inlineStr">
        <is>
          <t>Named on the 1998 family chart; no independent record located in this research pass.</t>
        </is>
      </c>
      <c r="R27" s="39" t="inlineStr">
        <is>
          <t>S2</t>
        </is>
      </c>
    </row>
    <row r="28">
      <c r="A28" s="39" t="inlineStr">
        <is>
          <t>I018</t>
        </is>
      </c>
      <c r="B28" s="39" t="inlineStr">
        <is>
          <t>49</t>
        </is>
      </c>
      <c r="C28" s="39" t="n">
        <v>5</v>
      </c>
      <c r="D28" s="39" t="inlineStr">
        <is>
          <t>Pauline Vollrath</t>
        </is>
      </c>
      <c r="E28" s="39" t="inlineStr">
        <is>
          <t>F</t>
        </is>
      </c>
      <c r="F28" s="39" t="str"/>
      <c r="G28" s="39" t="n"/>
      <c r="H28" s="39" t="str"/>
      <c r="I28" s="39" t="str"/>
      <c r="J28" s="39" t="n"/>
      <c r="K28" s="39" t="str"/>
      <c r="L28" s="39" t="inlineStr">
        <is>
          <t>Muller / Kleitz</t>
        </is>
      </c>
      <c r="M28" s="39" t="inlineStr">
        <is>
          <t>C - Provisional</t>
        </is>
      </c>
      <c r="N28" s="39" t="str"/>
      <c r="O28" s="39" t="str"/>
      <c r="P28" s="39" t="inlineStr">
        <is>
          <t>Fredric Muller Vollmer → Jan Muller Vollmer → Arthur John Muller → Arthur Herman Muller → Christian August Vollrath Muller → Pauline Vollrath</t>
        </is>
      </c>
      <c r="Q28" s="39" t="inlineStr">
        <is>
          <t>Named on the 1998 family chart; no independent record located in this research pass.</t>
        </is>
      </c>
      <c r="R28" s="39" t="inlineStr">
        <is>
          <t>S2</t>
        </is>
      </c>
    </row>
    <row r="29">
      <c r="A29" s="39" t="inlineStr">
        <is>
          <t>I135</t>
        </is>
      </c>
      <c r="B29" s="39" t="inlineStr">
        <is>
          <t>62</t>
        </is>
      </c>
      <c r="C29" s="39" t="n">
        <v>5</v>
      </c>
      <c r="D29" s="39" t="inlineStr">
        <is>
          <t>Robert Calhoun Rives</t>
        </is>
      </c>
      <c r="E29" s="39" t="inlineStr">
        <is>
          <t>M</t>
        </is>
      </c>
      <c r="F29" s="39" t="inlineStr">
        <is>
          <t>9 Nov 1842</t>
        </is>
      </c>
      <c r="G29" s="39" t="n">
        <v>1842</v>
      </c>
      <c r="H29" s="39" t="inlineStr">
        <is>
          <t>Benton, Lowndes County, Alabama</t>
        </is>
      </c>
      <c r="I29" s="39" t="inlineStr">
        <is>
          <t>16 May 1885</t>
        </is>
      </c>
      <c r="J29" s="39" t="n">
        <v>1885</v>
      </c>
      <c r="K29" s="39" t="inlineStr">
        <is>
          <t>Benton, Lowndes County, Alabama</t>
        </is>
      </c>
      <c r="L29" s="39" t="inlineStr">
        <is>
          <t>Rives / Harrison</t>
        </is>
      </c>
      <c r="M29" s="39" t="inlineStr">
        <is>
          <t>A - Confirmed</t>
        </is>
      </c>
      <c r="N29" s="39" t="inlineStr">
        <is>
          <t>Robert Rives</t>
        </is>
      </c>
      <c r="O29" s="39" t="inlineStr">
        <is>
          <t>Amelia Harrison</t>
        </is>
      </c>
      <c r="P29" s="39" t="inlineStr">
        <is>
          <t>Fredric Muller Vollmer → Jan Muller Vollmer → Anne Rives McCormick Muller → Eloise A. “Elvie/Elvia” Slaughter McCormick → Lula Arnelia Rives → Robert Calhoun Rives</t>
        </is>
      </c>
      <c r="Q29" s="39" t="inlineStr">
        <is>
          <t>The DAR worksheet appears to type March; pension-derived research supports 16 May 1885.</t>
        </is>
      </c>
      <c r="R29" s="39" t="inlineStr">
        <is>
          <t>S4, S9</t>
        </is>
      </c>
    </row>
    <row r="30">
      <c r="A30" s="39" t="inlineStr">
        <is>
          <t>I133</t>
        </is>
      </c>
      <c r="B30" s="39" t="inlineStr">
        <is>
          <t>60</t>
        </is>
      </c>
      <c r="C30" s="39" t="n">
        <v>5</v>
      </c>
      <c r="D30" s="39" t="inlineStr">
        <is>
          <t>John Wesley Slaughter</t>
        </is>
      </c>
      <c r="E30" s="39" t="inlineStr">
        <is>
          <t>M</t>
        </is>
      </c>
      <c r="F30" s="39" t="str"/>
      <c r="G30" s="39" t="n"/>
      <c r="H30" s="39" t="str"/>
      <c r="I30" s="39" t="str"/>
      <c r="J30" s="39" t="n"/>
      <c r="K30" s="39" t="str"/>
      <c r="L30" s="39" t="inlineStr">
        <is>
          <t>Slaughter / Bush</t>
        </is>
      </c>
      <c r="M30" s="39" t="inlineStr">
        <is>
          <t>B - Strong</t>
        </is>
      </c>
      <c r="N30" s="39" t="str"/>
      <c r="O30" s="39" t="str"/>
      <c r="P30" s="39" t="inlineStr">
        <is>
          <t>Fredric Muller Vollmer → Jan Muller Vollmer → Anne Rives McCormick Muller → Eloise A. “Elvie/Elvia” Slaughter McCormick → Isaac Bush Slaughter Sr. → John Wesley Slaughter</t>
        </is>
      </c>
      <c r="Q30" s="39" t="str"/>
      <c r="R30" s="39" t="inlineStr">
        <is>
          <t>S23</t>
        </is>
      </c>
    </row>
    <row r="31">
      <c r="A31" s="39" t="inlineStr">
        <is>
          <t>I134</t>
        </is>
      </c>
      <c r="B31" s="39" t="inlineStr">
        <is>
          <t>61</t>
        </is>
      </c>
      <c r="C31" s="39" t="n">
        <v>5</v>
      </c>
      <c r="D31" s="39" t="inlineStr">
        <is>
          <t>Sarah C. Bush</t>
        </is>
      </c>
      <c r="E31" s="39" t="inlineStr">
        <is>
          <t>F</t>
        </is>
      </c>
      <c r="F31" s="39" t="str"/>
      <c r="G31" s="39" t="n"/>
      <c r="H31" s="39" t="str"/>
      <c r="I31" s="39" t="str"/>
      <c r="J31" s="39" t="n"/>
      <c r="K31" s="39" t="str"/>
      <c r="L31" s="39" t="inlineStr">
        <is>
          <t>Slaughter / Bush</t>
        </is>
      </c>
      <c r="M31" s="39" t="inlineStr">
        <is>
          <t>B - Strong</t>
        </is>
      </c>
      <c r="N31" s="39" t="str"/>
      <c r="O31" s="39" t="str"/>
      <c r="P31" s="39" t="inlineStr">
        <is>
          <t>Fredric Muller Vollmer → Jan Muller Vollmer → Anne Rives McCormick Muller → Eloise A. “Elvie/Elvia” Slaughter McCormick → Isaac Bush Slaughter Sr. → Sarah C. Bush</t>
        </is>
      </c>
      <c r="Q31" s="39" t="str"/>
      <c r="R31" s="39" t="inlineStr">
        <is>
          <t>S23</t>
        </is>
      </c>
    </row>
    <row r="32">
      <c r="A32" s="39" t="inlineStr">
        <is>
          <t>I155</t>
        </is>
      </c>
      <c r="B32" s="39" t="inlineStr">
        <is>
          <t>127</t>
        </is>
      </c>
      <c r="C32" s="39" t="n">
        <v>6</v>
      </c>
      <c r="D32" s="39" t="inlineStr">
        <is>
          <t>Elvina Hill</t>
        </is>
      </c>
      <c r="E32" s="39" t="inlineStr">
        <is>
          <t>F</t>
        </is>
      </c>
      <c r="F32" s="39" t="str"/>
      <c r="G32" s="39" t="n"/>
      <c r="H32" s="39" t="str"/>
      <c r="I32" s="39" t="str"/>
      <c r="J32" s="39" t="n"/>
      <c r="K32" s="39" t="str"/>
      <c r="L32" s="39" t="inlineStr">
        <is>
          <t>Agee / Ford / Bondurant</t>
        </is>
      </c>
      <c r="M32" s="39" t="inlineStr">
        <is>
          <t>B - Strong</t>
        </is>
      </c>
      <c r="N32" s="39" t="inlineStr">
        <is>
          <t>William Hill</t>
        </is>
      </c>
      <c r="O32" s="39" t="str"/>
      <c r="P32" s="39" t="inlineStr">
        <is>
          <t>Fredric Muller Vollmer → Jan Muller Vollmer → Anne Rives McCormick Muller → Eloise A. “Elvie/Elvia” Slaughter McCormick → Lula Arnelia Rives → Florence Estelle Agee → Elvina Hill</t>
        </is>
      </c>
      <c r="Q32" s="39" t="str"/>
      <c r="R32" s="39" t="inlineStr">
        <is>
          <t>S8</t>
        </is>
      </c>
    </row>
    <row r="33">
      <c r="A33" s="39" t="inlineStr">
        <is>
          <t>I154</t>
        </is>
      </c>
      <c r="B33" s="39" t="inlineStr">
        <is>
          <t>126</t>
        </is>
      </c>
      <c r="C33" s="39" t="n">
        <v>6</v>
      </c>
      <c r="D33" s="39" t="inlineStr">
        <is>
          <t>William Raiford Agee</t>
        </is>
      </c>
      <c r="E33" s="39" t="inlineStr">
        <is>
          <t>M</t>
        </is>
      </c>
      <c r="F33" s="39" t="inlineStr">
        <is>
          <t>13 Aug 1806</t>
        </is>
      </c>
      <c r="G33" s="39" t="n">
        <v>1806</v>
      </c>
      <c r="H33" s="39" t="inlineStr">
        <is>
          <t>Buckingham County, Virginia</t>
        </is>
      </c>
      <c r="I33" s="39" t="inlineStr">
        <is>
          <t>31 Aug 1870</t>
        </is>
      </c>
      <c r="J33" s="39" t="n">
        <v>1870</v>
      </c>
      <c r="K33" s="39" t="inlineStr">
        <is>
          <t>Alabama</t>
        </is>
      </c>
      <c r="L33" s="39" t="inlineStr">
        <is>
          <t>Agee / Ford / Bondurant</t>
        </is>
      </c>
      <c r="M33" s="39" t="inlineStr">
        <is>
          <t>B - Strong</t>
        </is>
      </c>
      <c r="N33" s="39" t="inlineStr">
        <is>
          <t>Noah Agee</t>
        </is>
      </c>
      <c r="O33" s="39" t="inlineStr">
        <is>
          <t>Martha Mask</t>
        </is>
      </c>
      <c r="P33" s="39" t="inlineStr">
        <is>
          <t>Fredric Muller Vollmer → Jan Muller Vollmer → Anne Rives McCormick Muller → Eloise A. “Elvie/Elvia” Slaughter McCormick → Lula Arnelia Rives → Florence Estelle Agee → William Raiford Agee</t>
        </is>
      </c>
      <c r="Q33" s="39" t="str"/>
      <c r="R33" s="39" t="inlineStr">
        <is>
          <t>S8</t>
        </is>
      </c>
    </row>
    <row r="34">
      <c r="A34" s="39" t="inlineStr">
        <is>
          <t>I123</t>
        </is>
      </c>
      <c r="B34" s="39" t="inlineStr">
        <is>
          <t>117</t>
        </is>
      </c>
      <c r="C34" s="39" t="n">
        <v>6</v>
      </c>
      <c r="D34" s="39" t="inlineStr">
        <is>
          <t>Elizabeth Field</t>
        </is>
      </c>
      <c r="E34" s="39" t="inlineStr">
        <is>
          <t>F</t>
        </is>
      </c>
      <c r="F34" s="39" t="inlineStr">
        <is>
          <t>about 1827</t>
        </is>
      </c>
      <c r="G34" s="39" t="n">
        <v>1827</v>
      </c>
      <c r="H34" s="39" t="str"/>
      <c r="I34" s="39" t="inlineStr">
        <is>
          <t>1 May 1905</t>
        </is>
      </c>
      <c r="J34" s="39" t="n">
        <v>1905</v>
      </c>
      <c r="K34" s="39" t="str"/>
      <c r="L34" s="39" t="inlineStr">
        <is>
          <t>Brooks / Field</t>
        </is>
      </c>
      <c r="M34" s="39" t="inlineStr">
        <is>
          <t>B - Strong</t>
        </is>
      </c>
      <c r="N34" s="39" t="inlineStr">
        <is>
          <t>Abram Field</t>
        </is>
      </c>
      <c r="O34" s="39" t="inlineStr">
        <is>
          <t>Elizabeth Simmons (probable)</t>
        </is>
      </c>
      <c r="P34" s="39" t="inlineStr">
        <is>
          <t>Fredric Muller Vollmer → Jan Muller Vollmer → Anne Rives McCormick Muller → Charles Ellsworth McCormick II → Mary Moore Brooks → Abram Field Brooks → Elizabeth Field</t>
        </is>
      </c>
      <c r="Q34" s="39" t="str"/>
      <c r="R34" s="39" t="inlineStr">
        <is>
          <t>S17</t>
        </is>
      </c>
    </row>
    <row r="35">
      <c r="A35" s="39" t="inlineStr">
        <is>
          <t>I122</t>
        </is>
      </c>
      <c r="B35" s="39" t="inlineStr">
        <is>
          <t>116</t>
        </is>
      </c>
      <c r="C35" s="39" t="n">
        <v>6</v>
      </c>
      <c r="D35" s="39" t="inlineStr">
        <is>
          <t>Solomon Neal Brooks</t>
        </is>
      </c>
      <c r="E35" s="39" t="inlineStr">
        <is>
          <t>M</t>
        </is>
      </c>
      <c r="F35" s="39" t="inlineStr">
        <is>
          <t>18 Mar 1818</t>
        </is>
      </c>
      <c r="G35" s="39" t="n">
        <v>1818</v>
      </c>
      <c r="H35" s="39" t="str"/>
      <c r="I35" s="39" t="inlineStr">
        <is>
          <t>1890</t>
        </is>
      </c>
      <c r="J35" s="39" t="n">
        <v>1890</v>
      </c>
      <c r="K35" s="39" t="str"/>
      <c r="L35" s="39" t="inlineStr">
        <is>
          <t>Brooks / Field</t>
        </is>
      </c>
      <c r="M35" s="39" t="inlineStr">
        <is>
          <t>B - Strong</t>
        </is>
      </c>
      <c r="N35" s="39" t="inlineStr">
        <is>
          <t>Joseph Anderson Brooks</t>
        </is>
      </c>
      <c r="O35" s="39" t="str"/>
      <c r="P35" s="39" t="inlineStr">
        <is>
          <t>Fredric Muller Vollmer → Jan Muller Vollmer → Anne Rives McCormick Muller → Charles Ellsworth McCormick II → Mary Moore Brooks → Abram Field Brooks → Solomon Neal Brooks</t>
        </is>
      </c>
      <c r="Q35" s="39" t="inlineStr">
        <is>
          <t>A county biography calls his mother “Miss Miles”; his father’s will names wife Rebecca, and other compiled material suggests Cordelia Standiford. Mother not assigned because the evidence conflicts.</t>
        </is>
      </c>
      <c r="R35" s="39" t="inlineStr">
        <is>
          <t>S17, S18</t>
        </is>
      </c>
    </row>
    <row r="36">
      <c r="A36" s="39" t="inlineStr">
        <is>
          <t>I024</t>
        </is>
      </c>
      <c r="B36" s="39" t="inlineStr">
        <is>
          <t>104</t>
        </is>
      </c>
      <c r="C36" s="39" t="n">
        <v>6</v>
      </c>
      <c r="D36" s="39" t="inlineStr">
        <is>
          <t>Elon Lee</t>
        </is>
      </c>
      <c r="E36" s="39" t="inlineStr">
        <is>
          <t>M</t>
        </is>
      </c>
      <c r="F36" s="39" t="inlineStr">
        <is>
          <t>12 Mar 1786</t>
        </is>
      </c>
      <c r="G36" s="39" t="n">
        <v>1786</v>
      </c>
      <c r="H36" s="39" t="inlineStr">
        <is>
          <t>Guilford, New Haven County, Connecticut</t>
        </is>
      </c>
      <c r="I36" s="39" t="inlineStr">
        <is>
          <t>22 Dec 1856</t>
        </is>
      </c>
      <c r="J36" s="39" t="n">
        <v>1856</v>
      </c>
      <c r="K36" s="39" t="inlineStr">
        <is>
          <t>Guilford, New Haven County, Connecticut</t>
        </is>
      </c>
      <c r="L36" s="39" t="inlineStr">
        <is>
          <t>Lee / New England</t>
        </is>
      </c>
      <c r="M36" s="39" t="inlineStr">
        <is>
          <t>B - Strong</t>
        </is>
      </c>
      <c r="N36" s="39" t="inlineStr">
        <is>
          <t>William Lee</t>
        </is>
      </c>
      <c r="O36" s="39" t="inlineStr">
        <is>
          <t>Eunice Hotchkiss</t>
        </is>
      </c>
      <c r="P36" s="39" t="inlineStr">
        <is>
          <t>Fredric Muller Vollmer → Jan Muller Vollmer → Arthur John Muller → Elma Anna Lee → Elmer Ellsworth Lee → Hubbard Stone Lee → Elon Lee</t>
        </is>
      </c>
      <c r="Q36" s="39" t="str"/>
      <c r="R36" s="39" t="inlineStr">
        <is>
          <t>S7</t>
        </is>
      </c>
    </row>
    <row r="37">
      <c r="A37" s="39" t="inlineStr">
        <is>
          <t>I025</t>
        </is>
      </c>
      <c r="B37" s="39" t="inlineStr">
        <is>
          <t>105</t>
        </is>
      </c>
      <c r="C37" s="39" t="n">
        <v>6</v>
      </c>
      <c r="D37" s="39" t="inlineStr">
        <is>
          <t>Grace Stone</t>
        </is>
      </c>
      <c r="E37" s="39" t="inlineStr">
        <is>
          <t>F</t>
        </is>
      </c>
      <c r="F37" s="39" t="inlineStr">
        <is>
          <t>27 Apr 1788</t>
        </is>
      </c>
      <c r="G37" s="39" t="n">
        <v>1788</v>
      </c>
      <c r="H37" s="39" t="inlineStr">
        <is>
          <t>Guilford, New Haven County, Connecticut</t>
        </is>
      </c>
      <c r="I37" s="39" t="inlineStr">
        <is>
          <t>18 May 1847</t>
        </is>
      </c>
      <c r="J37" s="39" t="n">
        <v>1847</v>
      </c>
      <c r="K37" s="39" t="inlineStr">
        <is>
          <t>Guilford, New Haven County, Connecticut</t>
        </is>
      </c>
      <c r="L37" s="39" t="inlineStr">
        <is>
          <t>Lee / New England</t>
        </is>
      </c>
      <c r="M37" s="39" t="inlineStr">
        <is>
          <t>B - Strong</t>
        </is>
      </c>
      <c r="N37" s="39" t="inlineStr">
        <is>
          <t>John Evarts Stone</t>
        </is>
      </c>
      <c r="O37" s="39" t="inlineStr">
        <is>
          <t>Eunice Goldsmith</t>
        </is>
      </c>
      <c r="P37" s="39" t="inlineStr">
        <is>
          <t>Fredric Muller Vollmer → Jan Muller Vollmer → Arthur John Muller → Elma Anna Lee → Elmer Ellsworth Lee → Hubbard Stone Lee → Grace Stone</t>
        </is>
      </c>
      <c r="Q37" s="39" t="str"/>
      <c r="R37" s="39" t="inlineStr">
        <is>
          <t>S7</t>
        </is>
      </c>
    </row>
    <row r="38">
      <c r="A38" s="39" t="inlineStr">
        <is>
          <t>I118</t>
        </is>
      </c>
      <c r="B38" s="39" t="inlineStr">
        <is>
          <t>112</t>
        </is>
      </c>
      <c r="C38" s="39" t="n">
        <v>6</v>
      </c>
      <c r="D38" s="39" t="inlineStr">
        <is>
          <t>Charles McCormick</t>
        </is>
      </c>
      <c r="E38" s="39" t="inlineStr">
        <is>
          <t>M</t>
        </is>
      </c>
      <c r="F38" s="39" t="inlineStr">
        <is>
          <t>about 1802</t>
        </is>
      </c>
      <c r="G38" s="39" t="n">
        <v>1802</v>
      </c>
      <c r="H38" s="39" t="inlineStr">
        <is>
          <t>Kentucky or Virginia</t>
        </is>
      </c>
      <c r="I38" s="39" t="str"/>
      <c r="J38" s="39" t="n"/>
      <c r="K38" s="39" t="str"/>
      <c r="L38" s="39" t="inlineStr">
        <is>
          <t>McCormick / O’Brien</t>
        </is>
      </c>
      <c r="M38" s="39" t="inlineStr">
        <is>
          <t>B - Strong</t>
        </is>
      </c>
      <c r="N38" s="39" t="str"/>
      <c r="O38" s="39" t="str"/>
      <c r="P38" s="39" t="inlineStr">
        <is>
          <t>Fredric Muller Vollmer → Jan Muller Vollmer → Anne Rives McCormick Muller → Charles Ellsworth McCormick II → Charles Ellsworth McCormick I → Edward H. McCormick → Charles McCormick</t>
        </is>
      </c>
      <c r="Q38" s="39" t="inlineStr">
        <is>
          <t>Age 48 and a forgeman in the 1850 Bullitt County census.</t>
        </is>
      </c>
      <c r="R38" s="39" t="inlineStr">
        <is>
          <t>S15</t>
        </is>
      </c>
    </row>
    <row r="39">
      <c r="A39" s="39" t="inlineStr">
        <is>
          <t>I124</t>
        </is>
      </c>
      <c r="B39" s="39" t="inlineStr">
        <is>
          <t>114</t>
        </is>
      </c>
      <c r="C39" s="39" t="n">
        <v>6</v>
      </c>
      <c r="D39" s="39" t="inlineStr">
        <is>
          <t>Christopher O’Brien</t>
        </is>
      </c>
      <c r="E39" s="39" t="inlineStr">
        <is>
          <t>M</t>
        </is>
      </c>
      <c r="F39" s="39" t="inlineStr">
        <is>
          <t>about 1815</t>
        </is>
      </c>
      <c r="G39" s="39" t="n">
        <v>1815</v>
      </c>
      <c r="H39" s="39" t="str"/>
      <c r="I39" s="39" t="str"/>
      <c r="J39" s="39" t="n"/>
      <c r="K39" s="39" t="str"/>
      <c r="L39" s="39" t="inlineStr">
        <is>
          <t>McCormick / O’Brien</t>
        </is>
      </c>
      <c r="M39" s="39" t="inlineStr">
        <is>
          <t>B - Strong</t>
        </is>
      </c>
      <c r="N39" s="39" t="str"/>
      <c r="O39" s="39" t="str"/>
      <c r="P39" s="39" t="inlineStr">
        <is>
          <t>Fredric Muller Vollmer → Jan Muller Vollmer → Anne Rives McCormick Muller → Charles Ellsworth McCormick II → Charles Ellsworth McCormick I → Martha Ann “Annie” O’Brien → Christopher O’Brien</t>
        </is>
      </c>
      <c r="Q39" s="39" t="str"/>
      <c r="R39" s="39" t="inlineStr">
        <is>
          <t>S14</t>
        </is>
      </c>
    </row>
    <row r="40">
      <c r="A40" s="39" t="inlineStr">
        <is>
          <t>I119</t>
        </is>
      </c>
      <c r="B40" s="39" t="inlineStr">
        <is>
          <t>113</t>
        </is>
      </c>
      <c r="C40" s="39" t="n">
        <v>6</v>
      </c>
      <c r="D40" s="39" t="inlineStr">
        <is>
          <t>Elizabeth (surname unknown) McCormick</t>
        </is>
      </c>
      <c r="E40" s="39" t="inlineStr">
        <is>
          <t>F</t>
        </is>
      </c>
      <c r="F40" s="39" t="inlineStr">
        <is>
          <t>about 1808</t>
        </is>
      </c>
      <c r="G40" s="39" t="n">
        <v>1808</v>
      </c>
      <c r="H40" s="39" t="inlineStr">
        <is>
          <t>Kentucky</t>
        </is>
      </c>
      <c r="I40" s="39" t="str"/>
      <c r="J40" s="39" t="n"/>
      <c r="K40" s="39" t="str"/>
      <c r="L40" s="39" t="inlineStr">
        <is>
          <t>McCormick / O’Brien</t>
        </is>
      </c>
      <c r="M40" s="39" t="inlineStr">
        <is>
          <t>B - Strong</t>
        </is>
      </c>
      <c r="N40" s="39" t="str"/>
      <c r="O40" s="39" t="str"/>
      <c r="P40" s="39" t="inlineStr">
        <is>
          <t>Fredric Muller Vollmer → Jan Muller Vollmer → Anne Rives McCormick Muller → Charles Ellsworth McCormick II → Charles Ellsworth McCormick I → Edward H. McCormick → Elizabeth (surname unknown) McCormick</t>
        </is>
      </c>
      <c r="Q40" s="39" t="inlineStr">
        <is>
          <t>Age 42 in the 1850 Bullitt County census; maiden name remains unknown.</t>
        </is>
      </c>
      <c r="R40" s="39" t="inlineStr">
        <is>
          <t>S15</t>
        </is>
      </c>
    </row>
    <row r="41">
      <c r="A41" s="39" t="inlineStr">
        <is>
          <t>I125</t>
        </is>
      </c>
      <c r="B41" s="39" t="inlineStr">
        <is>
          <t>115</t>
        </is>
      </c>
      <c r="C41" s="39" t="n">
        <v>6</v>
      </c>
      <c r="D41" s="39" t="inlineStr">
        <is>
          <t>Sophronia Simmons</t>
        </is>
      </c>
      <c r="E41" s="39" t="inlineStr">
        <is>
          <t>F</t>
        </is>
      </c>
      <c r="F41" s="39" t="inlineStr">
        <is>
          <t>about 1824</t>
        </is>
      </c>
      <c r="G41" s="39" t="n">
        <v>1824</v>
      </c>
      <c r="H41" s="39" t="str"/>
      <c r="I41" s="39" t="str"/>
      <c r="J41" s="39" t="n"/>
      <c r="K41" s="39" t="str"/>
      <c r="L41" s="39" t="inlineStr">
        <is>
          <t>McCormick / O’Brien</t>
        </is>
      </c>
      <c r="M41" s="39" t="inlineStr">
        <is>
          <t>B - Strong</t>
        </is>
      </c>
      <c r="N41" s="39" t="str"/>
      <c r="O41" s="39" t="str"/>
      <c r="P41" s="39" t="inlineStr">
        <is>
          <t>Fredric Muller Vollmer → Jan Muller Vollmer → Anne Rives McCormick Muller → Charles Ellsworth McCormick II → Charles Ellsworth McCormick I → Martha Ann “Annie” O’Brien → Sophronia Simmons</t>
        </is>
      </c>
      <c r="Q41" s="39" t="inlineStr">
        <is>
          <t>Adjacent Simmons households suggest possible parents, but the relationship was not proved and is omitted here.</t>
        </is>
      </c>
      <c r="R41" s="39" t="inlineStr">
        <is>
          <t>S14</t>
        </is>
      </c>
    </row>
    <row r="42">
      <c r="A42" s="39" t="inlineStr">
        <is>
          <t>I021</t>
        </is>
      </c>
      <c r="B42" s="39" t="inlineStr">
        <is>
          <t>102</t>
        </is>
      </c>
      <c r="C42" s="39" t="n">
        <v>6</v>
      </c>
      <c r="D42" s="39" t="inlineStr">
        <is>
          <t>Jacob Wüst</t>
        </is>
      </c>
      <c r="E42" s="39" t="inlineStr">
        <is>
          <t>M</t>
        </is>
      </c>
      <c r="F42" s="39" t="str"/>
      <c r="G42" s="39" t="n"/>
      <c r="H42" s="39" t="inlineStr">
        <is>
          <t>Bavaria</t>
        </is>
      </c>
      <c r="I42" s="39" t="str"/>
      <c r="J42" s="39" t="n"/>
      <c r="K42" s="39" t="str"/>
      <c r="L42" s="39" t="inlineStr">
        <is>
          <t>Muller / Kleitz</t>
        </is>
      </c>
      <c r="M42" s="39" t="inlineStr">
        <is>
          <t>C - Provisional</t>
        </is>
      </c>
      <c r="N42" s="39" t="str"/>
      <c r="O42" s="39" t="str"/>
      <c r="P42" s="39" t="inlineStr">
        <is>
          <t>Fredric Muller Vollmer → Jan Muller Vollmer → Arthur John Muller → Arthur Herman Muller → Henrietta Kleitz → Elizabeth Wüst → Jacob Wüst</t>
        </is>
      </c>
      <c r="Q42" s="39" t="inlineStr">
        <is>
          <t>Named as Elizabeth Wüst’s father in the Kastler family database; mother remains unknown.</t>
        </is>
      </c>
      <c r="R42" s="39" t="inlineStr">
        <is>
          <t>S21</t>
        </is>
      </c>
    </row>
    <row r="43">
      <c r="A43" s="39" t="inlineStr">
        <is>
          <t>I138</t>
        </is>
      </c>
      <c r="B43" s="39" t="inlineStr">
        <is>
          <t>125</t>
        </is>
      </c>
      <c r="C43" s="39" t="n">
        <v>6</v>
      </c>
      <c r="D43" s="39" t="inlineStr">
        <is>
          <t>Amelia Harrison</t>
        </is>
      </c>
      <c r="E43" s="39" t="inlineStr">
        <is>
          <t>F</t>
        </is>
      </c>
      <c r="F43" s="39" t="inlineStr">
        <is>
          <t>21 Dec 1804</t>
        </is>
      </c>
      <c r="G43" s="39" t="n">
        <v>1804</v>
      </c>
      <c r="H43" s="39" t="inlineStr">
        <is>
          <t>Fairfield District, South Carolina</t>
        </is>
      </c>
      <c r="I43" s="39" t="inlineStr">
        <is>
          <t>13 Mar 1883</t>
        </is>
      </c>
      <c r="J43" s="39" t="n">
        <v>1883</v>
      </c>
      <c r="K43" s="39" t="inlineStr">
        <is>
          <t>South Carolina</t>
        </is>
      </c>
      <c r="L43" s="39" t="inlineStr">
        <is>
          <t>Rives / Harrison</t>
        </is>
      </c>
      <c r="M43" s="39" t="inlineStr">
        <is>
          <t>A - Confirmed</t>
        </is>
      </c>
      <c r="N43" s="39" t="inlineStr">
        <is>
          <t>William Harrison</t>
        </is>
      </c>
      <c r="O43" s="39" t="inlineStr">
        <is>
          <t>Ann Perry</t>
        </is>
      </c>
      <c r="P43" s="39" t="inlineStr">
        <is>
          <t>Fredric Muller Vollmer → Jan Muller Vollmer → Anne Rives McCormick Muller → Eloise A. “Elvie/Elvia” Slaughter McCormick → Lula Arnelia Rives → Robert Calhoun Rives → Amelia Harrison</t>
        </is>
      </c>
      <c r="Q43" s="39" t="str"/>
      <c r="R43" s="39" t="inlineStr">
        <is>
          <t>S4, S20</t>
        </is>
      </c>
    </row>
    <row r="44">
      <c r="A44" s="39" t="inlineStr">
        <is>
          <t>I137</t>
        </is>
      </c>
      <c r="B44" s="39" t="inlineStr">
        <is>
          <t>124</t>
        </is>
      </c>
      <c r="C44" s="39" t="n">
        <v>6</v>
      </c>
      <c r="D44" s="39" t="inlineStr">
        <is>
          <t>Robert Rives</t>
        </is>
      </c>
      <c r="E44" s="39" t="inlineStr">
        <is>
          <t>M</t>
        </is>
      </c>
      <c r="F44" s="39" t="inlineStr">
        <is>
          <t>28 May/Aug 1801</t>
        </is>
      </c>
      <c r="G44" s="39" t="n">
        <v>1801</v>
      </c>
      <c r="H44" s="39" t="inlineStr">
        <is>
          <t>South Carolina</t>
        </is>
      </c>
      <c r="I44" s="39" t="inlineStr">
        <is>
          <t>30 Sep 1877</t>
        </is>
      </c>
      <c r="J44" s="39" t="n">
        <v>1877</v>
      </c>
      <c r="K44" s="39" t="inlineStr">
        <is>
          <t>Benton, Lowndes County, Alabama</t>
        </is>
      </c>
      <c r="L44" s="39" t="inlineStr">
        <is>
          <t>Rives / Harrison</t>
        </is>
      </c>
      <c r="M44" s="39" t="inlineStr">
        <is>
          <t>A - Confirmed</t>
        </is>
      </c>
      <c r="N44" s="39" t="inlineStr">
        <is>
          <t>Green Rives</t>
        </is>
      </c>
      <c r="O44" s="39" t="inlineStr">
        <is>
          <t>Mary Ridley Jones</t>
        </is>
      </c>
      <c r="P44" s="39" t="inlineStr">
        <is>
          <t>Fredric Muller Vollmer → Jan Muller Vollmer → Anne Rives McCormick Muller → Eloise A. “Elvie/Elvia” Slaughter McCormick → Lula Arnelia Rives → Robert Calhoun Rives → Robert Rives</t>
        </is>
      </c>
      <c r="Q44" s="39" t="inlineStr">
        <is>
          <t>Sources disagree whether the birth month/day is 28 May or 28 August.</t>
        </is>
      </c>
      <c r="R44" s="39" t="inlineStr">
        <is>
          <t>S4, S9, S10</t>
        </is>
      </c>
    </row>
    <row r="45">
      <c r="A45" s="39" t="inlineStr">
        <is>
          <t>I162</t>
        </is>
      </c>
      <c r="B45" s="39" t="inlineStr">
        <is>
          <t>253</t>
        </is>
      </c>
      <c r="C45" s="39" t="n">
        <v>7</v>
      </c>
      <c r="D45" s="39" t="inlineStr">
        <is>
          <t>Martha Mask</t>
        </is>
      </c>
      <c r="E45" s="39" t="inlineStr">
        <is>
          <t>F</t>
        </is>
      </c>
      <c r="F45" s="39" t="inlineStr">
        <is>
          <t>27 Dec 1768</t>
        </is>
      </c>
      <c r="G45" s="39" t="n">
        <v>1768</v>
      </c>
      <c r="H45" s="39" t="str"/>
      <c r="I45" s="39" t="str"/>
      <c r="J45" s="39" t="n"/>
      <c r="K45" s="39" t="str"/>
      <c r="L45" s="39" t="inlineStr">
        <is>
          <t>Agee / Ford / Bondurant</t>
        </is>
      </c>
      <c r="M45" s="39" t="inlineStr">
        <is>
          <t>B - Strong</t>
        </is>
      </c>
      <c r="N45" s="39" t="str"/>
      <c r="O45" s="39" t="str"/>
      <c r="P45" s="39" t="inlineStr">
        <is>
          <t>Fredric Muller Vollmer → Jan Muller Vollmer → Anne Rives McCormick Muller → Eloise A. “Elvie/Elvia” Slaughter McCormick → Lula Arnelia Rives → Florence Estelle Agee → William Raiford Agee → Martha Mask</t>
        </is>
      </c>
      <c r="Q45" s="39" t="inlineStr">
        <is>
          <t>Her parentage was not sufficiently proved in this research pass.</t>
        </is>
      </c>
      <c r="R45" s="39" t="inlineStr">
        <is>
          <t>S8</t>
        </is>
      </c>
    </row>
    <row r="46">
      <c r="A46" s="39" t="inlineStr">
        <is>
          <t>I161</t>
        </is>
      </c>
      <c r="B46" s="39" t="inlineStr">
        <is>
          <t>252</t>
        </is>
      </c>
      <c r="C46" s="39" t="n">
        <v>7</v>
      </c>
      <c r="D46" s="39" t="inlineStr">
        <is>
          <t>Noah Agee</t>
        </is>
      </c>
      <c r="E46" s="39" t="inlineStr">
        <is>
          <t>M</t>
        </is>
      </c>
      <c r="F46" s="39" t="inlineStr">
        <is>
          <t>12 Nov 1750</t>
        </is>
      </c>
      <c r="G46" s="39" t="n">
        <v>1750</v>
      </c>
      <c r="H46" s="39" t="inlineStr">
        <is>
          <t>Virginia</t>
        </is>
      </c>
      <c r="I46" s="39" t="inlineStr">
        <is>
          <t>9 Apr 1823</t>
        </is>
      </c>
      <c r="J46" s="39" t="n">
        <v>1823</v>
      </c>
      <c r="K46" s="39" t="inlineStr">
        <is>
          <t>Alabama</t>
        </is>
      </c>
      <c r="L46" s="39" t="inlineStr">
        <is>
          <t>Agee / Ford / Bondurant</t>
        </is>
      </c>
      <c r="M46" s="39" t="inlineStr">
        <is>
          <t>B - Strong</t>
        </is>
      </c>
      <c r="N46" s="39" t="inlineStr">
        <is>
          <t>James Agee</t>
        </is>
      </c>
      <c r="O46" s="39" t="inlineStr">
        <is>
          <t>Mary (possibly Elizabeth) Ford</t>
        </is>
      </c>
      <c r="P46" s="39" t="inlineStr">
        <is>
          <t>Fredric Muller Vollmer → Jan Muller Vollmer → Anne Rives McCormick Muller → Eloise A. “Elvie/Elvia” Slaughter McCormick → Lula Arnelia Rives → Florence Estelle Agee → William Raiford Agee → Noah Agee</t>
        </is>
      </c>
      <c r="Q46" s="39" t="str"/>
      <c r="R46" s="39" t="inlineStr">
        <is>
          <t>S8</t>
        </is>
      </c>
    </row>
    <row r="47">
      <c r="A47" s="39" t="inlineStr">
        <is>
          <t>I163</t>
        </is>
      </c>
      <c r="B47" s="39" t="inlineStr">
        <is>
          <t>254</t>
        </is>
      </c>
      <c r="C47" s="39" t="n">
        <v>7</v>
      </c>
      <c r="D47" s="39" t="inlineStr">
        <is>
          <t>William Hill</t>
        </is>
      </c>
      <c r="E47" s="39" t="inlineStr">
        <is>
          <t>M</t>
        </is>
      </c>
      <c r="F47" s="39" t="str"/>
      <c r="G47" s="39" t="n"/>
      <c r="H47" s="39" t="str"/>
      <c r="I47" s="39" t="str"/>
      <c r="J47" s="39" t="n"/>
      <c r="K47" s="39" t="str"/>
      <c r="L47" s="39" t="inlineStr">
        <is>
          <t>Agee / Ford / Bondurant</t>
        </is>
      </c>
      <c r="M47" s="39" t="inlineStr">
        <is>
          <t>B - Strong</t>
        </is>
      </c>
      <c r="N47" s="39" t="str"/>
      <c r="O47" s="39" t="str"/>
      <c r="P47" s="39" t="inlineStr">
        <is>
          <t>Fredric Muller Vollmer → Jan Muller Vollmer → Anne Rives McCormick Muller → Eloise A. “Elvie/Elvia” Slaughter McCormick → Lula Arnelia Rives → Florence Estelle Agee → Elvina Hill → William Hill</t>
        </is>
      </c>
      <c r="Q47" s="39" t="inlineStr">
        <is>
          <t>Named as Elvina Hill’s father; her mother is unidentified.</t>
        </is>
      </c>
      <c r="R47" s="39" t="inlineStr">
        <is>
          <t>S8</t>
        </is>
      </c>
    </row>
    <row r="48">
      <c r="A48" s="39" t="inlineStr">
        <is>
          <t>I128</t>
        </is>
      </c>
      <c r="B48" s="39" t="inlineStr">
        <is>
          <t>234</t>
        </is>
      </c>
      <c r="C48" s="39" t="n">
        <v>7</v>
      </c>
      <c r="D48" s="39" t="inlineStr">
        <is>
          <t>Abram Field</t>
        </is>
      </c>
      <c r="E48" s="39" t="inlineStr">
        <is>
          <t>M</t>
        </is>
      </c>
      <c r="F48" s="39" t="str"/>
      <c r="G48" s="39" t="n"/>
      <c r="H48" s="39" t="str"/>
      <c r="I48" s="39" t="str"/>
      <c r="J48" s="39" t="n"/>
      <c r="K48" s="39" t="str"/>
      <c r="L48" s="39" t="inlineStr">
        <is>
          <t>Brooks / Field</t>
        </is>
      </c>
      <c r="M48" s="39" t="inlineStr">
        <is>
          <t>B - Strong</t>
        </is>
      </c>
      <c r="N48" s="39" t="str"/>
      <c r="O48" s="39" t="str"/>
      <c r="P48" s="39" t="inlineStr">
        <is>
          <t>Fredric Muller Vollmer → Jan Muller Vollmer → Anne Rives McCormick Muller → Charles Ellsworth McCormick II → Mary Moore Brooks → Abram Field Brooks → Elizabeth Field → Abram Field</t>
        </is>
      </c>
      <c r="Q48" s="39" t="inlineStr">
        <is>
          <t>Named as Elizabeth Field’s father in the county biography.</t>
        </is>
      </c>
      <c r="R48" s="39" t="inlineStr">
        <is>
          <t>S17</t>
        </is>
      </c>
    </row>
    <row r="49">
      <c r="A49" s="39" t="inlineStr">
        <is>
          <t>I129</t>
        </is>
      </c>
      <c r="B49" s="39" t="inlineStr">
        <is>
          <t>235</t>
        </is>
      </c>
      <c r="C49" s="39" t="n">
        <v>7</v>
      </c>
      <c r="D49" s="39" t="inlineStr">
        <is>
          <t>Elizabeth Simmons (probable)</t>
        </is>
      </c>
      <c r="E49" s="39" t="inlineStr">
        <is>
          <t>F</t>
        </is>
      </c>
      <c r="F49" s="39" t="str"/>
      <c r="G49" s="39" t="n"/>
      <c r="H49" s="39" t="str"/>
      <c r="I49" s="39" t="str"/>
      <c r="J49" s="39" t="n"/>
      <c r="K49" s="39" t="str"/>
      <c r="L49" s="39" t="inlineStr">
        <is>
          <t>Brooks / Field</t>
        </is>
      </c>
      <c r="M49" s="39" t="inlineStr">
        <is>
          <t>C - Provisional</t>
        </is>
      </c>
      <c r="N49" s="39" t="str"/>
      <c r="O49" s="39" t="str"/>
      <c r="P49" s="39" t="inlineStr">
        <is>
          <t>Fredric Muller Vollmer → Jan Muller Vollmer → Anne Rives McCormick Muller → Charles Ellsworth McCormick II → Mary Moore Brooks → Abram Field Brooks → Elizabeth Field → Elizabeth Simmons (probable)</t>
        </is>
      </c>
      <c r="Q49" s="39" t="inlineStr">
        <is>
          <t>Often identified as Elizabeth Field’s mother in cemetery/compiled material; original proof was not located in this pass.</t>
        </is>
      </c>
      <c r="R49" s="39" t="inlineStr">
        <is>
          <t>S17</t>
        </is>
      </c>
    </row>
    <row r="50">
      <c r="A50" s="39" t="inlineStr">
        <is>
          <t>I126</t>
        </is>
      </c>
      <c r="B50" s="39" t="inlineStr">
        <is>
          <t>232</t>
        </is>
      </c>
      <c r="C50" s="39" t="n">
        <v>7</v>
      </c>
      <c r="D50" s="39" t="inlineStr">
        <is>
          <t>Joseph Anderson Brooks</t>
        </is>
      </c>
      <c r="E50" s="39" t="inlineStr">
        <is>
          <t>M</t>
        </is>
      </c>
      <c r="F50" s="39" t="str"/>
      <c r="G50" s="39" t="n"/>
      <c r="H50" s="39" t="str"/>
      <c r="I50" s="39" t="inlineStr">
        <is>
          <t>1845/46</t>
        </is>
      </c>
      <c r="J50" s="39" t="n">
        <v>1845</v>
      </c>
      <c r="K50" s="39" t="str"/>
      <c r="L50" s="39" t="inlineStr">
        <is>
          <t>Brooks / Field</t>
        </is>
      </c>
      <c r="M50" s="39" t="inlineStr">
        <is>
          <t>B - Strong</t>
        </is>
      </c>
      <c r="N50" s="39" t="inlineStr">
        <is>
          <t>Joseph Brooks (Bullitt County pioneer)</t>
        </is>
      </c>
      <c r="O50" s="39" t="inlineStr">
        <is>
          <t>Nancy (surname unknown) Brooks</t>
        </is>
      </c>
      <c r="P50" s="39" t="inlineStr">
        <is>
          <t>Fredric Muller Vollmer → Jan Muller Vollmer → Anne Rives McCormick Muller → Charles Ellsworth McCormick II → Mary Moore Brooks → Abram Field Brooks → Solomon Neal Brooks → Joseph Anderson Brooks</t>
        </is>
      </c>
      <c r="Q50" s="39" t="inlineStr">
        <is>
          <t>His 1845 will names wife Rebecca and son Solomon N. Brooks; whether Rebecca was Solomon’s mother is unresolved.</t>
        </is>
      </c>
      <c r="R50" s="39" t="inlineStr">
        <is>
          <t>S18, S19</t>
        </is>
      </c>
    </row>
    <row r="51">
      <c r="A51" s="39" t="inlineStr">
        <is>
          <t>I029</t>
        </is>
      </c>
      <c r="B51" s="39" t="inlineStr">
        <is>
          <t>211</t>
        </is>
      </c>
      <c r="C51" s="39" t="n">
        <v>7</v>
      </c>
      <c r="D51" s="39" t="inlineStr">
        <is>
          <t>Eunice Goldsmith</t>
        </is>
      </c>
      <c r="E51" s="39" t="inlineStr">
        <is>
          <t>F</t>
        </is>
      </c>
      <c r="F51" s="39" t="inlineStr">
        <is>
          <t>28 May 1764</t>
        </is>
      </c>
      <c r="G51" s="39" t="n">
        <v>1764</v>
      </c>
      <c r="H51" s="39" t="str"/>
      <c r="I51" s="39" t="inlineStr">
        <is>
          <t>28 Apr 1852</t>
        </is>
      </c>
      <c r="J51" s="39" t="n">
        <v>1852</v>
      </c>
      <c r="K51" s="39" t="str"/>
      <c r="L51" s="39" t="inlineStr">
        <is>
          <t>Lee / New England</t>
        </is>
      </c>
      <c r="M51" s="39" t="inlineStr">
        <is>
          <t>B - Strong</t>
        </is>
      </c>
      <c r="N51" s="39" t="str"/>
      <c r="O51" s="39" t="str"/>
      <c r="P51" s="39" t="inlineStr">
        <is>
          <t>Fredric Muller Vollmer → Jan Muller Vollmer → Arthur John Muller → Elma Anna Lee → Elmer Ellsworth Lee → Hubbard Stone Lee → Grace Stone → Eunice Goldsmith</t>
        </is>
      </c>
      <c r="Q51" s="39" t="inlineStr">
        <is>
          <t>Parents were not supplied on the consulted Ahnentafel page.</t>
        </is>
      </c>
      <c r="R51" s="39" t="inlineStr">
        <is>
          <t>S7</t>
        </is>
      </c>
    </row>
    <row r="52">
      <c r="A52" s="39" t="inlineStr">
        <is>
          <t>I027</t>
        </is>
      </c>
      <c r="B52" s="39" t="inlineStr">
        <is>
          <t>209</t>
        </is>
      </c>
      <c r="C52" s="39" t="n">
        <v>7</v>
      </c>
      <c r="D52" s="39" t="inlineStr">
        <is>
          <t>Eunice Hotchkiss</t>
        </is>
      </c>
      <c r="E52" s="39" t="inlineStr">
        <is>
          <t>F</t>
        </is>
      </c>
      <c r="F52" s="39" t="inlineStr">
        <is>
          <t>about 1754</t>
        </is>
      </c>
      <c r="G52" s="39" t="n">
        <v>1754</v>
      </c>
      <c r="H52" s="39" t="str"/>
      <c r="I52" s="39" t="inlineStr">
        <is>
          <t>27 Feb 1827</t>
        </is>
      </c>
      <c r="J52" s="39" t="n">
        <v>1827</v>
      </c>
      <c r="K52" s="39" t="str"/>
      <c r="L52" s="39" t="inlineStr">
        <is>
          <t>Lee / New England</t>
        </is>
      </c>
      <c r="M52" s="39" t="inlineStr">
        <is>
          <t>B - Strong</t>
        </is>
      </c>
      <c r="N52" s="39" t="inlineStr">
        <is>
          <t>Mark Hotchkiss</t>
        </is>
      </c>
      <c r="O52" s="39" t="inlineStr">
        <is>
          <t>Miriam Lee</t>
        </is>
      </c>
      <c r="P52" s="39" t="inlineStr">
        <is>
          <t>Fredric Muller Vollmer → Jan Muller Vollmer → Arthur John Muller → Elma Anna Lee → Elmer Ellsworth Lee → Hubbard Stone Lee → Elon Lee → Eunice Hotchkiss</t>
        </is>
      </c>
      <c r="Q52" s="39" t="str"/>
      <c r="R52" s="39" t="inlineStr">
        <is>
          <t>S7</t>
        </is>
      </c>
    </row>
    <row r="53">
      <c r="A53" s="39" t="inlineStr">
        <is>
          <t>I028</t>
        </is>
      </c>
      <c r="B53" s="39" t="inlineStr">
        <is>
          <t>210</t>
        </is>
      </c>
      <c r="C53" s="39" t="n">
        <v>7</v>
      </c>
      <c r="D53" s="39" t="inlineStr">
        <is>
          <t>John Evarts Stone</t>
        </is>
      </c>
      <c r="E53" s="39" t="inlineStr">
        <is>
          <t>M</t>
        </is>
      </c>
      <c r="F53" s="39" t="inlineStr">
        <is>
          <t>28 Nov 1760</t>
        </is>
      </c>
      <c r="G53" s="39" t="n">
        <v>1760</v>
      </c>
      <c r="H53" s="39" t="inlineStr">
        <is>
          <t>Guilford, New Haven County, Connecticut</t>
        </is>
      </c>
      <c r="I53" s="39" t="inlineStr">
        <is>
          <t>29 Jan 1852</t>
        </is>
      </c>
      <c r="J53" s="39" t="n">
        <v>1852</v>
      </c>
      <c r="K53" s="39" t="inlineStr">
        <is>
          <t>Guilford, New Haven County, Connecticut</t>
        </is>
      </c>
      <c r="L53" s="39" t="inlineStr">
        <is>
          <t>Lee / New England</t>
        </is>
      </c>
      <c r="M53" s="39" t="inlineStr">
        <is>
          <t>B - Strong</t>
        </is>
      </c>
      <c r="N53" s="39" t="inlineStr">
        <is>
          <t>Asher Stone</t>
        </is>
      </c>
      <c r="O53" s="39" t="inlineStr">
        <is>
          <t>Carine Ward</t>
        </is>
      </c>
      <c r="P53" s="39" t="inlineStr">
        <is>
          <t>Fredric Muller Vollmer → Jan Muller Vollmer → Arthur John Muller → Elma Anna Lee → Elmer Ellsworth Lee → Hubbard Stone Lee → Grace Stone → John Evarts Stone</t>
        </is>
      </c>
      <c r="Q53" s="39" t="str"/>
      <c r="R53" s="39" t="inlineStr">
        <is>
          <t>S7</t>
        </is>
      </c>
    </row>
    <row r="54">
      <c r="A54" s="39" t="inlineStr">
        <is>
          <t>I026</t>
        </is>
      </c>
      <c r="B54" s="39" t="inlineStr">
        <is>
          <t>208</t>
        </is>
      </c>
      <c r="C54" s="39" t="n">
        <v>7</v>
      </c>
      <c r="D54" s="39" t="inlineStr">
        <is>
          <t>William Lee</t>
        </is>
      </c>
      <c r="E54" s="39" t="inlineStr">
        <is>
          <t>M</t>
        </is>
      </c>
      <c r="F54" s="39" t="inlineStr">
        <is>
          <t>about 1741</t>
        </is>
      </c>
      <c r="G54" s="39" t="n">
        <v>1741</v>
      </c>
      <c r="H54" s="39" t="str"/>
      <c r="I54" s="39" t="inlineStr">
        <is>
          <t>29 Apr 1795</t>
        </is>
      </c>
      <c r="J54" s="39" t="n">
        <v>1795</v>
      </c>
      <c r="K54" s="39" t="inlineStr">
        <is>
          <t>Guilford, New Haven County, Connecticut</t>
        </is>
      </c>
      <c r="L54" s="39" t="inlineStr">
        <is>
          <t>Lee / New England</t>
        </is>
      </c>
      <c r="M54" s="39" t="inlineStr">
        <is>
          <t>B - Strong</t>
        </is>
      </c>
      <c r="N54" s="39" t="inlineStr">
        <is>
          <t>Ebenezer Lee</t>
        </is>
      </c>
      <c r="O54" s="39" t="inlineStr">
        <is>
          <t>Sarah Chidsey</t>
        </is>
      </c>
      <c r="P54" s="39" t="inlineStr">
        <is>
          <t>Fredric Muller Vollmer → Jan Muller Vollmer → Arthur John Muller → Elma Anna Lee → Elmer Ellsworth Lee → Hubbard Stone Lee → Elon Lee → William Lee</t>
        </is>
      </c>
      <c r="Q54" s="39" t="str"/>
      <c r="R54" s="39" t="inlineStr">
        <is>
          <t>S7</t>
        </is>
      </c>
    </row>
    <row r="55">
      <c r="A55" s="39" t="inlineStr">
        <is>
          <t>I148</t>
        </is>
      </c>
      <c r="B55" s="39" t="inlineStr">
        <is>
          <t>251</t>
        </is>
      </c>
      <c r="C55" s="39" t="n">
        <v>7</v>
      </c>
      <c r="D55" s="39" t="inlineStr">
        <is>
          <t>Ann Perry</t>
        </is>
      </c>
      <c r="E55" s="39" t="inlineStr">
        <is>
          <t>F</t>
        </is>
      </c>
      <c r="F55" s="39" t="str"/>
      <c r="G55" s="39" t="n"/>
      <c r="H55" s="39" t="str"/>
      <c r="I55" s="39" t="inlineStr">
        <is>
          <t>Fall 1816</t>
        </is>
      </c>
      <c r="J55" s="39" t="n">
        <v>1816</v>
      </c>
      <c r="K55" s="39" t="str"/>
      <c r="L55" s="39" t="inlineStr">
        <is>
          <t>Rives / Harrison</t>
        </is>
      </c>
      <c r="M55" s="39" t="inlineStr">
        <is>
          <t>A - Confirmed</t>
        </is>
      </c>
      <c r="N55" s="39" t="inlineStr">
        <is>
          <t>James Perry</t>
        </is>
      </c>
      <c r="O55" s="39" t="str"/>
      <c r="P55" s="39" t="inlineStr">
        <is>
          <t>Fredric Muller Vollmer → Jan Muller Vollmer → Anne Rives McCormick Muller → Eloise A. “Elvie/Elvia” Slaughter McCormick → Lula Arnelia Rives → Robert Calhoun Rives → Amelia Harrison → Ann Perry</t>
        </is>
      </c>
      <c r="Q55" s="39" t="str"/>
      <c r="R55" s="39" t="inlineStr">
        <is>
          <t>S20</t>
        </is>
      </c>
    </row>
    <row r="56">
      <c r="A56" s="39" t="inlineStr">
        <is>
          <t>I139</t>
        </is>
      </c>
      <c r="B56" s="39" t="inlineStr">
        <is>
          <t>248</t>
        </is>
      </c>
      <c r="C56" s="39" t="n">
        <v>7</v>
      </c>
      <c r="D56" s="39" t="inlineStr">
        <is>
          <t>Green Rives</t>
        </is>
      </c>
      <c r="E56" s="39" t="inlineStr">
        <is>
          <t>M</t>
        </is>
      </c>
      <c r="F56" s="39" t="inlineStr">
        <is>
          <t>10 Jan 1763</t>
        </is>
      </c>
      <c r="G56" s="39" t="n">
        <v>1763</v>
      </c>
      <c r="H56" s="39" t="inlineStr">
        <is>
          <t>Virginia</t>
        </is>
      </c>
      <c r="I56" s="39" t="inlineStr">
        <is>
          <t>26 Oct 1812</t>
        </is>
      </c>
      <c r="J56" s="39" t="n">
        <v>1812</v>
      </c>
      <c r="K56" s="39" t="inlineStr">
        <is>
          <t>Columbia, South Carolina</t>
        </is>
      </c>
      <c r="L56" s="39" t="inlineStr">
        <is>
          <t>Rives / Harrison</t>
        </is>
      </c>
      <c r="M56" s="39" t="inlineStr">
        <is>
          <t>A - Confirmed</t>
        </is>
      </c>
      <c r="N56" s="39" t="inlineStr">
        <is>
          <t>William Rives</t>
        </is>
      </c>
      <c r="O56" s="39" t="inlineStr">
        <is>
          <t>Lucy Wyche</t>
        </is>
      </c>
      <c r="P56" s="39" t="inlineStr">
        <is>
          <t>Fredric Muller Vollmer → Jan Muller Vollmer → Anne Rives McCormick Muller → Eloise A. “Elvie/Elvia” Slaughter McCormick → Lula Arnelia Rives → Robert Calhoun Rives → Robert Rives → Green Rives</t>
        </is>
      </c>
      <c r="Q56" s="39" t="inlineStr">
        <is>
          <t>Revolutionary-era resident of Richland County, South Carolina.</t>
        </is>
      </c>
      <c r="R56" s="39" t="inlineStr">
        <is>
          <t>S4, S10</t>
        </is>
      </c>
    </row>
    <row r="57">
      <c r="A57" s="39" t="inlineStr">
        <is>
          <t>I140</t>
        </is>
      </c>
      <c r="B57" s="39" t="inlineStr">
        <is>
          <t>249</t>
        </is>
      </c>
      <c r="C57" s="39" t="n">
        <v>7</v>
      </c>
      <c r="D57" s="39" t="inlineStr">
        <is>
          <t>Mary Ridley Jones</t>
        </is>
      </c>
      <c r="E57" s="39" t="inlineStr">
        <is>
          <t>F</t>
        </is>
      </c>
      <c r="F57" s="39" t="inlineStr">
        <is>
          <t>5 Mar 1769</t>
        </is>
      </c>
      <c r="G57" s="39" t="n">
        <v>1769</v>
      </c>
      <c r="H57" s="39" t="inlineStr">
        <is>
          <t>South Carolina</t>
        </is>
      </c>
      <c r="I57" s="39" t="inlineStr">
        <is>
          <t>27 Mar 1843</t>
        </is>
      </c>
      <c r="J57" s="39" t="n">
        <v>1843</v>
      </c>
      <c r="K57" s="39" t="inlineStr">
        <is>
          <t>Benton, Lowndes County, Alabama</t>
        </is>
      </c>
      <c r="L57" s="39" t="inlineStr">
        <is>
          <t>Rives / Harrison</t>
        </is>
      </c>
      <c r="M57" s="39" t="inlineStr">
        <is>
          <t>B - Strong</t>
        </is>
      </c>
      <c r="N57" s="39" t="inlineStr">
        <is>
          <t>Darling Jones</t>
        </is>
      </c>
      <c r="O57" s="39" t="inlineStr">
        <is>
          <t>Susannah (surname unknown) Jones</t>
        </is>
      </c>
      <c r="P57" s="39" t="inlineStr">
        <is>
          <t>Fredric Muller Vollmer → Jan Muller Vollmer → Anne Rives McCormick Muller → Eloise A. “Elvie/Elvia” Slaughter McCormick → Lula Arnelia Rives → Robert Calhoun Rives → Robert Rives → Mary Ridley Jones</t>
        </is>
      </c>
      <c r="Q57" s="39" t="str"/>
      <c r="R57" s="39" t="inlineStr">
        <is>
          <t>S4, S10</t>
        </is>
      </c>
    </row>
    <row r="58">
      <c r="A58" s="39" t="inlineStr">
        <is>
          <t>I147</t>
        </is>
      </c>
      <c r="B58" s="39" t="inlineStr">
        <is>
          <t>250</t>
        </is>
      </c>
      <c r="C58" s="39" t="n">
        <v>7</v>
      </c>
      <c r="D58" s="39" t="inlineStr">
        <is>
          <t>William Harrison</t>
        </is>
      </c>
      <c r="E58" s="39" t="inlineStr">
        <is>
          <t>M</t>
        </is>
      </c>
      <c r="F58" s="39" t="str"/>
      <c r="G58" s="39" t="n"/>
      <c r="H58" s="39" t="str"/>
      <c r="I58" s="39" t="inlineStr">
        <is>
          <t>1836</t>
        </is>
      </c>
      <c r="J58" s="39" t="n">
        <v>1836</v>
      </c>
      <c r="K58" s="39" t="str"/>
      <c r="L58" s="39" t="inlineStr">
        <is>
          <t>Rives / Harrison</t>
        </is>
      </c>
      <c r="M58" s="39" t="inlineStr">
        <is>
          <t>B - Strong</t>
        </is>
      </c>
      <c r="N58" s="39" t="inlineStr">
        <is>
          <t>Reuben Harrison</t>
        </is>
      </c>
      <c r="O58" s="39" t="inlineStr">
        <is>
          <t>Nancy (possibly Kirkland) Harrison</t>
        </is>
      </c>
      <c r="P58" s="39" t="inlineStr">
        <is>
          <t>Fredric Muller Vollmer → Jan Muller Vollmer → Anne Rives McCormick Muller → Eloise A. “Elvie/Elvia” Slaughter McCormick → Lula Arnelia Rives → Robert Calhoun Rives → Amelia Harrison → William Harrison</t>
        </is>
      </c>
      <c r="Q58" s="39" t="str"/>
      <c r="R58" s="39" t="inlineStr">
        <is>
          <t>S20</t>
        </is>
      </c>
    </row>
    <row r="59">
      <c r="A59" s="39" t="inlineStr">
        <is>
          <t>I164</t>
        </is>
      </c>
      <c r="B59" s="39" t="inlineStr">
        <is>
          <t>504</t>
        </is>
      </c>
      <c r="C59" s="39" t="n">
        <v>8</v>
      </c>
      <c r="D59" s="39" t="inlineStr">
        <is>
          <t>James Agee</t>
        </is>
      </c>
      <c r="E59" s="39" t="inlineStr">
        <is>
          <t>M</t>
        </is>
      </c>
      <c r="F59" s="39" t="inlineStr">
        <is>
          <t>about 1725</t>
        </is>
      </c>
      <c r="G59" s="39" t="n">
        <v>1725</v>
      </c>
      <c r="H59" s="39" t="inlineStr">
        <is>
          <t>Virginia</t>
        </is>
      </c>
      <c r="I59" s="39" t="inlineStr">
        <is>
          <t>1821</t>
        </is>
      </c>
      <c r="J59" s="39" t="n">
        <v>1821</v>
      </c>
      <c r="K59" s="39" t="str"/>
      <c r="L59" s="39" t="inlineStr">
        <is>
          <t>Agee / Ford / Bondurant</t>
        </is>
      </c>
      <c r="M59" s="39" t="inlineStr">
        <is>
          <t>B - Strong</t>
        </is>
      </c>
      <c r="N59" s="39" t="inlineStr">
        <is>
          <t>Mathieu Agee</t>
        </is>
      </c>
      <c r="O59" s="39" t="inlineStr">
        <is>
          <t>Ann Godwin (or Goodwin)</t>
        </is>
      </c>
      <c r="P59" s="39" t="inlineStr">
        <is>
          <t>Fredric Muller Vollmer → Jan Muller Vollmer → Anne Rives McCormick Muller → Eloise A. “Elvie/Elvia” Slaughter McCormick → Lula Arnelia Rives → Florence Estelle Agee → William Raiford Agee → Noah Agee → James Agee</t>
        </is>
      </c>
      <c r="Q59" s="39" t="str"/>
      <c r="R59" s="39" t="inlineStr">
        <is>
          <t>S8</t>
        </is>
      </c>
    </row>
    <row r="60">
      <c r="A60" s="39" t="inlineStr">
        <is>
          <t>I165</t>
        </is>
      </c>
      <c r="B60" s="39" t="inlineStr">
        <is>
          <t>505</t>
        </is>
      </c>
      <c r="C60" s="39" t="n">
        <v>8</v>
      </c>
      <c r="D60" s="39" t="inlineStr">
        <is>
          <t>Mary (possibly Elizabeth) Ford</t>
        </is>
      </c>
      <c r="E60" s="39" t="inlineStr">
        <is>
          <t>F</t>
        </is>
      </c>
      <c r="F60" s="39" t="str"/>
      <c r="G60" s="39" t="n"/>
      <c r="H60" s="39" t="str"/>
      <c r="I60" s="39" t="str"/>
      <c r="J60" s="39" t="n"/>
      <c r="K60" s="39" t="str"/>
      <c r="L60" s="39" t="inlineStr">
        <is>
          <t>Agee / Ford / Bondurant</t>
        </is>
      </c>
      <c r="M60" s="39" t="inlineStr">
        <is>
          <t>B - Strong</t>
        </is>
      </c>
      <c r="N60" s="39" t="inlineStr">
        <is>
          <t>James Ford</t>
        </is>
      </c>
      <c r="O60" s="39" t="inlineStr">
        <is>
          <t>Ann Bondurant</t>
        </is>
      </c>
      <c r="P60" s="39" t="inlineStr">
        <is>
          <t>Fredric Muller Vollmer → Jan Muller Vollmer → Anne Rives McCormick Muller → Eloise A. “Elvie/Elvia” Slaughter McCormick → Lula Arnelia Rives → Florence Estelle Agee → William Raiford Agee → Noah Agee → Mary (possibly Elizabeth) Ford</t>
        </is>
      </c>
      <c r="Q60" s="39" t="inlineStr">
        <is>
          <t>A will reportedly proves the surname Ford; the family history discusses uncertainty over whether her given name was Mary or Elizabeth.</t>
        </is>
      </c>
      <c r="R60" s="39" t="inlineStr">
        <is>
          <t>S8</t>
        </is>
      </c>
    </row>
    <row r="61">
      <c r="A61" s="39" t="inlineStr">
        <is>
          <t>I127</t>
        </is>
      </c>
      <c r="B61" s="39" t="inlineStr">
        <is>
          <t>464</t>
        </is>
      </c>
      <c r="C61" s="39" t="n">
        <v>8</v>
      </c>
      <c r="D61" s="39" t="inlineStr">
        <is>
          <t>Joseph Brooks (Bullitt County pioneer)</t>
        </is>
      </c>
      <c r="E61" s="39" t="inlineStr">
        <is>
          <t>M</t>
        </is>
      </c>
      <c r="F61" s="39" t="str"/>
      <c r="G61" s="39" t="n"/>
      <c r="H61" s="39" t="str"/>
      <c r="I61" s="39" t="inlineStr">
        <is>
          <t>1818</t>
        </is>
      </c>
      <c r="J61" s="39" t="n">
        <v>1818</v>
      </c>
      <c r="K61" s="39" t="str"/>
      <c r="L61" s="39" t="inlineStr">
        <is>
          <t>Brooks / Field</t>
        </is>
      </c>
      <c r="M61" s="39" t="inlineStr">
        <is>
          <t>B - Strong</t>
        </is>
      </c>
      <c r="N61" s="39" t="str"/>
      <c r="O61" s="39" t="str"/>
      <c r="P61" s="39" t="inlineStr">
        <is>
          <t>Fredric Muller Vollmer → Jan Muller Vollmer → Anne Rives McCormick Muller → Charles Ellsworth McCormick II → Mary Moore Brooks → Abram Field Brooks → Solomon Neal Brooks → Joseph Anderson Brooks → Joseph Brooks (Bullitt County pioneer)</t>
        </is>
      </c>
      <c r="Q61" s="39" t="inlineStr">
        <is>
          <t>His 1818 will names wife Nancy and son Joseph Anderson Brooks.</t>
        </is>
      </c>
      <c r="R61" s="39" t="inlineStr">
        <is>
          <t>S19</t>
        </is>
      </c>
    </row>
    <row r="62">
      <c r="A62" s="39" t="inlineStr">
        <is>
          <t>I132</t>
        </is>
      </c>
      <c r="B62" s="39" t="inlineStr">
        <is>
          <t>465</t>
        </is>
      </c>
      <c r="C62" s="39" t="n">
        <v>8</v>
      </c>
      <c r="D62" s="39" t="inlineStr">
        <is>
          <t>Nancy (surname unknown) Brooks</t>
        </is>
      </c>
      <c r="E62" s="39" t="inlineStr">
        <is>
          <t>F</t>
        </is>
      </c>
      <c r="F62" s="39" t="str"/>
      <c r="G62" s="39" t="n"/>
      <c r="H62" s="39" t="str"/>
      <c r="I62" s="39" t="str"/>
      <c r="J62" s="39" t="n"/>
      <c r="K62" s="39" t="str"/>
      <c r="L62" s="39" t="inlineStr">
        <is>
          <t>Brooks / Field</t>
        </is>
      </c>
      <c r="M62" s="39" t="inlineStr">
        <is>
          <t>B - Strong</t>
        </is>
      </c>
      <c r="N62" s="39" t="str"/>
      <c r="O62" s="39" t="str"/>
      <c r="P62" s="39" t="inlineStr">
        <is>
          <t>Fredric Muller Vollmer → Jan Muller Vollmer → Anne Rives McCormick Muller → Charles Ellsworth McCormick II → Mary Moore Brooks → Abram Field Brooks → Solomon Neal Brooks → Joseph Anderson Brooks → Nancy (surname unknown) Brooks</t>
        </is>
      </c>
      <c r="Q62" s="39" t="inlineStr">
        <is>
          <t>Named as wife in pioneer Joseph Brooks’s 1818 will.</t>
        </is>
      </c>
      <c r="R62" s="39" t="inlineStr">
        <is>
          <t>S19</t>
        </is>
      </c>
    </row>
    <row r="63">
      <c r="A63" s="39" t="inlineStr">
        <is>
          <t>I034</t>
        </is>
      </c>
      <c r="B63" s="39" t="inlineStr">
        <is>
          <t>420</t>
        </is>
      </c>
      <c r="C63" s="39" t="n">
        <v>8</v>
      </c>
      <c r="D63" s="39" t="inlineStr">
        <is>
          <t>Asher Stone</t>
        </is>
      </c>
      <c r="E63" s="39" t="inlineStr">
        <is>
          <t>M</t>
        </is>
      </c>
      <c r="F63" s="39" t="inlineStr">
        <is>
          <t>23 Jan 1738/39</t>
        </is>
      </c>
      <c r="G63" s="39" t="n">
        <v>1738</v>
      </c>
      <c r="H63" s="39" t="inlineStr">
        <is>
          <t>Guilford, New Haven County, Connecticut</t>
        </is>
      </c>
      <c r="I63" s="39" t="inlineStr">
        <is>
          <t>27 Sep 1766</t>
        </is>
      </c>
      <c r="J63" s="39" t="n">
        <v>1766</v>
      </c>
      <c r="K63" s="39" t="inlineStr">
        <is>
          <t>Guilford, New Haven County, Connecticut</t>
        </is>
      </c>
      <c r="L63" s="39" t="inlineStr">
        <is>
          <t>Lee / New England</t>
        </is>
      </c>
      <c r="M63" s="39" t="inlineStr">
        <is>
          <t>B - Strong</t>
        </is>
      </c>
      <c r="N63" s="39" t="inlineStr">
        <is>
          <t>Caleb Stone Jr.</t>
        </is>
      </c>
      <c r="O63" s="39" t="inlineStr">
        <is>
          <t>Rebecca Evarts</t>
        </is>
      </c>
      <c r="P63" s="39" t="inlineStr">
        <is>
          <t>Fredric Muller Vollmer → Jan Muller Vollmer → Arthur John Muller → Elma Anna Lee → Elmer Ellsworth Lee → Hubbard Stone Lee → Grace Stone → John Evarts Stone → Asher Stone</t>
        </is>
      </c>
      <c r="Q63" s="39" t="str"/>
      <c r="R63" s="39" t="inlineStr">
        <is>
          <t>S7</t>
        </is>
      </c>
    </row>
    <row r="64">
      <c r="A64" s="39" t="inlineStr">
        <is>
          <t>I035</t>
        </is>
      </c>
      <c r="B64" s="39" t="inlineStr">
        <is>
          <t>421</t>
        </is>
      </c>
      <c r="C64" s="39" t="n">
        <v>8</v>
      </c>
      <c r="D64" s="39" t="inlineStr">
        <is>
          <t>Carine Ward</t>
        </is>
      </c>
      <c r="E64" s="39" t="inlineStr">
        <is>
          <t>F</t>
        </is>
      </c>
      <c r="F64" s="39" t="inlineStr">
        <is>
          <t>31 May 1740</t>
        </is>
      </c>
      <c r="G64" s="39" t="n">
        <v>1740</v>
      </c>
      <c r="H64" s="39" t="str"/>
      <c r="I64" s="39" t="inlineStr">
        <is>
          <t>27 Oct 1818</t>
        </is>
      </c>
      <c r="J64" s="39" t="n">
        <v>1818</v>
      </c>
      <c r="K64" s="39" t="str"/>
      <c r="L64" s="39" t="inlineStr">
        <is>
          <t>Lee / New England</t>
        </is>
      </c>
      <c r="M64" s="39" t="inlineStr">
        <is>
          <t>B - Strong</t>
        </is>
      </c>
      <c r="N64" s="39" t="inlineStr">
        <is>
          <t>William Ward</t>
        </is>
      </c>
      <c r="O64" s="39" t="inlineStr">
        <is>
          <t>Abigail Crampton</t>
        </is>
      </c>
      <c r="P64" s="39" t="inlineStr">
        <is>
          <t>Fredric Muller Vollmer → Jan Muller Vollmer → Arthur John Muller → Elma Anna Lee → Elmer Ellsworth Lee → Hubbard Stone Lee → Grace Stone → John Evarts Stone → Carine Ward</t>
        </is>
      </c>
      <c r="Q64" s="39" t="str"/>
      <c r="R64" s="39" t="inlineStr">
        <is>
          <t>S7</t>
        </is>
      </c>
    </row>
    <row r="65">
      <c r="A65" s="39" t="inlineStr">
        <is>
          <t>I030</t>
        </is>
      </c>
      <c r="B65" s="39" t="inlineStr">
        <is>
          <t>416</t>
        </is>
      </c>
      <c r="C65" s="39" t="n">
        <v>8</v>
      </c>
      <c r="D65" s="39" t="inlineStr">
        <is>
          <t>Ebenezer Lee</t>
        </is>
      </c>
      <c r="E65" s="39" t="inlineStr">
        <is>
          <t>M</t>
        </is>
      </c>
      <c r="F65" s="39" t="inlineStr">
        <is>
          <t>25 Feb 1698/99</t>
        </is>
      </c>
      <c r="G65" s="39" t="n">
        <v>1698</v>
      </c>
      <c r="H65" s="39" t="str"/>
      <c r="I65" s="39" t="inlineStr">
        <is>
          <t>24 Sep 1751</t>
        </is>
      </c>
      <c r="J65" s="39" t="n">
        <v>1751</v>
      </c>
      <c r="K65" s="39" t="str"/>
      <c r="L65" s="39" t="inlineStr">
        <is>
          <t>Lee / New England</t>
        </is>
      </c>
      <c r="M65" s="39" t="inlineStr">
        <is>
          <t>B - Strong</t>
        </is>
      </c>
      <c r="N65" s="39" t="inlineStr">
        <is>
          <t>Edward Lee</t>
        </is>
      </c>
      <c r="O65" s="39" t="inlineStr">
        <is>
          <t>Abigail Stevens</t>
        </is>
      </c>
      <c r="P65" s="39" t="inlineStr">
        <is>
          <t>Fredric Muller Vollmer → Jan Muller Vollmer → Arthur John Muller → Elma Anna Lee → Elmer Ellsworth Lee → Hubbard Stone Lee → Elon Lee → William Lee → Ebenezer Lee</t>
        </is>
      </c>
      <c r="Q65" s="39" t="str"/>
      <c r="R65" s="39" t="inlineStr">
        <is>
          <t>S7</t>
        </is>
      </c>
    </row>
    <row r="66">
      <c r="A66" s="39" t="inlineStr">
        <is>
          <t>I032</t>
        </is>
      </c>
      <c r="B66" s="39" t="inlineStr">
        <is>
          <t>418</t>
        </is>
      </c>
      <c r="C66" s="39" t="n">
        <v>8</v>
      </c>
      <c r="D66" s="39" t="inlineStr">
        <is>
          <t>Mark Hotchkiss</t>
        </is>
      </c>
      <c r="E66" s="39" t="inlineStr">
        <is>
          <t>M</t>
        </is>
      </c>
      <c r="F66" s="39" t="inlineStr">
        <is>
          <t>1 Jul 1714</t>
        </is>
      </c>
      <c r="G66" s="39" t="n">
        <v>1714</v>
      </c>
      <c r="H66" s="39" t="str"/>
      <c r="I66" s="39" t="inlineStr">
        <is>
          <t>19 Nov 1775</t>
        </is>
      </c>
      <c r="J66" s="39" t="n">
        <v>1775</v>
      </c>
      <c r="K66" s="39" t="str"/>
      <c r="L66" s="39" t="inlineStr">
        <is>
          <t>Lee / New England</t>
        </is>
      </c>
      <c r="M66" s="39" t="inlineStr">
        <is>
          <t>B - Strong</t>
        </is>
      </c>
      <c r="N66" s="39" t="inlineStr">
        <is>
          <t>Joseph Hotchkiss</t>
        </is>
      </c>
      <c r="O66" s="39" t="inlineStr">
        <is>
          <t>Hannah Cruttenden</t>
        </is>
      </c>
      <c r="P66" s="39" t="inlineStr">
        <is>
          <t>Fredric Muller Vollmer → Jan Muller Vollmer → Arthur John Muller → Elma Anna Lee → Elmer Ellsworth Lee → Hubbard Stone Lee → Elon Lee → Eunice Hotchkiss → Mark Hotchkiss</t>
        </is>
      </c>
      <c r="Q66" s="39" t="str"/>
      <c r="R66" s="39" t="inlineStr">
        <is>
          <t>S7</t>
        </is>
      </c>
    </row>
    <row r="67">
      <c r="A67" s="39" t="inlineStr">
        <is>
          <t>I033</t>
        </is>
      </c>
      <c r="B67" s="39" t="inlineStr">
        <is>
          <t>419</t>
        </is>
      </c>
      <c r="C67" s="39" t="n">
        <v>8</v>
      </c>
      <c r="D67" s="39" t="inlineStr">
        <is>
          <t>Miriam Lee</t>
        </is>
      </c>
      <c r="E67" s="39" t="inlineStr">
        <is>
          <t>F</t>
        </is>
      </c>
      <c r="F67" s="39" t="str"/>
      <c r="G67" s="39" t="n"/>
      <c r="H67" s="39" t="str"/>
      <c r="I67" s="39" t="inlineStr">
        <is>
          <t>31 Mar 1788</t>
        </is>
      </c>
      <c r="J67" s="39" t="n">
        <v>1788</v>
      </c>
      <c r="K67" s="39" t="str"/>
      <c r="L67" s="39" t="inlineStr">
        <is>
          <t>Lee / New England</t>
        </is>
      </c>
      <c r="M67" s="39" t="inlineStr">
        <is>
          <t>B - Strong</t>
        </is>
      </c>
      <c r="N67" s="39" t="str"/>
      <c r="O67" s="39" t="str"/>
      <c r="P67" s="39" t="inlineStr">
        <is>
          <t>Fredric Muller Vollmer → Jan Muller Vollmer → Arthur John Muller → Elma Anna Lee → Elmer Ellsworth Lee → Hubbard Stone Lee → Elon Lee → Eunice Hotchkiss → Miriam Lee</t>
        </is>
      </c>
      <c r="Q67" s="39" t="inlineStr">
        <is>
          <t>Parents not shown in the consulted Ahnentafel.</t>
        </is>
      </c>
      <c r="R67" s="39" t="inlineStr">
        <is>
          <t>S7</t>
        </is>
      </c>
    </row>
    <row r="68">
      <c r="A68" s="39" t="inlineStr">
        <is>
          <t>I031</t>
        </is>
      </c>
      <c r="B68" s="39" t="inlineStr">
        <is>
          <t>417</t>
        </is>
      </c>
      <c r="C68" s="39" t="n">
        <v>8</v>
      </c>
      <c r="D68" s="39" t="inlineStr">
        <is>
          <t>Sarah Chidsey</t>
        </is>
      </c>
      <c r="E68" s="39" t="inlineStr">
        <is>
          <t>F</t>
        </is>
      </c>
      <c r="F68" s="39" t="str"/>
      <c r="G68" s="39" t="n"/>
      <c r="H68" s="39" t="str"/>
      <c r="I68" s="39" t="inlineStr">
        <is>
          <t>7 Mar 1778</t>
        </is>
      </c>
      <c r="J68" s="39" t="n">
        <v>1778</v>
      </c>
      <c r="K68" s="39" t="str"/>
      <c r="L68" s="39" t="inlineStr">
        <is>
          <t>Lee / New England</t>
        </is>
      </c>
      <c r="M68" s="39" t="inlineStr">
        <is>
          <t>B - Strong</t>
        </is>
      </c>
      <c r="N68" s="39" t="inlineStr">
        <is>
          <t>Joseph Chidsey</t>
        </is>
      </c>
      <c r="O68" s="39" t="str"/>
      <c r="P68" s="39" t="inlineStr">
        <is>
          <t>Fredric Muller Vollmer → Jan Muller Vollmer → Arthur John Muller → Elma Anna Lee → Elmer Ellsworth Lee → Hubbard Stone Lee → Elon Lee → William Lee → Sarah Chidsey</t>
        </is>
      </c>
      <c r="Q68" s="39" t="str"/>
      <c r="R68" s="39" t="inlineStr">
        <is>
          <t>S7</t>
        </is>
      </c>
    </row>
    <row r="69">
      <c r="A69" s="39" t="inlineStr">
        <is>
          <t>I145</t>
        </is>
      </c>
      <c r="B69" s="39" t="inlineStr">
        <is>
          <t>498</t>
        </is>
      </c>
      <c r="C69" s="39" t="n">
        <v>8</v>
      </c>
      <c r="D69" s="39" t="inlineStr">
        <is>
          <t>Darling Jones</t>
        </is>
      </c>
      <c r="E69" s="39" t="inlineStr">
        <is>
          <t>M</t>
        </is>
      </c>
      <c r="F69" s="39" t="str"/>
      <c r="G69" s="39" t="n"/>
      <c r="H69" s="39" t="str"/>
      <c r="I69" s="39" t="str"/>
      <c r="J69" s="39" t="n"/>
      <c r="K69" s="39" t="str"/>
      <c r="L69" s="39" t="inlineStr">
        <is>
          <t>Rives / Harrison</t>
        </is>
      </c>
      <c r="M69" s="39" t="inlineStr">
        <is>
          <t>B - Strong</t>
        </is>
      </c>
      <c r="N69" s="39" t="str"/>
      <c r="O69" s="39" t="str"/>
      <c r="P69" s="39" t="inlineStr">
        <is>
          <t>Fredric Muller Vollmer → Jan Muller Vollmer → Anne Rives McCormick Muller → Eloise A. “Elvie/Elvia” Slaughter McCormick → Lula Arnelia Rives → Robert Calhoun Rives → Robert Rives → Mary Ridley Jones → Darling Jones</t>
        </is>
      </c>
      <c r="Q69" s="39" t="str"/>
      <c r="R69" s="39" t="inlineStr">
        <is>
          <t>S10</t>
        </is>
      </c>
    </row>
    <row r="70">
      <c r="A70" s="39" t="inlineStr">
        <is>
          <t>I160</t>
        </is>
      </c>
      <c r="B70" s="39" t="inlineStr">
        <is>
          <t>502</t>
        </is>
      </c>
      <c r="C70" s="39" t="n">
        <v>8</v>
      </c>
      <c r="D70" s="39" t="inlineStr">
        <is>
          <t>James Perry</t>
        </is>
      </c>
      <c r="E70" s="39" t="inlineStr">
        <is>
          <t>M</t>
        </is>
      </c>
      <c r="F70" s="39" t="str"/>
      <c r="G70" s="39" t="n"/>
      <c r="H70" s="39" t="str"/>
      <c r="I70" s="39" t="inlineStr">
        <is>
          <t>after 14 Apr 1806 / before 1825</t>
        </is>
      </c>
      <c r="J70" s="39" t="n">
        <v>1806</v>
      </c>
      <c r="K70" s="39" t="inlineStr">
        <is>
          <t>Kershaw District, South Carolina</t>
        </is>
      </c>
      <c r="L70" s="39" t="inlineStr">
        <is>
          <t>Rives / Harrison</t>
        </is>
      </c>
      <c r="M70" s="39" t="inlineStr">
        <is>
          <t>A - Confirmed</t>
        </is>
      </c>
      <c r="N70" s="39" t="str"/>
      <c r="O70" s="39" t="str"/>
      <c r="P70" s="39" t="inlineStr">
        <is>
          <t>Fredric Muller Vollmer → Jan Muller Vollmer → Anne Rives McCormick Muller → Eloise A. “Elvie/Elvia” Slaughter McCormick → Lula Arnelia Rives → Robert Calhoun Rives → Amelia Harrison → Ann Perry → James Perry</t>
        </is>
      </c>
      <c r="Q70" s="39" t="inlineStr">
        <is>
          <t>His will and later equity case identify Ann Perry as his daughter.</t>
        </is>
      </c>
      <c r="R70" s="39" t="inlineStr">
        <is>
          <t>S20</t>
        </is>
      </c>
    </row>
    <row r="71">
      <c r="A71" s="39" t="inlineStr">
        <is>
          <t>I142</t>
        </is>
      </c>
      <c r="B71" s="39" t="inlineStr">
        <is>
          <t>497</t>
        </is>
      </c>
      <c r="C71" s="39" t="n">
        <v>8</v>
      </c>
      <c r="D71" s="39" t="inlineStr">
        <is>
          <t>Lucy Wyche</t>
        </is>
      </c>
      <c r="E71" s="39" t="inlineStr">
        <is>
          <t>F</t>
        </is>
      </c>
      <c r="F71" s="39" t="str"/>
      <c r="G71" s="39" t="n"/>
      <c r="H71" s="39" t="inlineStr">
        <is>
          <t>Brunswick County, Virginia</t>
        </is>
      </c>
      <c r="I71" s="39" t="str"/>
      <c r="J71" s="39" t="n"/>
      <c r="K71" s="39" t="str"/>
      <c r="L71" s="39" t="inlineStr">
        <is>
          <t>Rives / Harrison</t>
        </is>
      </c>
      <c r="M71" s="39" t="inlineStr">
        <is>
          <t>B - Strong</t>
        </is>
      </c>
      <c r="N71" s="39" t="inlineStr">
        <is>
          <t>Peter Wyche</t>
        </is>
      </c>
      <c r="O71" s="39" t="inlineStr">
        <is>
          <t>Alice (surname unknown) Wyche</t>
        </is>
      </c>
      <c r="P71" s="39" t="inlineStr">
        <is>
          <t>Fredric Muller Vollmer → Jan Muller Vollmer → Anne Rives McCormick Muller → Eloise A. “Elvie/Elvia” Slaughter McCormick → Lula Arnelia Rives → Robert Calhoun Rives → Robert Rives → Green Rives → Lucy Wyche</t>
        </is>
      </c>
      <c r="Q71" s="39" t="str"/>
      <c r="R71" s="39" t="inlineStr">
        <is>
          <t>S4, S10, S11</t>
        </is>
      </c>
    </row>
    <row r="72">
      <c r="A72" s="39" t="inlineStr">
        <is>
          <t>I159</t>
        </is>
      </c>
      <c r="B72" s="39" t="inlineStr">
        <is>
          <t>501</t>
        </is>
      </c>
      <c r="C72" s="39" t="n">
        <v>8</v>
      </c>
      <c r="D72" s="39" t="inlineStr">
        <is>
          <t>Nancy (possibly Kirkland) Harrison</t>
        </is>
      </c>
      <c r="E72" s="39" t="inlineStr">
        <is>
          <t>F</t>
        </is>
      </c>
      <c r="F72" s="39" t="str"/>
      <c r="G72" s="39" t="n"/>
      <c r="H72" s="39" t="str"/>
      <c r="I72" s="39" t="str"/>
      <c r="J72" s="39" t="n"/>
      <c r="K72" s="39" t="str"/>
      <c r="L72" s="39" t="inlineStr">
        <is>
          <t>Rives / Harrison</t>
        </is>
      </c>
      <c r="M72" s="39" t="inlineStr">
        <is>
          <t>C - Provisional</t>
        </is>
      </c>
      <c r="N72" s="39" t="str"/>
      <c r="O72" s="39" t="str"/>
      <c r="P72" s="39" t="inlineStr">
        <is>
          <t>Fredric Muller Vollmer → Jan Muller Vollmer → Anne Rives McCormick Muller → Eloise A. “Elvie/Elvia” Slaughter McCormick → Lula Arnelia Rives → Robert Calhoun Rives → Amelia Harrison → William Harrison → Nancy (possibly Kirkland) Harrison</t>
        </is>
      </c>
      <c r="Q72" s="39" t="inlineStr">
        <is>
          <t>Nancy is named as Reuben’s widow; the maiden name Kirkland comes from compiled family material and is not proved here.</t>
        </is>
      </c>
      <c r="R72" s="39" t="inlineStr">
        <is>
          <t>S20</t>
        </is>
      </c>
    </row>
    <row r="73">
      <c r="A73" s="39" t="inlineStr">
        <is>
          <t>I158</t>
        </is>
      </c>
      <c r="B73" s="39" t="inlineStr">
        <is>
          <t>500</t>
        </is>
      </c>
      <c r="C73" s="39" t="n">
        <v>8</v>
      </c>
      <c r="D73" s="39" t="inlineStr">
        <is>
          <t>Reuben Harrison</t>
        </is>
      </c>
      <c r="E73" s="39" t="inlineStr">
        <is>
          <t>M</t>
        </is>
      </c>
      <c r="F73" s="39" t="str"/>
      <c r="G73" s="39" t="n"/>
      <c r="H73" s="39" t="str"/>
      <c r="I73" s="39" t="inlineStr">
        <is>
          <t>1835</t>
        </is>
      </c>
      <c r="J73" s="39" t="n">
        <v>1835</v>
      </c>
      <c r="K73" s="39" t="str"/>
      <c r="L73" s="39" t="inlineStr">
        <is>
          <t>Rives / Harrison</t>
        </is>
      </c>
      <c r="M73" s="39" t="inlineStr">
        <is>
          <t>B - Strong</t>
        </is>
      </c>
      <c r="N73" s="39" t="str"/>
      <c r="O73" s="39" t="str"/>
      <c r="P73" s="39" t="inlineStr">
        <is>
          <t>Fredric Muller Vollmer → Jan Muller Vollmer → Anne Rives McCormick Muller → Eloise A. “Elvie/Elvia” Slaughter McCormick → Lula Arnelia Rives → Robert Calhoun Rives → Amelia Harrison → William Harrison → Reuben Harrison</t>
        </is>
      </c>
      <c r="Q73" s="39" t="inlineStr">
        <is>
          <t>Equity records identify William Harrison as his son.</t>
        </is>
      </c>
      <c r="R73" s="39" t="inlineStr">
        <is>
          <t>S20</t>
        </is>
      </c>
    </row>
    <row r="74">
      <c r="A74" s="39" t="inlineStr">
        <is>
          <t>I146</t>
        </is>
      </c>
      <c r="B74" s="39" t="inlineStr">
        <is>
          <t>499</t>
        </is>
      </c>
      <c r="C74" s="39" t="n">
        <v>8</v>
      </c>
      <c r="D74" s="39" t="inlineStr">
        <is>
          <t>Susannah (surname unknown) Jones</t>
        </is>
      </c>
      <c r="E74" s="39" t="inlineStr">
        <is>
          <t>F</t>
        </is>
      </c>
      <c r="F74" s="39" t="str"/>
      <c r="G74" s="39" t="n"/>
      <c r="H74" s="39" t="str"/>
      <c r="I74" s="39" t="str"/>
      <c r="J74" s="39" t="n"/>
      <c r="K74" s="39" t="str"/>
      <c r="L74" s="39" t="inlineStr">
        <is>
          <t>Rives / Harrison</t>
        </is>
      </c>
      <c r="M74" s="39" t="inlineStr">
        <is>
          <t>B - Strong</t>
        </is>
      </c>
      <c r="N74" s="39" t="str"/>
      <c r="O74" s="39" t="str"/>
      <c r="P74" s="39" t="inlineStr">
        <is>
          <t>Fredric Muller Vollmer → Jan Muller Vollmer → Anne Rives McCormick Muller → Eloise A. “Elvie/Elvia” Slaughter McCormick → Lula Arnelia Rives → Robert Calhoun Rives → Robert Rives → Mary Ridley Jones → Susannah (surname unknown) Jones</t>
        </is>
      </c>
      <c r="Q74" s="39" t="str"/>
      <c r="R74" s="39" t="inlineStr">
        <is>
          <t>S10</t>
        </is>
      </c>
    </row>
    <row r="75">
      <c r="A75" s="39" t="inlineStr">
        <is>
          <t>I141</t>
        </is>
      </c>
      <c r="B75" s="39" t="inlineStr">
        <is>
          <t>496</t>
        </is>
      </c>
      <c r="C75" s="39" t="n">
        <v>8</v>
      </c>
      <c r="D75" s="39" t="inlineStr">
        <is>
          <t>William Rives</t>
        </is>
      </c>
      <c r="E75" s="39" t="inlineStr">
        <is>
          <t>M</t>
        </is>
      </c>
      <c r="F75" s="39" t="inlineStr">
        <is>
          <t>about 1737</t>
        </is>
      </c>
      <c r="G75" s="39" t="n">
        <v>1737</v>
      </c>
      <c r="H75" s="39" t="inlineStr">
        <is>
          <t>Brunswick County, Virginia</t>
        </is>
      </c>
      <c r="I75" s="39" t="inlineStr">
        <is>
          <t>1783</t>
        </is>
      </c>
      <c r="J75" s="39" t="n">
        <v>1783</v>
      </c>
      <c r="K75" s="39" t="inlineStr">
        <is>
          <t>Camden District, South Carolina</t>
        </is>
      </c>
      <c r="L75" s="39" t="inlineStr">
        <is>
          <t>Rives / Harrison</t>
        </is>
      </c>
      <c r="M75" s="39" t="inlineStr">
        <is>
          <t>B - Strong</t>
        </is>
      </c>
      <c r="N75" s="39" t="inlineStr">
        <is>
          <t>Timothy Rives</t>
        </is>
      </c>
      <c r="O75" s="39" t="inlineStr">
        <is>
          <t>Hester (possibly Turner) Rives</t>
        </is>
      </c>
      <c r="P75" s="39" t="inlineStr">
        <is>
          <t>Fredric Muller Vollmer → Jan Muller Vollmer → Anne Rives McCormick Muller → Eloise A. “Elvie/Elvia” Slaughter McCormick → Lula Arnelia Rives → Robert Calhoun Rives → Robert Rives → Green Rives → William Rives</t>
        </is>
      </c>
      <c r="Q75" s="39" t="str"/>
      <c r="R75" s="39" t="inlineStr">
        <is>
          <t>S4, S10, S11</t>
        </is>
      </c>
    </row>
    <row r="76">
      <c r="A76" s="39" t="inlineStr">
        <is>
          <t>I169</t>
        </is>
      </c>
      <c r="B76" s="39" t="inlineStr">
        <is>
          <t>1011</t>
        </is>
      </c>
      <c r="C76" s="39" t="n">
        <v>9</v>
      </c>
      <c r="D76" s="39" t="inlineStr">
        <is>
          <t>Ann Bondurant</t>
        </is>
      </c>
      <c r="E76" s="39" t="inlineStr">
        <is>
          <t>F</t>
        </is>
      </c>
      <c r="F76" s="39" t="str"/>
      <c r="G76" s="39" t="n"/>
      <c r="H76" s="39" t="str"/>
      <c r="I76" s="39" t="str"/>
      <c r="J76" s="39" t="n"/>
      <c r="K76" s="39" t="str"/>
      <c r="L76" s="39" t="inlineStr">
        <is>
          <t>Agee / Ford / Bondurant</t>
        </is>
      </c>
      <c r="M76" s="39" t="inlineStr">
        <is>
          <t>B - Strong</t>
        </is>
      </c>
      <c r="N76" s="39" t="inlineStr">
        <is>
          <t>Jean Pierre “John Peter” Bondurant</t>
        </is>
      </c>
      <c r="O76" s="39" t="str"/>
      <c r="P76" s="39" t="inlineStr">
        <is>
          <t>Fredric Muller Vollmer → Jan Muller Vollmer → Anne Rives McCormick Muller → Eloise A. “Elvie/Elvia” Slaughter McCormick → Lula Arnelia Rives → Florence Estelle Agee → William Raiford Agee → Noah Agee → Mary (possibly Elizabeth) Ford → Ann Bondurant</t>
        </is>
      </c>
      <c r="Q76" s="39" t="str"/>
      <c r="R76" s="39" t="inlineStr">
        <is>
          <t>S8</t>
        </is>
      </c>
    </row>
    <row r="77">
      <c r="A77" s="39" t="inlineStr">
        <is>
          <t>I167</t>
        </is>
      </c>
      <c r="B77" s="39" t="inlineStr">
        <is>
          <t>1009</t>
        </is>
      </c>
      <c r="C77" s="39" t="n">
        <v>9</v>
      </c>
      <c r="D77" s="39" t="inlineStr">
        <is>
          <t>Ann Godwin (or Goodwin)</t>
        </is>
      </c>
      <c r="E77" s="39" t="inlineStr">
        <is>
          <t>F</t>
        </is>
      </c>
      <c r="F77" s="39" t="str"/>
      <c r="G77" s="39" t="n"/>
      <c r="H77" s="39" t="str"/>
      <c r="I77" s="39" t="str"/>
      <c r="J77" s="39" t="n"/>
      <c r="K77" s="39" t="str"/>
      <c r="L77" s="39" t="inlineStr">
        <is>
          <t>Agee / Ford / Bondurant</t>
        </is>
      </c>
      <c r="M77" s="39" t="inlineStr">
        <is>
          <t>C - Provisional</t>
        </is>
      </c>
      <c r="N77" s="39" t="inlineStr">
        <is>
          <t>Isaac Godwin</t>
        </is>
      </c>
      <c r="O77" s="39" t="inlineStr">
        <is>
          <t>Ann (surname unknown) Godwin</t>
        </is>
      </c>
      <c r="P77" s="39" t="inlineStr">
        <is>
          <t>Fredric Muller Vollmer → Jan Muller Vollmer → Anne Rives McCormick Muller → Eloise A. “Elvie/Elvia” Slaughter McCormick → Lula Arnelia Rives → Florence Estelle Agee → William Raiford Agee → Noah Agee → James Agee → Ann Godwin (or Goodwin)</t>
        </is>
      </c>
      <c r="Q77" s="39" t="str"/>
      <c r="R77" s="39" t="inlineStr">
        <is>
          <t>S8</t>
        </is>
      </c>
    </row>
    <row r="78">
      <c r="A78" s="39" t="inlineStr">
        <is>
          <t>I168</t>
        </is>
      </c>
      <c r="B78" s="39" t="inlineStr">
        <is>
          <t>1010</t>
        </is>
      </c>
      <c r="C78" s="39" t="n">
        <v>9</v>
      </c>
      <c r="D78" s="39" t="inlineStr">
        <is>
          <t>James Ford</t>
        </is>
      </c>
      <c r="E78" s="39" t="inlineStr">
        <is>
          <t>M</t>
        </is>
      </c>
      <c r="F78" s="39" t="str"/>
      <c r="G78" s="39" t="n"/>
      <c r="H78" s="39" t="str"/>
      <c r="I78" s="39" t="str"/>
      <c r="J78" s="39" t="n"/>
      <c r="K78" s="39" t="str"/>
      <c r="L78" s="39" t="inlineStr">
        <is>
          <t>Agee / Ford / Bondurant</t>
        </is>
      </c>
      <c r="M78" s="39" t="inlineStr">
        <is>
          <t>B - Strong</t>
        </is>
      </c>
      <c r="N78" s="39" t="str"/>
      <c r="O78" s="39" t="str"/>
      <c r="P78" s="39" t="inlineStr">
        <is>
          <t>Fredric Muller Vollmer → Jan Muller Vollmer → Anne Rives McCormick Muller → Eloise A. “Elvie/Elvia” Slaughter McCormick → Lula Arnelia Rives → Florence Estelle Agee → William Raiford Agee → Noah Agee → Mary (possibly Elizabeth) Ford → James Ford</t>
        </is>
      </c>
      <c r="Q78" s="39" t="str"/>
      <c r="R78" s="39" t="inlineStr">
        <is>
          <t>S8</t>
        </is>
      </c>
    </row>
    <row r="79">
      <c r="A79" s="39" t="inlineStr">
        <is>
          <t>I166</t>
        </is>
      </c>
      <c r="B79" s="39" t="inlineStr">
        <is>
          <t>1008</t>
        </is>
      </c>
      <c r="C79" s="39" t="n">
        <v>9</v>
      </c>
      <c r="D79" s="39" t="inlineStr">
        <is>
          <t>Mathieu Agee</t>
        </is>
      </c>
      <c r="E79" s="39" t="inlineStr">
        <is>
          <t>M</t>
        </is>
      </c>
      <c r="F79" s="39" t="inlineStr">
        <is>
          <t>about 1670</t>
        </is>
      </c>
      <c r="G79" s="39" t="n">
        <v>1670</v>
      </c>
      <c r="H79" s="39" t="inlineStr">
        <is>
          <t>near Nantes, France</t>
        </is>
      </c>
      <c r="I79" s="39" t="str"/>
      <c r="J79" s="39" t="n"/>
      <c r="K79" s="39" t="inlineStr">
        <is>
          <t>Virginia</t>
        </is>
      </c>
      <c r="L79" s="39" t="inlineStr">
        <is>
          <t>Agee / Ford / Bondurant</t>
        </is>
      </c>
      <c r="M79" s="39" t="inlineStr">
        <is>
          <t>C - Provisional</t>
        </is>
      </c>
      <c r="N79" s="39" t="inlineStr">
        <is>
          <t>Anthony Agee (traditional)</t>
        </is>
      </c>
      <c r="O79" s="39" t="inlineStr">
        <is>
          <t>Judith Chastain (traditional)</t>
        </is>
      </c>
      <c r="P79" s="39" t="inlineStr">
        <is>
          <t>Fredric Muller Vollmer → Jan Muller Vollmer → Anne Rives McCormick Muller → Eloise A. “Elvie/Elvia” Slaughter McCormick → Lula Arnelia Rives → Florence Estelle Agee → William Raiford Agee → Noah Agee → James Agee → Mathieu Agee</t>
        </is>
      </c>
      <c r="Q79" s="39" t="inlineStr">
        <is>
          <t>Huguenot immigrant traditionally said to have arrived in Virginia in 1690. Parentage is substantially less secure than his American family.</t>
        </is>
      </c>
      <c r="R79" s="39" t="inlineStr">
        <is>
          <t>S8</t>
        </is>
      </c>
    </row>
    <row r="80">
      <c r="A80" s="39" t="inlineStr">
        <is>
          <t>I044</t>
        </is>
      </c>
      <c r="B80" s="39" t="inlineStr">
        <is>
          <t>843</t>
        </is>
      </c>
      <c r="C80" s="39" t="n">
        <v>9</v>
      </c>
      <c r="D80" s="39" t="inlineStr">
        <is>
          <t>Abigail Crampton</t>
        </is>
      </c>
      <c r="E80" s="39" t="inlineStr">
        <is>
          <t>F</t>
        </is>
      </c>
      <c r="F80" s="39" t="inlineStr">
        <is>
          <t>17 Oct 1704</t>
        </is>
      </c>
      <c r="G80" s="39" t="n">
        <v>1704</v>
      </c>
      <c r="H80" s="39" t="str"/>
      <c r="I80" s="39" t="inlineStr">
        <is>
          <t>4 Nov 1757</t>
        </is>
      </c>
      <c r="J80" s="39" t="n">
        <v>1757</v>
      </c>
      <c r="K80" s="39" t="str"/>
      <c r="L80" s="39" t="inlineStr">
        <is>
          <t>Lee / New England</t>
        </is>
      </c>
      <c r="M80" s="39" t="inlineStr">
        <is>
          <t>B - Strong</t>
        </is>
      </c>
      <c r="N80" s="39" t="inlineStr">
        <is>
          <t>John Crampton</t>
        </is>
      </c>
      <c r="O80" s="39" t="inlineStr">
        <is>
          <t>Hannah Evarts</t>
        </is>
      </c>
      <c r="P80" s="39" t="inlineStr">
        <is>
          <t>Fredric Muller Vollmer → Jan Muller Vollmer → Arthur John Muller → Elma Anna Lee → Elmer Ellsworth Lee → Hubbard Stone Lee → Grace Stone → John Evarts Stone → Carine Ward → Abigail Crampton</t>
        </is>
      </c>
      <c r="Q80" s="39" t="str"/>
      <c r="R80" s="39" t="inlineStr">
        <is>
          <t>S7</t>
        </is>
      </c>
    </row>
    <row r="81">
      <c r="A81" s="39" t="inlineStr">
        <is>
          <t>I037</t>
        </is>
      </c>
      <c r="B81" s="39" t="inlineStr">
        <is>
          <t>833</t>
        </is>
      </c>
      <c r="C81" s="39" t="n">
        <v>9</v>
      </c>
      <c r="D81" s="39" t="inlineStr">
        <is>
          <t>Abigail Stevens</t>
        </is>
      </c>
      <c r="E81" s="39" t="inlineStr">
        <is>
          <t>F</t>
        </is>
      </c>
      <c r="F81" s="39" t="str"/>
      <c r="G81" s="39" t="n"/>
      <c r="H81" s="39" t="str"/>
      <c r="I81" s="39" t="inlineStr">
        <is>
          <t>Aug 1727</t>
        </is>
      </c>
      <c r="J81" s="39" t="n">
        <v>1727</v>
      </c>
      <c r="K81" s="39" t="str"/>
      <c r="L81" s="39" t="inlineStr">
        <is>
          <t>Lee / New England</t>
        </is>
      </c>
      <c r="M81" s="39" t="inlineStr">
        <is>
          <t>B - Strong</t>
        </is>
      </c>
      <c r="N81" s="39" t="inlineStr">
        <is>
          <t>Thomas Stevens</t>
        </is>
      </c>
      <c r="O81" s="39" t="str"/>
      <c r="P81" s="39" t="inlineStr">
        <is>
          <t>Fredric Muller Vollmer → Jan Muller Vollmer → Arthur John Muller → Elma Anna Lee → Elmer Ellsworth Lee → Hubbard Stone Lee → Elon Lee → William Lee → Ebenezer Lee → Abigail Stevens</t>
        </is>
      </c>
      <c r="Q81" s="39" t="str"/>
      <c r="R81" s="39" t="inlineStr">
        <is>
          <t>S7</t>
        </is>
      </c>
    </row>
    <row r="82">
      <c r="A82" s="39" t="inlineStr">
        <is>
          <t>I041</t>
        </is>
      </c>
      <c r="B82" s="39" t="inlineStr">
        <is>
          <t>840</t>
        </is>
      </c>
      <c r="C82" s="39" t="n">
        <v>9</v>
      </c>
      <c r="D82" s="39" t="inlineStr">
        <is>
          <t>Caleb Stone Jr.</t>
        </is>
      </c>
      <c r="E82" s="39" t="inlineStr">
        <is>
          <t>M</t>
        </is>
      </c>
      <c r="F82" s="39" t="inlineStr">
        <is>
          <t>7 May 1714</t>
        </is>
      </c>
      <c r="G82" s="39" t="n">
        <v>1714</v>
      </c>
      <c r="H82" s="39" t="inlineStr">
        <is>
          <t>probably Guilford, Connecticut</t>
        </is>
      </c>
      <c r="I82" s="39" t="inlineStr">
        <is>
          <t>28 Jul 1788</t>
        </is>
      </c>
      <c r="J82" s="39" t="n">
        <v>1788</v>
      </c>
      <c r="K82" s="39" t="inlineStr">
        <is>
          <t>Guilford, Connecticut</t>
        </is>
      </c>
      <c r="L82" s="39" t="inlineStr">
        <is>
          <t>Lee / New England</t>
        </is>
      </c>
      <c r="M82" s="39" t="inlineStr">
        <is>
          <t>B - Strong</t>
        </is>
      </c>
      <c r="N82" s="39" t="inlineStr">
        <is>
          <t>Caleb Stone</t>
        </is>
      </c>
      <c r="O82" s="39" t="inlineStr">
        <is>
          <t>Sarah Meigs</t>
        </is>
      </c>
      <c r="P82" s="39" t="inlineStr">
        <is>
          <t>Fredric Muller Vollmer → Jan Muller Vollmer → Arthur John Muller → Elma Anna Lee → Elmer Ellsworth Lee → Hubbard Stone Lee → Grace Stone → John Evarts Stone → Asher Stone → Caleb Stone Jr.</t>
        </is>
      </c>
      <c r="Q82" s="39" t="str"/>
      <c r="R82" s="39" t="inlineStr">
        <is>
          <t>S7</t>
        </is>
      </c>
    </row>
    <row r="83">
      <c r="A83" s="39" t="inlineStr">
        <is>
          <t>I036</t>
        </is>
      </c>
      <c r="B83" s="39" t="inlineStr">
        <is>
          <t>832</t>
        </is>
      </c>
      <c r="C83" s="39" t="n">
        <v>9</v>
      </c>
      <c r="D83" s="39" t="inlineStr">
        <is>
          <t>Edward Lee</t>
        </is>
      </c>
      <c r="E83" s="39" t="inlineStr">
        <is>
          <t>M</t>
        </is>
      </c>
      <c r="F83" s="39" t="inlineStr">
        <is>
          <t>about 1656</t>
        </is>
      </c>
      <c r="G83" s="39" t="n">
        <v>1656</v>
      </c>
      <c r="H83" s="39" t="str"/>
      <c r="I83" s="39" t="str"/>
      <c r="J83" s="39" t="n"/>
      <c r="K83" s="39" t="str"/>
      <c r="L83" s="39" t="inlineStr">
        <is>
          <t>Lee / New England</t>
        </is>
      </c>
      <c r="M83" s="39" t="inlineStr">
        <is>
          <t>B - Strong</t>
        </is>
      </c>
      <c r="N83" s="39" t="str"/>
      <c r="O83" s="39" t="str"/>
      <c r="P83" s="39" t="inlineStr">
        <is>
          <t>Fredric Muller Vollmer → Jan Muller Vollmer → Arthur John Muller → Elma Anna Lee → Elmer Ellsworth Lee → Hubbard Stone Lee → Elon Lee → William Lee → Ebenezer Lee → Edward Lee</t>
        </is>
      </c>
      <c r="Q83" s="39" t="inlineStr">
        <is>
          <t>Earlier parentage not supplied in the consulted Ahnentafel.</t>
        </is>
      </c>
      <c r="R83" s="39" t="inlineStr">
        <is>
          <t>S7</t>
        </is>
      </c>
    </row>
    <row r="84">
      <c r="A84" s="39" t="inlineStr">
        <is>
          <t>I040</t>
        </is>
      </c>
      <c r="B84" s="39" t="inlineStr">
        <is>
          <t>837</t>
        </is>
      </c>
      <c r="C84" s="39" t="n">
        <v>9</v>
      </c>
      <c r="D84" s="39" t="inlineStr">
        <is>
          <t>Hannah Cruttenden</t>
        </is>
      </c>
      <c r="E84" s="39" t="inlineStr">
        <is>
          <t>F</t>
        </is>
      </c>
      <c r="F84" s="39" t="inlineStr">
        <is>
          <t>about 1679</t>
        </is>
      </c>
      <c r="G84" s="39" t="n">
        <v>1679</v>
      </c>
      <c r="H84" s="39" t="str"/>
      <c r="I84" s="39" t="inlineStr">
        <is>
          <t>28 Mar 1756</t>
        </is>
      </c>
      <c r="J84" s="39" t="n">
        <v>1756</v>
      </c>
      <c r="K84" s="39" t="str"/>
      <c r="L84" s="39" t="inlineStr">
        <is>
          <t>Lee / New England</t>
        </is>
      </c>
      <c r="M84" s="39" t="inlineStr">
        <is>
          <t>B - Strong</t>
        </is>
      </c>
      <c r="N84" s="39" t="inlineStr">
        <is>
          <t>Isaac Cruttenden</t>
        </is>
      </c>
      <c r="O84" s="39" t="inlineStr">
        <is>
          <t>Lydia Thompson</t>
        </is>
      </c>
      <c r="P84" s="39" t="inlineStr">
        <is>
          <t>Fredric Muller Vollmer → Jan Muller Vollmer → Arthur John Muller → Elma Anna Lee → Elmer Ellsworth Lee → Hubbard Stone Lee → Elon Lee → Eunice Hotchkiss → Mark Hotchkiss → Hannah Cruttenden</t>
        </is>
      </c>
      <c r="Q84" s="39" t="str"/>
      <c r="R84" s="39" t="inlineStr">
        <is>
          <t>S7</t>
        </is>
      </c>
    </row>
    <row r="85">
      <c r="A85" s="39" t="inlineStr">
        <is>
          <t>I038</t>
        </is>
      </c>
      <c r="B85" s="39" t="inlineStr">
        <is>
          <t>834</t>
        </is>
      </c>
      <c r="C85" s="39" t="n">
        <v>9</v>
      </c>
      <c r="D85" s="39" t="inlineStr">
        <is>
          <t>Joseph Chidsey</t>
        </is>
      </c>
      <c r="E85" s="39" t="inlineStr">
        <is>
          <t>M</t>
        </is>
      </c>
      <c r="F85" s="39" t="str"/>
      <c r="G85" s="39" t="n"/>
      <c r="H85" s="39" t="str"/>
      <c r="I85" s="39" t="str"/>
      <c r="J85" s="39" t="n"/>
      <c r="K85" s="39" t="str"/>
      <c r="L85" s="39" t="inlineStr">
        <is>
          <t>Lee / New England</t>
        </is>
      </c>
      <c r="M85" s="39" t="inlineStr">
        <is>
          <t>B - Strong</t>
        </is>
      </c>
      <c r="N85" s="39" t="str"/>
      <c r="O85" s="39" t="str"/>
      <c r="P85" s="39" t="inlineStr">
        <is>
          <t>Fredric Muller Vollmer → Jan Muller Vollmer → Arthur John Muller → Elma Anna Lee → Elmer Ellsworth Lee → Hubbard Stone Lee → Elon Lee → William Lee → Sarah Chidsey → Joseph Chidsey</t>
        </is>
      </c>
      <c r="Q85" s="39" t="inlineStr">
        <is>
          <t>Earlier parentage not supplied in the consulted Ahnentafel.</t>
        </is>
      </c>
      <c r="R85" s="39" t="inlineStr">
        <is>
          <t>S7</t>
        </is>
      </c>
    </row>
    <row r="86">
      <c r="A86" s="39" t="inlineStr">
        <is>
          <t>I039</t>
        </is>
      </c>
      <c r="B86" s="39" t="inlineStr">
        <is>
          <t>836</t>
        </is>
      </c>
      <c r="C86" s="39" t="n">
        <v>9</v>
      </c>
      <c r="D86" s="39" t="inlineStr">
        <is>
          <t>Joseph Hotchkiss</t>
        </is>
      </c>
      <c r="E86" s="39" t="inlineStr">
        <is>
          <t>M</t>
        </is>
      </c>
      <c r="F86" s="39" t="inlineStr">
        <is>
          <t>3 Jun 1678</t>
        </is>
      </c>
      <c r="G86" s="39" t="n">
        <v>1678</v>
      </c>
      <c r="H86" s="39" t="str"/>
      <c r="I86" s="39" t="inlineStr">
        <is>
          <t>31 Jan 1740</t>
        </is>
      </c>
      <c r="J86" s="39" t="n">
        <v>1740</v>
      </c>
      <c r="K86" s="39" t="str"/>
      <c r="L86" s="39" t="inlineStr">
        <is>
          <t>Lee / New England</t>
        </is>
      </c>
      <c r="M86" s="39" t="inlineStr">
        <is>
          <t>B - Strong</t>
        </is>
      </c>
      <c r="N86" s="39" t="inlineStr">
        <is>
          <t>John Hotchkiss</t>
        </is>
      </c>
      <c r="O86" s="39" t="inlineStr">
        <is>
          <t>Elizabeth Peck</t>
        </is>
      </c>
      <c r="P86" s="39" t="inlineStr">
        <is>
          <t>Fredric Muller Vollmer → Jan Muller Vollmer → Arthur John Muller → Elma Anna Lee → Elmer Ellsworth Lee → Hubbard Stone Lee → Elon Lee → Eunice Hotchkiss → Mark Hotchkiss → Joseph Hotchkiss</t>
        </is>
      </c>
      <c r="Q86" s="39" t="str"/>
      <c r="R86" s="39" t="inlineStr">
        <is>
          <t>S7</t>
        </is>
      </c>
    </row>
    <row r="87">
      <c r="A87" s="39" t="inlineStr">
        <is>
          <t>I042</t>
        </is>
      </c>
      <c r="B87" s="39" t="inlineStr">
        <is>
          <t>841</t>
        </is>
      </c>
      <c r="C87" s="39" t="n">
        <v>9</v>
      </c>
      <c r="D87" s="39" t="inlineStr">
        <is>
          <t>Rebecca Evarts</t>
        </is>
      </c>
      <c r="E87" s="39" t="inlineStr">
        <is>
          <t>F</t>
        </is>
      </c>
      <c r="F87" s="39" t="inlineStr">
        <is>
          <t>about 1715</t>
        </is>
      </c>
      <c r="G87" s="39" t="n">
        <v>1715</v>
      </c>
      <c r="H87" s="39" t="str"/>
      <c r="I87" s="39" t="inlineStr">
        <is>
          <t>5 Sep 1795</t>
        </is>
      </c>
      <c r="J87" s="39" t="n">
        <v>1795</v>
      </c>
      <c r="K87" s="39" t="str"/>
      <c r="L87" s="39" t="inlineStr">
        <is>
          <t>Lee / New England</t>
        </is>
      </c>
      <c r="M87" s="39" t="inlineStr">
        <is>
          <t>B - Strong</t>
        </is>
      </c>
      <c r="N87" s="39" t="inlineStr">
        <is>
          <t>James Evarts</t>
        </is>
      </c>
      <c r="O87" s="39" t="str"/>
      <c r="P87" s="39" t="inlineStr">
        <is>
          <t>Fredric Muller Vollmer → Jan Muller Vollmer → Arthur John Muller → Elma Anna Lee → Elmer Ellsworth Lee → Hubbard Stone Lee → Grace Stone → John Evarts Stone → Asher Stone → Rebecca Evarts</t>
        </is>
      </c>
      <c r="Q87" s="39" t="str"/>
      <c r="R87" s="39" t="inlineStr">
        <is>
          <t>S7</t>
        </is>
      </c>
    </row>
    <row r="88">
      <c r="A88" s="39" t="inlineStr">
        <is>
          <t>I043</t>
        </is>
      </c>
      <c r="B88" s="39" t="inlineStr">
        <is>
          <t>842</t>
        </is>
      </c>
      <c r="C88" s="39" t="n">
        <v>9</v>
      </c>
      <c r="D88" s="39" t="inlineStr">
        <is>
          <t>William Ward</t>
        </is>
      </c>
      <c r="E88" s="39" t="inlineStr">
        <is>
          <t>M</t>
        </is>
      </c>
      <c r="F88" s="39" t="inlineStr">
        <is>
          <t>7 Jan 1705</t>
        </is>
      </c>
      <c r="G88" s="39" t="n">
        <v>1705</v>
      </c>
      <c r="H88" s="39" t="inlineStr">
        <is>
          <t>Wallingford, New Haven County, Connecticut</t>
        </is>
      </c>
      <c r="I88" s="39" t="inlineStr">
        <is>
          <t>19 Dec 1761</t>
        </is>
      </c>
      <c r="J88" s="39" t="n">
        <v>1761</v>
      </c>
      <c r="K88" s="39" t="str"/>
      <c r="L88" s="39" t="inlineStr">
        <is>
          <t>Lee / New England</t>
        </is>
      </c>
      <c r="M88" s="39" t="inlineStr">
        <is>
          <t>B - Strong</t>
        </is>
      </c>
      <c r="N88" s="39" t="inlineStr">
        <is>
          <t>William Ward</t>
        </is>
      </c>
      <c r="O88" s="39" t="inlineStr">
        <is>
          <t>Lettice Beach</t>
        </is>
      </c>
      <c r="P88" s="39" t="inlineStr">
        <is>
          <t>Fredric Muller Vollmer → Jan Muller Vollmer → Arthur John Muller → Elma Anna Lee → Elmer Ellsworth Lee → Hubbard Stone Lee → Grace Stone → John Evarts Stone → Carine Ward → William Ward</t>
        </is>
      </c>
      <c r="Q88" s="39" t="str"/>
      <c r="R88" s="39" t="inlineStr">
        <is>
          <t>S7</t>
        </is>
      </c>
    </row>
    <row r="89">
      <c r="A89" s="39" t="inlineStr">
        <is>
          <t>I153</t>
        </is>
      </c>
      <c r="B89" s="39" t="inlineStr">
        <is>
          <t>995</t>
        </is>
      </c>
      <c r="C89" s="39" t="n">
        <v>9</v>
      </c>
      <c r="D89" s="39" t="inlineStr">
        <is>
          <t>Alice (surname unknown) Wyche</t>
        </is>
      </c>
      <c r="E89" s="39" t="inlineStr">
        <is>
          <t>F</t>
        </is>
      </c>
      <c r="F89" s="39" t="str"/>
      <c r="G89" s="39" t="n"/>
      <c r="H89" s="39" t="str"/>
      <c r="I89" s="39" t="str"/>
      <c r="J89" s="39" t="n"/>
      <c r="K89" s="39" t="str"/>
      <c r="L89" s="39" t="inlineStr">
        <is>
          <t>Rives / Harrison</t>
        </is>
      </c>
      <c r="M89" s="39" t="inlineStr">
        <is>
          <t>B - Strong</t>
        </is>
      </c>
      <c r="N89" s="39" t="str"/>
      <c r="O89" s="39" t="str"/>
      <c r="P89" s="39" t="inlineStr">
        <is>
          <t>Fredric Muller Vollmer → Jan Muller Vollmer → Anne Rives McCormick Muller → Eloise A. “Elvie/Elvia” Slaughter McCormick → Lula Arnelia Rives → Robert Calhoun Rives → Robert Rives → Green Rives → Lucy Wyche → Alice (surname unknown) Wyche</t>
        </is>
      </c>
      <c r="Q89" s="39" t="str"/>
      <c r="R89" s="39" t="inlineStr">
        <is>
          <t>S11</t>
        </is>
      </c>
    </row>
    <row r="90">
      <c r="A90" s="39" t="inlineStr">
        <is>
          <t>I144</t>
        </is>
      </c>
      <c r="B90" s="39" t="inlineStr">
        <is>
          <t>993</t>
        </is>
      </c>
      <c r="C90" s="39" t="n">
        <v>9</v>
      </c>
      <c r="D90" s="39" t="inlineStr">
        <is>
          <t>Hester (possibly Turner) Rives</t>
        </is>
      </c>
      <c r="E90" s="39" t="inlineStr">
        <is>
          <t>F</t>
        </is>
      </c>
      <c r="F90" s="39" t="str"/>
      <c r="G90" s="39" t="n"/>
      <c r="H90" s="39" t="str"/>
      <c r="I90" s="39" t="inlineStr">
        <is>
          <t>after 23 Aug 1772</t>
        </is>
      </c>
      <c r="J90" s="39" t="n">
        <v>1772</v>
      </c>
      <c r="K90" s="39" t="str"/>
      <c r="L90" s="39" t="inlineStr">
        <is>
          <t>Rives / Harrison</t>
        </is>
      </c>
      <c r="M90" s="39" t="inlineStr">
        <is>
          <t>C - Provisional</t>
        </is>
      </c>
      <c r="N90" s="39" t="str"/>
      <c r="O90" s="39" t="str"/>
      <c r="P90" s="39" t="inlineStr">
        <is>
          <t>Fredric Muller Vollmer → Jan Muller Vollmer → Anne Rives McCormick Muller → Eloise A. “Elvie/Elvia” Slaughter McCormick → Lula Arnelia Rives → Robert Calhoun Rives → Robert Rives → Green Rives → William Rives → Hester (possibly Turner) Rives</t>
        </is>
      </c>
      <c r="Q90" s="39" t="inlineStr">
        <is>
          <t>Given name is supported; Turner as surname remains uncertain.</t>
        </is>
      </c>
      <c r="R90" s="39" t="inlineStr">
        <is>
          <t>S4, S12</t>
        </is>
      </c>
    </row>
    <row r="91">
      <c r="A91" s="39" t="inlineStr">
        <is>
          <t>I152</t>
        </is>
      </c>
      <c r="B91" s="39" t="inlineStr">
        <is>
          <t>994</t>
        </is>
      </c>
      <c r="C91" s="39" t="n">
        <v>9</v>
      </c>
      <c r="D91" s="39" t="inlineStr">
        <is>
          <t>Peter Wyche</t>
        </is>
      </c>
      <c r="E91" s="39" t="inlineStr">
        <is>
          <t>M</t>
        </is>
      </c>
      <c r="F91" s="39" t="str"/>
      <c r="G91" s="39" t="n"/>
      <c r="H91" s="39" t="str"/>
      <c r="I91" s="39" t="str"/>
      <c r="J91" s="39" t="n"/>
      <c r="K91" s="39" t="str"/>
      <c r="L91" s="39" t="inlineStr">
        <is>
          <t>Rives / Harrison</t>
        </is>
      </c>
      <c r="M91" s="39" t="inlineStr">
        <is>
          <t>B - Strong</t>
        </is>
      </c>
      <c r="N91" s="39" t="str"/>
      <c r="O91" s="39" t="str"/>
      <c r="P91" s="39" t="inlineStr">
        <is>
          <t>Fredric Muller Vollmer → Jan Muller Vollmer → Anne Rives McCormick Muller → Eloise A. “Elvie/Elvia” Slaughter McCormick → Lula Arnelia Rives → Robert Calhoun Rives → Robert Rives → Green Rives → Lucy Wyche → Peter Wyche</t>
        </is>
      </c>
      <c r="Q91" s="39" t="str"/>
      <c r="R91" s="39" t="inlineStr">
        <is>
          <t>S11</t>
        </is>
      </c>
    </row>
    <row r="92">
      <c r="A92" s="39" t="inlineStr">
        <is>
          <t>I143</t>
        </is>
      </c>
      <c r="B92" s="39" t="inlineStr">
        <is>
          <t>992</t>
        </is>
      </c>
      <c r="C92" s="39" t="n">
        <v>9</v>
      </c>
      <c r="D92" s="39" t="inlineStr">
        <is>
          <t>Timothy Rives</t>
        </is>
      </c>
      <c r="E92" s="39" t="inlineStr">
        <is>
          <t>M</t>
        </is>
      </c>
      <c r="F92" s="39" t="inlineStr">
        <is>
          <t>about 1710</t>
        </is>
      </c>
      <c r="G92" s="39" t="n">
        <v>1710</v>
      </c>
      <c r="H92" s="39" t="str"/>
      <c r="I92" s="39" t="inlineStr">
        <is>
          <t>about 1772</t>
        </is>
      </c>
      <c r="J92" s="39" t="n">
        <v>1772</v>
      </c>
      <c r="K92" s="39" t="str"/>
      <c r="L92" s="39" t="inlineStr">
        <is>
          <t>Rives / Harrison</t>
        </is>
      </c>
      <c r="M92" s="39" t="inlineStr">
        <is>
          <t>B - Strong</t>
        </is>
      </c>
      <c r="N92" s="39" t="inlineStr">
        <is>
          <t>Col. William Rives</t>
        </is>
      </c>
      <c r="O92" s="39" t="inlineStr">
        <is>
          <t>Elizabeth (possibly Foster) Rives</t>
        </is>
      </c>
      <c r="P92" s="39" t="inlineStr">
        <is>
          <t>Fredric Muller Vollmer → Jan Muller Vollmer → Anne Rives McCormick Muller → Eloise A. “Elvie/Elvia” Slaughter McCormick → Lula Arnelia Rives → Robert Calhoun Rives → Robert Rives → Green Rives → William Rives → Timothy Rives</t>
        </is>
      </c>
      <c r="Q92" s="39" t="str"/>
      <c r="R92" s="39" t="inlineStr">
        <is>
          <t>S4, S11, S12</t>
        </is>
      </c>
    </row>
    <row r="93">
      <c r="A93" s="39" t="inlineStr">
        <is>
          <t>I171</t>
        </is>
      </c>
      <c r="B93" s="39" t="inlineStr">
        <is>
          <t>2019</t>
        </is>
      </c>
      <c r="C93" s="39" t="n">
        <v>10</v>
      </c>
      <c r="D93" s="39" t="inlineStr">
        <is>
          <t>Ann (surname unknown) Godwin</t>
        </is>
      </c>
      <c r="E93" s="39" t="inlineStr">
        <is>
          <t>F</t>
        </is>
      </c>
      <c r="F93" s="39" t="str"/>
      <c r="G93" s="39" t="n"/>
      <c r="H93" s="39" t="str"/>
      <c r="I93" s="39" t="str"/>
      <c r="J93" s="39" t="n"/>
      <c r="K93" s="39" t="str"/>
      <c r="L93" s="39" t="inlineStr">
        <is>
          <t>Agee / Ford / Bondurant</t>
        </is>
      </c>
      <c r="M93" s="39" t="inlineStr">
        <is>
          <t>C - Provisional</t>
        </is>
      </c>
      <c r="N93" s="39" t="str"/>
      <c r="O93" s="39" t="str"/>
      <c r="P93" s="39" t="inlineStr">
        <is>
          <t>Fredric Muller Vollmer → Jan Muller Vollmer → Anne Rives McCormick Muller → Eloise A. “Elvie/Elvia” Slaughter McCormick → Lula Arnelia Rives → Florence Estelle Agee → William Raiford Agee → Noah Agee → James Agee → Ann Godwin (or Goodwin) → Ann (surname unknown) Godwin</t>
        </is>
      </c>
      <c r="Q93" s="39" t="str"/>
      <c r="R93" s="39" t="inlineStr">
        <is>
          <t>S8</t>
        </is>
      </c>
    </row>
    <row r="94">
      <c r="A94" s="39" t="inlineStr">
        <is>
          <t>I172</t>
        </is>
      </c>
      <c r="B94" s="39" t="inlineStr">
        <is>
          <t>2016</t>
        </is>
      </c>
      <c r="C94" s="39" t="n">
        <v>10</v>
      </c>
      <c r="D94" s="39" t="inlineStr">
        <is>
          <t>Anthony Agee (traditional)</t>
        </is>
      </c>
      <c r="E94" s="39" t="inlineStr">
        <is>
          <t>M</t>
        </is>
      </c>
      <c r="F94" s="39" t="str"/>
      <c r="G94" s="39" t="n"/>
      <c r="H94" s="39" t="str"/>
      <c r="I94" s="39" t="str"/>
      <c r="J94" s="39" t="n"/>
      <c r="K94" s="39" t="str"/>
      <c r="L94" s="39" t="inlineStr">
        <is>
          <t>Agee / Ford / Bondurant</t>
        </is>
      </c>
      <c r="M94" s="39" t="inlineStr">
        <is>
          <t>D - Traditional / disputed</t>
        </is>
      </c>
      <c r="N94" s="39" t="str"/>
      <c r="O94" s="39" t="str"/>
      <c r="P94" s="39" t="inlineStr">
        <is>
          <t>Fredric Muller Vollmer → Jan Muller Vollmer → Anne Rives McCormick Muller → Eloise A. “Elvie/Elvia” Slaughter McCormick → Lula Arnelia Rives → Florence Estelle Agee → William Raiford Agee → Noah Agee → James Agee → Mathieu Agee → Anthony Agee (traditional)</t>
        </is>
      </c>
      <c r="Q94" s="39" t="inlineStr">
        <is>
          <t>The claim that Anthony Agee and Judith Chastain were Mathieu’s parents appears in later addenda/tradition and needs independent French records.</t>
        </is>
      </c>
      <c r="R94" s="39" t="inlineStr">
        <is>
          <t>S8</t>
        </is>
      </c>
    </row>
    <row r="95">
      <c r="A95" s="39" t="inlineStr">
        <is>
          <t>I170</t>
        </is>
      </c>
      <c r="B95" s="39" t="inlineStr">
        <is>
          <t>2018</t>
        </is>
      </c>
      <c r="C95" s="39" t="n">
        <v>10</v>
      </c>
      <c r="D95" s="39" t="inlineStr">
        <is>
          <t>Isaac Godwin</t>
        </is>
      </c>
      <c r="E95" s="39" t="inlineStr">
        <is>
          <t>M</t>
        </is>
      </c>
      <c r="F95" s="39" t="str"/>
      <c r="G95" s="39" t="n"/>
      <c r="H95" s="39" t="str"/>
      <c r="I95" s="39" t="str"/>
      <c r="J95" s="39" t="n"/>
      <c r="K95" s="39" t="str"/>
      <c r="L95" s="39" t="inlineStr">
        <is>
          <t>Agee / Ford / Bondurant</t>
        </is>
      </c>
      <c r="M95" s="39" t="inlineStr">
        <is>
          <t>C - Provisional</t>
        </is>
      </c>
      <c r="N95" s="39" t="str"/>
      <c r="O95" s="39" t="str"/>
      <c r="P95" s="39" t="inlineStr">
        <is>
          <t>Fredric Muller Vollmer → Jan Muller Vollmer → Anne Rives McCormick Muller → Eloise A. “Elvie/Elvia” Slaughter McCormick → Lula Arnelia Rives → Florence Estelle Agee → William Raiford Agee → Noah Agee → James Agee → Ann Godwin (or Goodwin) → Isaac Godwin</t>
        </is>
      </c>
      <c r="Q95" s="39" t="str"/>
      <c r="R95" s="39" t="inlineStr">
        <is>
          <t>S8</t>
        </is>
      </c>
    </row>
    <row r="96">
      <c r="A96" s="39" t="inlineStr">
        <is>
          <t>I174</t>
        </is>
      </c>
      <c r="B96" s="39" t="inlineStr">
        <is>
          <t>2022</t>
        </is>
      </c>
      <c r="C96" s="39" t="n">
        <v>10</v>
      </c>
      <c r="D96" s="39" t="inlineStr">
        <is>
          <t>Jean Pierre “John Peter” Bondurant</t>
        </is>
      </c>
      <c r="E96" s="39" t="inlineStr">
        <is>
          <t>M</t>
        </is>
      </c>
      <c r="F96" s="39" t="str"/>
      <c r="G96" s="39" t="n"/>
      <c r="H96" s="39" t="inlineStr">
        <is>
          <t>near Lyon, France</t>
        </is>
      </c>
      <c r="I96" s="39" t="str"/>
      <c r="J96" s="39" t="n"/>
      <c r="K96" s="39" t="inlineStr">
        <is>
          <t>Virginia</t>
        </is>
      </c>
      <c r="L96" s="39" t="inlineStr">
        <is>
          <t>Agee / Ford / Bondurant</t>
        </is>
      </c>
      <c r="M96" s="39" t="inlineStr">
        <is>
          <t>C - Provisional</t>
        </is>
      </c>
      <c r="N96" s="39" t="str"/>
      <c r="O96" s="39" t="str"/>
      <c r="P96" s="39" t="inlineStr">
        <is>
          <t>Fredric Muller Vollmer → Jan Muller Vollmer → Anne Rives McCormick Muller → Eloise A. “Elvie/Elvia” Slaughter McCormick → Lula Arnelia Rives → Florence Estelle Agee → William Raiford Agee → Noah Agee → Mary (possibly Elizabeth) Ford → Ann Bondurant → Jean Pierre “John Peter” Bondurant</t>
        </is>
      </c>
      <c r="Q96" s="39" t="inlineStr">
        <is>
          <t>The Agee family history identifies him as Ann Bondurant’s father and describes his Huguenot migration.</t>
        </is>
      </c>
      <c r="R96" s="39" t="inlineStr">
        <is>
          <t>S8</t>
        </is>
      </c>
    </row>
    <row r="97">
      <c r="A97" s="39" t="inlineStr">
        <is>
          <t>I173</t>
        </is>
      </c>
      <c r="B97" s="39" t="inlineStr">
        <is>
          <t>2017</t>
        </is>
      </c>
      <c r="C97" s="39" t="n">
        <v>10</v>
      </c>
      <c r="D97" s="39" t="inlineStr">
        <is>
          <t>Judith Chastain (traditional)</t>
        </is>
      </c>
      <c r="E97" s="39" t="inlineStr">
        <is>
          <t>F</t>
        </is>
      </c>
      <c r="F97" s="39" t="str"/>
      <c r="G97" s="39" t="n"/>
      <c r="H97" s="39" t="str"/>
      <c r="I97" s="39" t="str"/>
      <c r="J97" s="39" t="n"/>
      <c r="K97" s="39" t="str"/>
      <c r="L97" s="39" t="inlineStr">
        <is>
          <t>Agee / Ford / Bondurant</t>
        </is>
      </c>
      <c r="M97" s="39" t="inlineStr">
        <is>
          <t>D - Traditional / disputed</t>
        </is>
      </c>
      <c r="N97" s="39" t="str"/>
      <c r="O97" s="39" t="str"/>
      <c r="P97" s="39" t="inlineStr">
        <is>
          <t>Fredric Muller Vollmer → Jan Muller Vollmer → Anne Rives McCormick Muller → Eloise A. “Elvie/Elvia” Slaughter McCormick → Lula Arnelia Rives → Florence Estelle Agee → William Raiford Agee → Noah Agee → James Agee → Mathieu Agee → Judith Chastain (traditional)</t>
        </is>
      </c>
      <c r="Q97" s="39" t="inlineStr">
        <is>
          <t>Traditional mother of Mathieu Agee; not treated as proved.</t>
        </is>
      </c>
      <c r="R97" s="39" t="inlineStr">
        <is>
          <t>S8</t>
        </is>
      </c>
    </row>
    <row r="98">
      <c r="A98" s="39" t="inlineStr">
        <is>
          <t>I050</t>
        </is>
      </c>
      <c r="B98" s="39" t="inlineStr">
        <is>
          <t>1680</t>
        </is>
      </c>
      <c r="C98" s="39" t="n">
        <v>10</v>
      </c>
      <c r="D98" s="39" t="inlineStr">
        <is>
          <t>Caleb Stone</t>
        </is>
      </c>
      <c r="E98" s="39" t="inlineStr">
        <is>
          <t>M</t>
        </is>
      </c>
      <c r="F98" s="39" t="inlineStr">
        <is>
          <t>10 Nov 1685</t>
        </is>
      </c>
      <c r="G98" s="39" t="n">
        <v>1685</v>
      </c>
      <c r="H98" s="39" t="str"/>
      <c r="I98" s="39" t="inlineStr">
        <is>
          <t>25 May 1765</t>
        </is>
      </c>
      <c r="J98" s="39" t="n">
        <v>1765</v>
      </c>
      <c r="K98" s="39" t="str"/>
      <c r="L98" s="39" t="inlineStr">
        <is>
          <t>Lee / New England</t>
        </is>
      </c>
      <c r="M98" s="39" t="inlineStr">
        <is>
          <t>B - Strong</t>
        </is>
      </c>
      <c r="N98" s="39" t="inlineStr">
        <is>
          <t>Nathaniel Stone</t>
        </is>
      </c>
      <c r="O98" s="39" t="inlineStr">
        <is>
          <t>Mary Bartlett</t>
        </is>
      </c>
      <c r="P98" s="39" t="inlineStr">
        <is>
          <t>Fredric Muller Vollmer → Jan Muller Vollmer → Arthur John Muller → Elma Anna Lee → Elmer Ellsworth Lee → Hubbard Stone Lee → Grace Stone → John Evarts Stone → Asher Stone → Caleb Stone Jr. → Caleb Stone</t>
        </is>
      </c>
      <c r="Q98" s="39" t="str"/>
      <c r="R98" s="39" t="inlineStr">
        <is>
          <t>S7</t>
        </is>
      </c>
    </row>
    <row r="99">
      <c r="A99" s="39" t="inlineStr">
        <is>
          <t>I047</t>
        </is>
      </c>
      <c r="B99" s="39" t="inlineStr">
        <is>
          <t>1673</t>
        </is>
      </c>
      <c r="C99" s="39" t="n">
        <v>10</v>
      </c>
      <c r="D99" s="39" t="inlineStr">
        <is>
          <t>Elizabeth Peck</t>
        </is>
      </c>
      <c r="E99" s="39" t="inlineStr">
        <is>
          <t>F</t>
        </is>
      </c>
      <c r="F99" s="39" t="str"/>
      <c r="G99" s="39" t="n"/>
      <c r="H99" s="39" t="str"/>
      <c r="I99" s="39" t="str"/>
      <c r="J99" s="39" t="n"/>
      <c r="K99" s="39" t="str"/>
      <c r="L99" s="39" t="inlineStr">
        <is>
          <t>Lee / New England</t>
        </is>
      </c>
      <c r="M99" s="39" t="inlineStr">
        <is>
          <t>B - Strong</t>
        </is>
      </c>
      <c r="N99" s="39" t="str"/>
      <c r="O99" s="39" t="str"/>
      <c r="P99" s="39" t="inlineStr">
        <is>
          <t>Fredric Muller Vollmer → Jan Muller Vollmer → Arthur John Muller → Elma Anna Lee → Elmer Ellsworth Lee → Hubbard Stone Lee → Elon Lee → Eunice Hotchkiss → Mark Hotchkiss → Joseph Hotchkiss → Elizabeth Peck</t>
        </is>
      </c>
      <c r="Q99" s="39" t="inlineStr">
        <is>
          <t>Earlier parentage not supplied in the consulted Ahnentafel.</t>
        </is>
      </c>
      <c r="R99" s="39" t="inlineStr">
        <is>
          <t>S7</t>
        </is>
      </c>
    </row>
    <row r="100">
      <c r="A100" s="39" t="inlineStr">
        <is>
          <t>I056</t>
        </is>
      </c>
      <c r="B100" s="39" t="inlineStr">
        <is>
          <t>1687</t>
        </is>
      </c>
      <c r="C100" s="39" t="n">
        <v>10</v>
      </c>
      <c r="D100" s="39" t="inlineStr">
        <is>
          <t>Hannah Evarts</t>
        </is>
      </c>
      <c r="E100" s="39" t="inlineStr">
        <is>
          <t>F</t>
        </is>
      </c>
      <c r="F100" s="39" t="str"/>
      <c r="G100" s="39" t="n"/>
      <c r="H100" s="39" t="str"/>
      <c r="I100" s="39" t="str"/>
      <c r="J100" s="39" t="n"/>
      <c r="K100" s="39" t="str"/>
      <c r="L100" s="39" t="inlineStr">
        <is>
          <t>Lee / New England</t>
        </is>
      </c>
      <c r="M100" s="39" t="inlineStr">
        <is>
          <t>B - Strong</t>
        </is>
      </c>
      <c r="N100" s="39" t="str"/>
      <c r="O100" s="39" t="str"/>
      <c r="P100" s="39" t="inlineStr">
        <is>
          <t>Fredric Muller Vollmer → Jan Muller Vollmer → Arthur John Muller → Elma Anna Lee → Elmer Ellsworth Lee → Hubbard Stone Lee → Grace Stone → John Evarts Stone → Carine Ward → Abigail Crampton → Hannah Evarts</t>
        </is>
      </c>
      <c r="Q100" s="39" t="str"/>
      <c r="R100" s="39" t="inlineStr">
        <is>
          <t>S7</t>
        </is>
      </c>
    </row>
    <row r="101">
      <c r="A101" s="39" t="inlineStr">
        <is>
          <t>I048</t>
        </is>
      </c>
      <c r="B101" s="39" t="inlineStr">
        <is>
          <t>1674</t>
        </is>
      </c>
      <c r="C101" s="39" t="n">
        <v>10</v>
      </c>
      <c r="D101" s="39" t="inlineStr">
        <is>
          <t>Isaac Cruttenden</t>
        </is>
      </c>
      <c r="E101" s="39" t="inlineStr">
        <is>
          <t>M</t>
        </is>
      </c>
      <c r="F101" s="39" t="inlineStr">
        <is>
          <t>about 1643</t>
        </is>
      </c>
      <c r="G101" s="39" t="n">
        <v>1643</v>
      </c>
      <c r="H101" s="39" t="str"/>
      <c r="I101" s="39" t="inlineStr">
        <is>
          <t>13 Jul 1685</t>
        </is>
      </c>
      <c r="J101" s="39" t="n">
        <v>1685</v>
      </c>
      <c r="K101" s="39" t="str"/>
      <c r="L101" s="39" t="inlineStr">
        <is>
          <t>Lee / New England</t>
        </is>
      </c>
      <c r="M101" s="39" t="inlineStr">
        <is>
          <t>B - Strong</t>
        </is>
      </c>
      <c r="N101" s="39" t="inlineStr">
        <is>
          <t>Abraham Cruttenden</t>
        </is>
      </c>
      <c r="O101" s="39" t="inlineStr">
        <is>
          <t>Mary (surname unknown), wife of Abraham Cruttenden</t>
        </is>
      </c>
      <c r="P101" s="39" t="inlineStr">
        <is>
          <t>Fredric Muller Vollmer → Jan Muller Vollmer → Arthur John Muller → Elma Anna Lee → Elmer Ellsworth Lee → Hubbard Stone Lee → Elon Lee → Eunice Hotchkiss → Mark Hotchkiss → Hannah Cruttenden → Isaac Cruttenden</t>
        </is>
      </c>
      <c r="Q101" s="39" t="str"/>
      <c r="R101" s="39" t="inlineStr">
        <is>
          <t>S7</t>
        </is>
      </c>
    </row>
    <row r="102">
      <c r="A102" s="39" t="inlineStr">
        <is>
          <t>I052</t>
        </is>
      </c>
      <c r="B102" s="39" t="inlineStr">
        <is>
          <t>1682</t>
        </is>
      </c>
      <c r="C102" s="39" t="n">
        <v>10</v>
      </c>
      <c r="D102" s="39" t="inlineStr">
        <is>
          <t>James Evarts</t>
        </is>
      </c>
      <c r="E102" s="39" t="inlineStr">
        <is>
          <t>M</t>
        </is>
      </c>
      <c r="F102" s="39" t="inlineStr">
        <is>
          <t>18 Feb 1672</t>
        </is>
      </c>
      <c r="G102" s="39" t="n">
        <v>1672</v>
      </c>
      <c r="H102" s="39" t="str"/>
      <c r="I102" s="39" t="inlineStr">
        <is>
          <t>6 Apr 1751</t>
        </is>
      </c>
      <c r="J102" s="39" t="n">
        <v>1751</v>
      </c>
      <c r="K102" s="39" t="str"/>
      <c r="L102" s="39" t="inlineStr">
        <is>
          <t>Lee / New England</t>
        </is>
      </c>
      <c r="M102" s="39" t="inlineStr">
        <is>
          <t>B - Strong</t>
        </is>
      </c>
      <c r="N102" s="39" t="inlineStr">
        <is>
          <t>Daniel Evarts</t>
        </is>
      </c>
      <c r="O102" s="39" t="inlineStr">
        <is>
          <t>Rebecca Dowd</t>
        </is>
      </c>
      <c r="P102" s="39" t="inlineStr">
        <is>
          <t>Fredric Muller Vollmer → Jan Muller Vollmer → Arthur John Muller → Elma Anna Lee → Elmer Ellsworth Lee → Hubbard Stone Lee → Grace Stone → John Evarts Stone → Asher Stone → Rebecca Evarts → James Evarts</t>
        </is>
      </c>
      <c r="Q102" s="39" t="str"/>
      <c r="R102" s="39" t="inlineStr">
        <is>
          <t>S7</t>
        </is>
      </c>
    </row>
    <row r="103">
      <c r="A103" s="39" t="inlineStr">
        <is>
          <t>I055</t>
        </is>
      </c>
      <c r="B103" s="39" t="inlineStr">
        <is>
          <t>1686</t>
        </is>
      </c>
      <c r="C103" s="39" t="n">
        <v>10</v>
      </c>
      <c r="D103" s="39" t="inlineStr">
        <is>
          <t>John Crampton</t>
        </is>
      </c>
      <c r="E103" s="39" t="inlineStr">
        <is>
          <t>M</t>
        </is>
      </c>
      <c r="F103" s="39" t="str"/>
      <c r="G103" s="39" t="n"/>
      <c r="H103" s="39" t="str"/>
      <c r="I103" s="39" t="str"/>
      <c r="J103" s="39" t="n"/>
      <c r="K103" s="39" t="str"/>
      <c r="L103" s="39" t="inlineStr">
        <is>
          <t>Lee / New England</t>
        </is>
      </c>
      <c r="M103" s="39" t="inlineStr">
        <is>
          <t>B - Strong</t>
        </is>
      </c>
      <c r="N103" s="39" t="str"/>
      <c r="O103" s="39" t="str"/>
      <c r="P103" s="39" t="inlineStr">
        <is>
          <t>Fredric Muller Vollmer → Jan Muller Vollmer → Arthur John Muller → Elma Anna Lee → Elmer Ellsworth Lee → Hubbard Stone Lee → Grace Stone → John Evarts Stone → Carine Ward → Abigail Crampton → John Crampton</t>
        </is>
      </c>
      <c r="Q103" s="39" t="str"/>
      <c r="R103" s="39" t="inlineStr">
        <is>
          <t>S7</t>
        </is>
      </c>
    </row>
    <row r="104">
      <c r="A104" s="39" t="inlineStr">
        <is>
          <t>I046</t>
        </is>
      </c>
      <c r="B104" s="39" t="inlineStr">
        <is>
          <t>1672</t>
        </is>
      </c>
      <c r="C104" s="39" t="n">
        <v>10</v>
      </c>
      <c r="D104" s="39" t="inlineStr">
        <is>
          <t>John Hotchkiss</t>
        </is>
      </c>
      <c r="E104" s="39" t="inlineStr">
        <is>
          <t>M</t>
        </is>
      </c>
      <c r="F104" s="39" t="inlineStr">
        <is>
          <t>about 1643</t>
        </is>
      </c>
      <c r="G104" s="39" t="n">
        <v>1643</v>
      </c>
      <c r="H104" s="39" t="str"/>
      <c r="I104" s="39" t="inlineStr">
        <is>
          <t>by 23 Sep 1689</t>
        </is>
      </c>
      <c r="J104" s="39" t="n">
        <v>1689</v>
      </c>
      <c r="K104" s="39" t="str"/>
      <c r="L104" s="39" t="inlineStr">
        <is>
          <t>Lee / New England</t>
        </is>
      </c>
      <c r="M104" s="39" t="inlineStr">
        <is>
          <t>B - Strong</t>
        </is>
      </c>
      <c r="N104" s="39" t="inlineStr">
        <is>
          <t>Samuel Hotchkiss</t>
        </is>
      </c>
      <c r="O104" s="39" t="inlineStr">
        <is>
          <t>Elizabeth Cleverly</t>
        </is>
      </c>
      <c r="P104" s="39" t="inlineStr">
        <is>
          <t>Fredric Muller Vollmer → Jan Muller Vollmer → Arthur John Muller → Elma Anna Lee → Elmer Ellsworth Lee → Hubbard Stone Lee → Elon Lee → Eunice Hotchkiss → Mark Hotchkiss → Joseph Hotchkiss → John Hotchkiss</t>
        </is>
      </c>
      <c r="Q104" s="39" t="str"/>
      <c r="R104" s="39" t="inlineStr">
        <is>
          <t>S7</t>
        </is>
      </c>
    </row>
    <row r="105">
      <c r="A105" s="39" t="inlineStr">
        <is>
          <t>I054</t>
        </is>
      </c>
      <c r="B105" s="39" t="inlineStr">
        <is>
          <t>1685</t>
        </is>
      </c>
      <c r="C105" s="39" t="n">
        <v>10</v>
      </c>
      <c r="D105" s="39" t="inlineStr">
        <is>
          <t>Lettice Beach</t>
        </is>
      </c>
      <c r="E105" s="39" t="inlineStr">
        <is>
          <t>F</t>
        </is>
      </c>
      <c r="F105" s="39" t="inlineStr">
        <is>
          <t>24 Dec 1679</t>
        </is>
      </c>
      <c r="G105" s="39" t="n">
        <v>1679</v>
      </c>
      <c r="H105" s="39" t="inlineStr">
        <is>
          <t>Wallingford, New Haven County, Connecticut</t>
        </is>
      </c>
      <c r="I105" s="39" t="str"/>
      <c r="J105" s="39" t="n"/>
      <c r="K105" s="39" t="str"/>
      <c r="L105" s="39" t="inlineStr">
        <is>
          <t>Lee / New England</t>
        </is>
      </c>
      <c r="M105" s="39" t="inlineStr">
        <is>
          <t>B - Strong</t>
        </is>
      </c>
      <c r="N105" s="39" t="inlineStr">
        <is>
          <t>John Beach</t>
        </is>
      </c>
      <c r="O105" s="39" t="inlineStr">
        <is>
          <t>Mary Royce</t>
        </is>
      </c>
      <c r="P105" s="39" t="inlineStr">
        <is>
          <t>Fredric Muller Vollmer → Jan Muller Vollmer → Arthur John Muller → Elma Anna Lee → Elmer Ellsworth Lee → Hubbard Stone Lee → Grace Stone → John Evarts Stone → Carine Ward → William Ward → Lettice Beach</t>
        </is>
      </c>
      <c r="Q105" s="39" t="str"/>
      <c r="R105" s="39" t="inlineStr">
        <is>
          <t>S7</t>
        </is>
      </c>
    </row>
    <row r="106">
      <c r="A106" s="39" t="inlineStr">
        <is>
          <t>I049</t>
        </is>
      </c>
      <c r="B106" s="39" t="inlineStr">
        <is>
          <t>1675</t>
        </is>
      </c>
      <c r="C106" s="39" t="n">
        <v>10</v>
      </c>
      <c r="D106" s="39" t="inlineStr">
        <is>
          <t>Lydia Thompson</t>
        </is>
      </c>
      <c r="E106" s="39" t="inlineStr">
        <is>
          <t>F</t>
        </is>
      </c>
      <c r="F106" s="39" t="inlineStr">
        <is>
          <t>baptized 24 Jul 1647</t>
        </is>
      </c>
      <c r="G106" s="39" t="n">
        <v>1647</v>
      </c>
      <c r="H106" s="39" t="inlineStr">
        <is>
          <t>New Haven, Connecticut</t>
        </is>
      </c>
      <c r="I106" s="39" t="inlineStr">
        <is>
          <t>Dec 1729</t>
        </is>
      </c>
      <c r="J106" s="39" t="n">
        <v>1729</v>
      </c>
      <c r="K106" s="39" t="str"/>
      <c r="L106" s="39" t="inlineStr">
        <is>
          <t>Lee / New England</t>
        </is>
      </c>
      <c r="M106" s="39" t="inlineStr">
        <is>
          <t>B - Strong</t>
        </is>
      </c>
      <c r="N106" s="39" t="inlineStr">
        <is>
          <t>Anthony Thompson</t>
        </is>
      </c>
      <c r="O106" s="39" t="inlineStr">
        <is>
          <t>Katherine (surname unknown), wife of Anthony Thompson</t>
        </is>
      </c>
      <c r="P106" s="39" t="inlineStr">
        <is>
          <t>Fredric Muller Vollmer → Jan Muller Vollmer → Arthur John Muller → Elma Anna Lee → Elmer Ellsworth Lee → Hubbard Stone Lee → Elon Lee → Eunice Hotchkiss → Mark Hotchkiss → Hannah Cruttenden → Lydia Thompson</t>
        </is>
      </c>
      <c r="Q106" s="39" t="str"/>
      <c r="R106" s="39" t="inlineStr">
        <is>
          <t>S7</t>
        </is>
      </c>
    </row>
    <row r="107">
      <c r="A107" s="39" t="inlineStr">
        <is>
          <t>I051</t>
        </is>
      </c>
      <c r="B107" s="39" t="inlineStr">
        <is>
          <t>1681</t>
        </is>
      </c>
      <c r="C107" s="39" t="n">
        <v>10</v>
      </c>
      <c r="D107" s="39" t="inlineStr">
        <is>
          <t>Sarah Meigs</t>
        </is>
      </c>
      <c r="E107" s="39" t="inlineStr">
        <is>
          <t>F</t>
        </is>
      </c>
      <c r="F107" s="39" t="inlineStr">
        <is>
          <t>about 1691</t>
        </is>
      </c>
      <c r="G107" s="39" t="n">
        <v>1691</v>
      </c>
      <c r="H107" s="39" t="str"/>
      <c r="I107" s="39" t="inlineStr">
        <is>
          <t>4 May 1775</t>
        </is>
      </c>
      <c r="J107" s="39" t="n">
        <v>1775</v>
      </c>
      <c r="K107" s="39" t="str"/>
      <c r="L107" s="39" t="inlineStr">
        <is>
          <t>Lee / New England</t>
        </is>
      </c>
      <c r="M107" s="39" t="inlineStr">
        <is>
          <t>B - Strong</t>
        </is>
      </c>
      <c r="N107" s="39" t="inlineStr">
        <is>
          <t>John Meigs</t>
        </is>
      </c>
      <c r="O107" s="39" t="inlineStr">
        <is>
          <t>Sarah Wilcockson</t>
        </is>
      </c>
      <c r="P107" s="39" t="inlineStr">
        <is>
          <t>Fredric Muller Vollmer → Jan Muller Vollmer → Arthur John Muller → Elma Anna Lee → Elmer Ellsworth Lee → Hubbard Stone Lee → Grace Stone → John Evarts Stone → Asher Stone → Caleb Stone Jr. → Sarah Meigs</t>
        </is>
      </c>
      <c r="Q107" s="39" t="str"/>
      <c r="R107" s="39" t="inlineStr">
        <is>
          <t>S7</t>
        </is>
      </c>
    </row>
    <row r="108">
      <c r="A108" s="39" t="inlineStr">
        <is>
          <t>I045</t>
        </is>
      </c>
      <c r="B108" s="39" t="inlineStr">
        <is>
          <t>1666</t>
        </is>
      </c>
      <c r="C108" s="39" t="n">
        <v>10</v>
      </c>
      <c r="D108" s="39" t="inlineStr">
        <is>
          <t>Thomas Stevens</t>
        </is>
      </c>
      <c r="E108" s="39" t="inlineStr">
        <is>
          <t>M</t>
        </is>
      </c>
      <c r="F108" s="39" t="str"/>
      <c r="G108" s="39" t="n"/>
      <c r="H108" s="39" t="str"/>
      <c r="I108" s="39" t="str"/>
      <c r="J108" s="39" t="n"/>
      <c r="K108" s="39" t="str"/>
      <c r="L108" s="39" t="inlineStr">
        <is>
          <t>Lee / New England</t>
        </is>
      </c>
      <c r="M108" s="39" t="inlineStr">
        <is>
          <t>B - Strong</t>
        </is>
      </c>
      <c r="N108" s="39" t="str"/>
      <c r="O108" s="39" t="str"/>
      <c r="P108" s="39" t="inlineStr">
        <is>
          <t>Fredric Muller Vollmer → Jan Muller Vollmer → Arthur John Muller → Elma Anna Lee → Elmer Ellsworth Lee → Hubbard Stone Lee → Elon Lee → William Lee → Ebenezer Lee → Abigail Stevens → Thomas Stevens</t>
        </is>
      </c>
      <c r="Q108" s="39" t="str"/>
      <c r="R108" s="39" t="inlineStr">
        <is>
          <t>S7</t>
        </is>
      </c>
    </row>
    <row r="109">
      <c r="A109" s="39" t="inlineStr">
        <is>
          <t>I053</t>
        </is>
      </c>
      <c r="B109" s="39" t="inlineStr">
        <is>
          <t>1684</t>
        </is>
      </c>
      <c r="C109" s="39" t="n">
        <v>10</v>
      </c>
      <c r="D109" s="39" t="inlineStr">
        <is>
          <t>William Ward</t>
        </is>
      </c>
      <c r="E109" s="39" t="inlineStr">
        <is>
          <t>M</t>
        </is>
      </c>
      <c r="F109" s="39" t="inlineStr">
        <is>
          <t>18 Oct 1678</t>
        </is>
      </c>
      <c r="G109" s="39" t="n">
        <v>1678</v>
      </c>
      <c r="H109" s="39" t="inlineStr">
        <is>
          <t>Wallingford, New Haven County, Connecticut</t>
        </is>
      </c>
      <c r="I109" s="39" t="inlineStr">
        <is>
          <t>19 Dec 1767</t>
        </is>
      </c>
      <c r="J109" s="39" t="n">
        <v>1767</v>
      </c>
      <c r="K109" s="39" t="inlineStr">
        <is>
          <t>Wallingford, New Haven County, Connecticut</t>
        </is>
      </c>
      <c r="L109" s="39" t="inlineStr">
        <is>
          <t>Lee / New England</t>
        </is>
      </c>
      <c r="M109" s="39" t="inlineStr">
        <is>
          <t>B - Strong</t>
        </is>
      </c>
      <c r="N109" s="39" t="inlineStr">
        <is>
          <t>Andrew Ward Jr.</t>
        </is>
      </c>
      <c r="O109" s="39" t="inlineStr">
        <is>
          <t>Trial Meigs</t>
        </is>
      </c>
      <c r="P109" s="39" t="inlineStr">
        <is>
          <t>Fredric Muller Vollmer → Jan Muller Vollmer → Arthur John Muller → Elma Anna Lee → Elmer Ellsworth Lee → Hubbard Stone Lee → Grace Stone → John Evarts Stone → Carine Ward → William Ward → William Ward</t>
        </is>
      </c>
      <c r="Q109" s="39" t="str"/>
      <c r="R109" s="39" t="inlineStr">
        <is>
          <t>S7</t>
        </is>
      </c>
    </row>
    <row r="110">
      <c r="A110" s="39" t="inlineStr">
        <is>
          <t>I149</t>
        </is>
      </c>
      <c r="B110" s="39" t="inlineStr">
        <is>
          <t>1984</t>
        </is>
      </c>
      <c r="C110" s="39" t="n">
        <v>10</v>
      </c>
      <c r="D110" s="39" t="inlineStr">
        <is>
          <t>Col. William Rives</t>
        </is>
      </c>
      <c r="E110" s="39" t="inlineStr">
        <is>
          <t>M</t>
        </is>
      </c>
      <c r="F110" s="39" t="inlineStr">
        <is>
          <t>about 1683</t>
        </is>
      </c>
      <c r="G110" s="39" t="n">
        <v>1683</v>
      </c>
      <c r="H110" s="39" t="inlineStr">
        <is>
          <t>Prince George County, Virginia</t>
        </is>
      </c>
      <c r="I110" s="39" t="inlineStr">
        <is>
          <t>before 1 Mar 1746</t>
        </is>
      </c>
      <c r="J110" s="39" t="n">
        <v>1746</v>
      </c>
      <c r="K110" s="39" t="str"/>
      <c r="L110" s="39" t="inlineStr">
        <is>
          <t>Rives / Harrison</t>
        </is>
      </c>
      <c r="M110" s="39" t="inlineStr">
        <is>
          <t>C - Provisional</t>
        </is>
      </c>
      <c r="N110" s="39" t="inlineStr">
        <is>
          <t>George Rives</t>
        </is>
      </c>
      <c r="O110" s="39" t="str"/>
      <c r="P110" s="39" t="inlineStr">
        <is>
          <t>Fredric Muller Vollmer → Jan Muller Vollmer → Anne Rives McCormick Muller → Eloise A. “Elvie/Elvia” Slaughter McCormick → Lula Arnelia Rives → Robert Calhoun Rives → Robert Rives → Green Rives → William Rives → Timothy Rives → Col. William Rives</t>
        </is>
      </c>
      <c r="Q110" s="39" t="str"/>
      <c r="R110" s="39" t="inlineStr">
        <is>
          <t>S4, S12</t>
        </is>
      </c>
    </row>
    <row r="111">
      <c r="A111" s="39" t="inlineStr">
        <is>
          <t>I150</t>
        </is>
      </c>
      <c r="B111" s="39" t="inlineStr">
        <is>
          <t>1985</t>
        </is>
      </c>
      <c r="C111" s="39" t="n">
        <v>10</v>
      </c>
      <c r="D111" s="39" t="inlineStr">
        <is>
          <t>Elizabeth (possibly Foster) Rives</t>
        </is>
      </c>
      <c r="E111" s="39" t="inlineStr">
        <is>
          <t>F</t>
        </is>
      </c>
      <c r="F111" s="39" t="str"/>
      <c r="G111" s="39" t="n"/>
      <c r="H111" s="39" t="str"/>
      <c r="I111" s="39" t="inlineStr">
        <is>
          <t>before 1759</t>
        </is>
      </c>
      <c r="J111" s="39" t="n">
        <v>1759</v>
      </c>
      <c r="K111" s="39" t="inlineStr">
        <is>
          <t>Prince George County, Virginia</t>
        </is>
      </c>
      <c r="L111" s="39" t="inlineStr">
        <is>
          <t>Rives / Harrison</t>
        </is>
      </c>
      <c r="M111" s="39" t="inlineStr">
        <is>
          <t>C - Provisional</t>
        </is>
      </c>
      <c r="N111" s="39" t="str"/>
      <c r="O111" s="39" t="str"/>
      <c r="P111" s="39" t="inlineStr">
        <is>
          <t>Fredric Muller Vollmer → Jan Muller Vollmer → Anne Rives McCormick Muller → Eloise A. “Elvie/Elvia” Slaughter McCormick → Lula Arnelia Rives → Robert Calhoun Rives → Robert Rives → Green Rives → William Rives → Timothy Rives → Elizabeth (possibly Foster) Rives</t>
        </is>
      </c>
      <c r="Q111" s="39" t="inlineStr">
        <is>
          <t>Foster is a possibility rather than a proved maiden surname.</t>
        </is>
      </c>
      <c r="R111" s="39" t="inlineStr">
        <is>
          <t>S4, S12</t>
        </is>
      </c>
    </row>
    <row r="112">
      <c r="A112" s="39" t="inlineStr">
        <is>
          <t>I059</t>
        </is>
      </c>
      <c r="B112" s="39" t="inlineStr">
        <is>
          <t>3348</t>
        </is>
      </c>
      <c r="C112" s="39" t="n">
        <v>11</v>
      </c>
      <c r="D112" s="39" t="inlineStr">
        <is>
          <t>Abraham Cruttenden</t>
        </is>
      </c>
      <c r="E112" s="39" t="inlineStr">
        <is>
          <t>M</t>
        </is>
      </c>
      <c r="F112" s="39" t="str"/>
      <c r="G112" s="39" t="n"/>
      <c r="H112" s="39" t="str"/>
      <c r="I112" s="39" t="inlineStr">
        <is>
          <t>Jan 1683</t>
        </is>
      </c>
      <c r="J112" s="39" t="n">
        <v>1683</v>
      </c>
      <c r="K112" s="39" t="str"/>
      <c r="L112" s="39" t="inlineStr">
        <is>
          <t>Lee / New England</t>
        </is>
      </c>
      <c r="M112" s="39" t="inlineStr">
        <is>
          <t>B - Strong</t>
        </is>
      </c>
      <c r="N112" s="39" t="str"/>
      <c r="O112" s="39" t="str"/>
      <c r="P112" s="39" t="inlineStr">
        <is>
          <t>Fredric Muller Vollmer → Jan Muller Vollmer → Arthur John Muller → Elma Anna Lee → Elmer Ellsworth Lee → Hubbard Stone Lee → Elon Lee → Eunice Hotchkiss → Mark Hotchkiss → Hannah Cruttenden → Isaac Cruttenden → Abraham Cruttenden</t>
        </is>
      </c>
      <c r="Q112" s="39" t="str"/>
      <c r="R112" s="39" t="inlineStr">
        <is>
          <t>S7</t>
        </is>
      </c>
    </row>
    <row r="113">
      <c r="A113" s="39" t="inlineStr">
        <is>
          <t>I069</t>
        </is>
      </c>
      <c r="B113" s="39" t="inlineStr">
        <is>
          <t>3368</t>
        </is>
      </c>
      <c r="C113" s="39" t="n">
        <v>11</v>
      </c>
      <c r="D113" s="39" t="inlineStr">
        <is>
          <t>Andrew Ward Jr.</t>
        </is>
      </c>
      <c r="E113" s="39" t="inlineStr">
        <is>
          <t>M</t>
        </is>
      </c>
      <c r="F113" s="39" t="inlineStr">
        <is>
          <t>about 1644</t>
        </is>
      </c>
      <c r="G113" s="39" t="n">
        <v>1644</v>
      </c>
      <c r="H113" s="39" t="str"/>
      <c r="I113" s="39" t="inlineStr">
        <is>
          <t>about 1690</t>
        </is>
      </c>
      <c r="J113" s="39" t="n">
        <v>1690</v>
      </c>
      <c r="K113" s="39" t="str"/>
      <c r="L113" s="39" t="inlineStr">
        <is>
          <t>Lee / New England</t>
        </is>
      </c>
      <c r="M113" s="39" t="inlineStr">
        <is>
          <t>B - Strong</t>
        </is>
      </c>
      <c r="N113" s="39" t="inlineStr">
        <is>
          <t>Andrew Ward</t>
        </is>
      </c>
      <c r="O113" s="39" t="inlineStr">
        <is>
          <t>Hester Sherman</t>
        </is>
      </c>
      <c r="P113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</t>
        </is>
      </c>
      <c r="Q113" s="39" t="str"/>
      <c r="R113" s="39" t="inlineStr">
        <is>
          <t>S7</t>
        </is>
      </c>
    </row>
    <row r="114">
      <c r="A114" s="39" t="inlineStr">
        <is>
          <t>I061</t>
        </is>
      </c>
      <c r="B114" s="39" t="inlineStr">
        <is>
          <t>3350</t>
        </is>
      </c>
      <c r="C114" s="39" t="n">
        <v>11</v>
      </c>
      <c r="D114" s="39" t="inlineStr">
        <is>
          <t>Anthony Thompson</t>
        </is>
      </c>
      <c r="E114" s="39" t="inlineStr">
        <is>
          <t>M</t>
        </is>
      </c>
      <c r="F114" s="39" t="inlineStr">
        <is>
          <t>about 1612</t>
        </is>
      </c>
      <c r="G114" s="39" t="n">
        <v>1612</v>
      </c>
      <c r="H114" s="39" t="str"/>
      <c r="I114" s="39" t="inlineStr">
        <is>
          <t>Sep 1648</t>
        </is>
      </c>
      <c r="J114" s="39" t="n">
        <v>1648</v>
      </c>
      <c r="K114" s="39" t="str"/>
      <c r="L114" s="39" t="inlineStr">
        <is>
          <t>Lee / New England</t>
        </is>
      </c>
      <c r="M114" s="39" t="inlineStr">
        <is>
          <t>B - Strong</t>
        </is>
      </c>
      <c r="N114" s="39" t="str"/>
      <c r="O114" s="39" t="str"/>
      <c r="P114" s="39" t="inlineStr">
        <is>
          <t>Fredric Muller Vollmer → Jan Muller Vollmer → Arthur John Muller → Elma Anna Lee → Elmer Ellsworth Lee → Hubbard Stone Lee → Elon Lee → Eunice Hotchkiss → Mark Hotchkiss → Hannah Cruttenden → Lydia Thompson → Anthony Thompson</t>
        </is>
      </c>
      <c r="Q114" s="39" t="str"/>
      <c r="R114" s="39" t="inlineStr">
        <is>
          <t>S7</t>
        </is>
      </c>
    </row>
    <row r="115">
      <c r="A115" s="39" t="inlineStr">
        <is>
          <t>I067</t>
        </is>
      </c>
      <c r="B115" s="39" t="inlineStr">
        <is>
          <t>3364</t>
        </is>
      </c>
      <c r="C115" s="39" t="n">
        <v>11</v>
      </c>
      <c r="D115" s="39" t="inlineStr">
        <is>
          <t>Daniel Evarts</t>
        </is>
      </c>
      <c r="E115" s="39" t="inlineStr">
        <is>
          <t>M</t>
        </is>
      </c>
      <c r="F115" s="39" t="inlineStr">
        <is>
          <t>about 1645</t>
        </is>
      </c>
      <c r="G115" s="39" t="n">
        <v>1645</v>
      </c>
      <c r="H115" s="39" t="str"/>
      <c r="I115" s="39" t="inlineStr">
        <is>
          <t>5 Dec 1692</t>
        </is>
      </c>
      <c r="J115" s="39" t="n">
        <v>1692</v>
      </c>
      <c r="K115" s="39" t="str"/>
      <c r="L115" s="39" t="inlineStr">
        <is>
          <t>Lee / New England</t>
        </is>
      </c>
      <c r="M115" s="39" t="inlineStr">
        <is>
          <t>B - Strong</t>
        </is>
      </c>
      <c r="N115" s="39" t="inlineStr">
        <is>
          <t>John Evarts</t>
        </is>
      </c>
      <c r="O115" s="39" t="inlineStr">
        <is>
          <t>Elizabeth (surname unknown), wife of John Evarts</t>
        </is>
      </c>
      <c r="P115" s="39" t="inlineStr">
        <is>
          <t>Fredric Muller Vollmer → Jan Muller Vollmer → Arthur John Muller → Elma Anna Lee → Elmer Ellsworth Lee → Hubbard Stone Lee → Grace Stone → John Evarts Stone → Asher Stone → Rebecca Evarts → James Evarts → Daniel Evarts</t>
        </is>
      </c>
      <c r="Q115" s="39" t="str"/>
      <c r="R115" s="39" t="inlineStr">
        <is>
          <t>S7</t>
        </is>
      </c>
    </row>
    <row r="116">
      <c r="A116" s="39" t="inlineStr">
        <is>
          <t>I058</t>
        </is>
      </c>
      <c r="B116" s="39" t="inlineStr">
        <is>
          <t>3345</t>
        </is>
      </c>
      <c r="C116" s="39" t="n">
        <v>11</v>
      </c>
      <c r="D116" s="39" t="inlineStr">
        <is>
          <t>Elizabeth Cleverly</t>
        </is>
      </c>
      <c r="E116" s="39" t="inlineStr">
        <is>
          <t>F</t>
        </is>
      </c>
      <c r="F116" s="39" t="str"/>
      <c r="G116" s="39" t="n"/>
      <c r="H116" s="39" t="str"/>
      <c r="I116" s="39" t="inlineStr">
        <is>
          <t>about 1681</t>
        </is>
      </c>
      <c r="J116" s="39" t="n">
        <v>1681</v>
      </c>
      <c r="K116" s="39" t="str"/>
      <c r="L116" s="39" t="inlineStr">
        <is>
          <t>Lee / New England</t>
        </is>
      </c>
      <c r="M116" s="39" t="inlineStr">
        <is>
          <t>B - Strong</t>
        </is>
      </c>
      <c r="N116" s="39" t="str"/>
      <c r="O116" s="39" t="str"/>
      <c r="P116" s="39" t="inlineStr">
        <is>
          <t>Fredric Muller Vollmer → Jan Muller Vollmer → Arthur John Muller → Elma Anna Lee → Elmer Ellsworth Lee → Hubbard Stone Lee → Elon Lee → Eunice Hotchkiss → Mark Hotchkiss → Joseph Hotchkiss → John Hotchkiss → Elizabeth Cleverly</t>
        </is>
      </c>
      <c r="Q116" s="39" t="str"/>
      <c r="R116" s="39" t="inlineStr">
        <is>
          <t>S7</t>
        </is>
      </c>
    </row>
    <row r="117">
      <c r="A117" s="39" t="inlineStr">
        <is>
          <t>I071</t>
        </is>
      </c>
      <c r="B117" s="39" t="inlineStr">
        <is>
          <t>3370</t>
        </is>
      </c>
      <c r="C117" s="39" t="n">
        <v>11</v>
      </c>
      <c r="D117" s="39" t="inlineStr">
        <is>
          <t>John Beach</t>
        </is>
      </c>
      <c r="E117" s="39" t="inlineStr">
        <is>
          <t>M</t>
        </is>
      </c>
      <c r="F117" s="39" t="inlineStr">
        <is>
          <t>19 Oct 1655</t>
        </is>
      </c>
      <c r="G117" s="39" t="n">
        <v>1655</v>
      </c>
      <c r="H117" s="39" t="inlineStr">
        <is>
          <t>Milford, New Haven County, Connecticut</t>
        </is>
      </c>
      <c r="I117" s="39" t="inlineStr">
        <is>
          <t>about 1709</t>
        </is>
      </c>
      <c r="J117" s="39" t="n">
        <v>1709</v>
      </c>
      <c r="K117" s="39" t="str"/>
      <c r="L117" s="39" t="inlineStr">
        <is>
          <t>Lee / New England</t>
        </is>
      </c>
      <c r="M117" s="39" t="inlineStr">
        <is>
          <t>B - Strong</t>
        </is>
      </c>
      <c r="N117" s="39" t="inlineStr">
        <is>
          <t>Thomas Beach</t>
        </is>
      </c>
      <c r="O117" s="39" t="inlineStr">
        <is>
          <t>Sarah Platt</t>
        </is>
      </c>
      <c r="P117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</t>
        </is>
      </c>
      <c r="Q117" s="39" t="str"/>
      <c r="R117" s="39" t="inlineStr">
        <is>
          <t>S7</t>
        </is>
      </c>
    </row>
    <row r="118">
      <c r="A118" s="39" t="inlineStr">
        <is>
          <t>I065</t>
        </is>
      </c>
      <c r="B118" s="39" t="inlineStr">
        <is>
          <t>3362, 6738</t>
        </is>
      </c>
      <c r="C118" s="39" t="n">
        <v>11</v>
      </c>
      <c r="D118" s="39" t="inlineStr">
        <is>
          <t>John Meigs</t>
        </is>
      </c>
      <c r="E118" s="39" t="inlineStr">
        <is>
          <t>M</t>
        </is>
      </c>
      <c r="F118" s="39" t="inlineStr">
        <is>
          <t>28 Feb 1641</t>
        </is>
      </c>
      <c r="G118" s="39" t="n">
        <v>1641</v>
      </c>
      <c r="H118" s="39" t="str"/>
      <c r="I118" s="39" t="inlineStr">
        <is>
          <t>9 Nov 1713</t>
        </is>
      </c>
      <c r="J118" s="39" t="n">
        <v>1713</v>
      </c>
      <c r="K118" s="39" t="str"/>
      <c r="L118" s="39" t="inlineStr">
        <is>
          <t>Lee / New England</t>
        </is>
      </c>
      <c r="M118" s="39" t="inlineStr">
        <is>
          <t>B - Strong</t>
        </is>
      </c>
      <c r="N118" s="39" t="inlineStr">
        <is>
          <t>Vincent Meigs</t>
        </is>
      </c>
      <c r="O118" s="39" t="inlineStr">
        <is>
          <t>Tamasin Fry</t>
        </is>
      </c>
      <c r="P118" s="39" t="inlineStr">
        <is>
          <t>Fredric Muller Vollmer → Jan Muller Vollmer → Arthur John Muller → Elma Anna Lee → Elmer Ellsworth Lee → Hubbard Stone Lee → Grace Stone → John Evarts Stone → Asher Stone → Caleb Stone Jr. → Sarah Meigs → John Meigs</t>
        </is>
      </c>
      <c r="Q118" s="39" t="str"/>
      <c r="R118" s="39" t="inlineStr">
        <is>
          <t>S7</t>
        </is>
      </c>
    </row>
    <row r="119">
      <c r="A119" s="39" t="inlineStr">
        <is>
          <t>I062</t>
        </is>
      </c>
      <c r="B119" s="39" t="inlineStr">
        <is>
          <t>3351</t>
        </is>
      </c>
      <c r="C119" s="39" t="n">
        <v>11</v>
      </c>
      <c r="D119" s="39" t="inlineStr">
        <is>
          <t>Katherine (surname unknown), wife of Anthony Thompson</t>
        </is>
      </c>
      <c r="E119" s="39" t="inlineStr">
        <is>
          <t>F</t>
        </is>
      </c>
      <c r="F119" s="39" t="str"/>
      <c r="G119" s="39" t="n"/>
      <c r="H119" s="39" t="str"/>
      <c r="I119" s="39" t="str"/>
      <c r="J119" s="39" t="n"/>
      <c r="K119" s="39" t="str"/>
      <c r="L119" s="39" t="inlineStr">
        <is>
          <t>Lee / New England</t>
        </is>
      </c>
      <c r="M119" s="39" t="inlineStr">
        <is>
          <t>B - Strong</t>
        </is>
      </c>
      <c r="N119" s="39" t="str"/>
      <c r="O119" s="39" t="str"/>
      <c r="P119" s="39" t="inlineStr">
        <is>
          <t>Fredric Muller Vollmer → Jan Muller Vollmer → Arthur John Muller → Elma Anna Lee → Elmer Ellsworth Lee → Hubbard Stone Lee → Elon Lee → Eunice Hotchkiss → Mark Hotchkiss → Hannah Cruttenden → Lydia Thompson → Katherine (surname unknown), wife of Anthony Thompson</t>
        </is>
      </c>
      <c r="Q119" s="39" t="str"/>
      <c r="R119" s="39" t="inlineStr">
        <is>
          <t>S7</t>
        </is>
      </c>
    </row>
    <row r="120">
      <c r="A120" s="39" t="inlineStr">
        <is>
          <t>I060</t>
        </is>
      </c>
      <c r="B120" s="39" t="inlineStr">
        <is>
          <t>3349</t>
        </is>
      </c>
      <c r="C120" s="39" t="n">
        <v>11</v>
      </c>
      <c r="D120" s="39" t="inlineStr">
        <is>
          <t>Mary (surname unknown), wife of Abraham Cruttenden</t>
        </is>
      </c>
      <c r="E120" s="39" t="inlineStr">
        <is>
          <t>F</t>
        </is>
      </c>
      <c r="F120" s="39" t="str"/>
      <c r="G120" s="39" t="n"/>
      <c r="H120" s="39" t="str"/>
      <c r="I120" s="39" t="inlineStr">
        <is>
          <t>about 1664</t>
        </is>
      </c>
      <c r="J120" s="39" t="n">
        <v>1664</v>
      </c>
      <c r="K120" s="39" t="str"/>
      <c r="L120" s="39" t="inlineStr">
        <is>
          <t>Lee / New England</t>
        </is>
      </c>
      <c r="M120" s="39" t="inlineStr">
        <is>
          <t>B - Strong</t>
        </is>
      </c>
      <c r="N120" s="39" t="str"/>
      <c r="O120" s="39" t="str"/>
      <c r="P120" s="39" t="inlineStr">
        <is>
          <t>Fredric Muller Vollmer → Jan Muller Vollmer → Arthur John Muller → Elma Anna Lee → Elmer Ellsworth Lee → Hubbard Stone Lee → Elon Lee → Eunice Hotchkiss → Mark Hotchkiss → Hannah Cruttenden → Isaac Cruttenden → Mary (surname unknown), wife of Abraham Cruttenden</t>
        </is>
      </c>
      <c r="Q120" s="39" t="str"/>
      <c r="R120" s="39" t="inlineStr">
        <is>
          <t>S7</t>
        </is>
      </c>
    </row>
    <row r="121">
      <c r="A121" s="39" t="inlineStr">
        <is>
          <t>I064</t>
        </is>
      </c>
      <c r="B121" s="39" t="inlineStr">
        <is>
          <t>3361</t>
        </is>
      </c>
      <c r="C121" s="39" t="n">
        <v>11</v>
      </c>
      <c r="D121" s="39" t="inlineStr">
        <is>
          <t>Mary Bartlett</t>
        </is>
      </c>
      <c r="E121" s="39" t="inlineStr">
        <is>
          <t>F</t>
        </is>
      </c>
      <c r="F121" s="39" t="inlineStr">
        <is>
          <t>1 Feb 1655</t>
        </is>
      </c>
      <c r="G121" s="39" t="n">
        <v>1655</v>
      </c>
      <c r="H121" s="39" t="str"/>
      <c r="I121" s="39" t="inlineStr">
        <is>
          <t>5 Nov 1724</t>
        </is>
      </c>
      <c r="J121" s="39" t="n">
        <v>1724</v>
      </c>
      <c r="K121" s="39" t="str"/>
      <c r="L121" s="39" t="inlineStr">
        <is>
          <t>Lee / New England</t>
        </is>
      </c>
      <c r="M121" s="39" t="inlineStr">
        <is>
          <t>B - Strong</t>
        </is>
      </c>
      <c r="N121" s="39" t="str"/>
      <c r="O121" s="39" t="str"/>
      <c r="P121" s="39" t="inlineStr">
        <is>
          <t>Fredric Muller Vollmer → Jan Muller Vollmer → Arthur John Muller → Elma Anna Lee → Elmer Ellsworth Lee → Hubbard Stone Lee → Grace Stone → John Evarts Stone → Asher Stone → Caleb Stone Jr. → Caleb Stone → Mary Bartlett</t>
        </is>
      </c>
      <c r="Q121" s="39" t="inlineStr">
        <is>
          <t>Her parents were not supplied on the consulted Ahnentafel page.</t>
        </is>
      </c>
      <c r="R121" s="39" t="inlineStr">
        <is>
          <t>S7</t>
        </is>
      </c>
    </row>
    <row r="122">
      <c r="A122" s="39" t="inlineStr">
        <is>
          <t>I072</t>
        </is>
      </c>
      <c r="B122" s="39" t="inlineStr">
        <is>
          <t>3371</t>
        </is>
      </c>
      <c r="C122" s="39" t="n">
        <v>11</v>
      </c>
      <c r="D122" s="39" t="inlineStr">
        <is>
          <t>Mary Royce</t>
        </is>
      </c>
      <c r="E122" s="39" t="inlineStr">
        <is>
          <t>F</t>
        </is>
      </c>
      <c r="F122" s="39" t="inlineStr">
        <is>
          <t>about 1658</t>
        </is>
      </c>
      <c r="G122" s="39" t="n">
        <v>1658</v>
      </c>
      <c r="H122" s="39" t="str"/>
      <c r="I122" s="39" t="str"/>
      <c r="J122" s="39" t="n"/>
      <c r="K122" s="39" t="str"/>
      <c r="L122" s="39" t="inlineStr">
        <is>
          <t>Lee / New England</t>
        </is>
      </c>
      <c r="M122" s="39" t="inlineStr">
        <is>
          <t>B - Strong</t>
        </is>
      </c>
      <c r="N122" s="39" t="inlineStr">
        <is>
          <t>Jonathan Royce</t>
        </is>
      </c>
      <c r="O122" s="39" t="inlineStr">
        <is>
          <t>Ann Spinning</t>
        </is>
      </c>
      <c r="P122" s="39" t="inlineStr">
        <is>
          <t>Fredric Muller Vollmer → Jan Muller Vollmer → Arthur John Muller → Elma Anna Lee → Elmer Ellsworth Lee → Hubbard Stone Lee → Grace Stone → John Evarts Stone → Carine Ward → William Ward → Lettice Beach → Mary Royce</t>
        </is>
      </c>
      <c r="Q122" s="39" t="str"/>
      <c r="R122" s="39" t="inlineStr">
        <is>
          <t>S7</t>
        </is>
      </c>
    </row>
    <row r="123">
      <c r="A123" s="39" t="inlineStr">
        <is>
          <t>I063</t>
        </is>
      </c>
      <c r="B123" s="39" t="inlineStr">
        <is>
          <t>3360</t>
        </is>
      </c>
      <c r="C123" s="39" t="n">
        <v>11</v>
      </c>
      <c r="D123" s="39" t="inlineStr">
        <is>
          <t>Nathaniel Stone</t>
        </is>
      </c>
      <c r="E123" s="39" t="inlineStr">
        <is>
          <t>M</t>
        </is>
      </c>
      <c r="F123" s="39" t="inlineStr">
        <is>
          <t>2 Feb 1648</t>
        </is>
      </c>
      <c r="G123" s="39" t="n">
        <v>1648</v>
      </c>
      <c r="H123" s="39" t="inlineStr">
        <is>
          <t>Guilford, New Haven County, Connecticut</t>
        </is>
      </c>
      <c r="I123" s="39" t="inlineStr">
        <is>
          <t>11 Aug 1709</t>
        </is>
      </c>
      <c r="J123" s="39" t="n">
        <v>1709</v>
      </c>
      <c r="K123" s="39" t="str"/>
      <c r="L123" s="39" t="inlineStr">
        <is>
          <t>Lee / New England</t>
        </is>
      </c>
      <c r="M123" s="39" t="inlineStr">
        <is>
          <t>B - Strong</t>
        </is>
      </c>
      <c r="N123" s="39" t="inlineStr">
        <is>
          <t>John Stone</t>
        </is>
      </c>
      <c r="O123" s="39" t="inlineStr">
        <is>
          <t>Mary (surname unknown), wife of John Stone</t>
        </is>
      </c>
      <c r="P123" s="39" t="inlineStr">
        <is>
          <t>Fredric Muller Vollmer → Jan Muller Vollmer → Arthur John Muller → Elma Anna Lee → Elmer Ellsworth Lee → Hubbard Stone Lee → Grace Stone → John Evarts Stone → Asher Stone → Caleb Stone Jr. → Caleb Stone → Nathaniel Stone</t>
        </is>
      </c>
      <c r="Q123" s="39" t="str"/>
      <c r="R123" s="39" t="inlineStr">
        <is>
          <t>S7</t>
        </is>
      </c>
    </row>
    <row r="124">
      <c r="A124" s="39" t="inlineStr">
        <is>
          <t>I068</t>
        </is>
      </c>
      <c r="B124" s="39" t="inlineStr">
        <is>
          <t>3365</t>
        </is>
      </c>
      <c r="C124" s="39" t="n">
        <v>11</v>
      </c>
      <c r="D124" s="39" t="inlineStr">
        <is>
          <t>Rebecca Dowd</t>
        </is>
      </c>
      <c r="E124" s="39" t="inlineStr">
        <is>
          <t>F</t>
        </is>
      </c>
      <c r="F124" s="39" t="str"/>
      <c r="G124" s="39" t="n"/>
      <c r="H124" s="39" t="str"/>
      <c r="I124" s="39" t="inlineStr">
        <is>
          <t>16 Oct 1703</t>
        </is>
      </c>
      <c r="J124" s="39" t="n">
        <v>1703</v>
      </c>
      <c r="K124" s="39" t="str"/>
      <c r="L124" s="39" t="inlineStr">
        <is>
          <t>Lee / New England</t>
        </is>
      </c>
      <c r="M124" s="39" t="inlineStr">
        <is>
          <t>B - Strong</t>
        </is>
      </c>
      <c r="N124" s="39" t="inlineStr">
        <is>
          <t>Henry Dowd</t>
        </is>
      </c>
      <c r="O124" s="39" t="str"/>
      <c r="P124" s="39" t="inlineStr">
        <is>
          <t>Fredric Muller Vollmer → Jan Muller Vollmer → Arthur John Muller → Elma Anna Lee → Elmer Ellsworth Lee → Hubbard Stone Lee → Grace Stone → John Evarts Stone → Asher Stone → Rebecca Evarts → James Evarts → Rebecca Dowd</t>
        </is>
      </c>
      <c r="Q124" s="39" t="str"/>
      <c r="R124" s="39" t="inlineStr">
        <is>
          <t>S7</t>
        </is>
      </c>
    </row>
    <row r="125">
      <c r="A125" s="39" t="inlineStr">
        <is>
          <t>I057</t>
        </is>
      </c>
      <c r="B125" s="39" t="inlineStr">
        <is>
          <t>3344</t>
        </is>
      </c>
      <c r="C125" s="39" t="n">
        <v>11</v>
      </c>
      <c r="D125" s="39" t="inlineStr">
        <is>
          <t>Samuel Hotchkiss</t>
        </is>
      </c>
      <c r="E125" s="39" t="inlineStr">
        <is>
          <t>M</t>
        </is>
      </c>
      <c r="F125" s="39" t="str"/>
      <c r="G125" s="39" t="n"/>
      <c r="H125" s="39" t="str"/>
      <c r="I125" s="39" t="inlineStr">
        <is>
          <t>28 Dec 1663</t>
        </is>
      </c>
      <c r="J125" s="39" t="n">
        <v>1663</v>
      </c>
      <c r="K125" s="39" t="inlineStr">
        <is>
          <t>New Haven, Connecticut</t>
        </is>
      </c>
      <c r="L125" s="39" t="inlineStr">
        <is>
          <t>Lee / New England</t>
        </is>
      </c>
      <c r="M125" s="39" t="inlineStr">
        <is>
          <t>B - Strong</t>
        </is>
      </c>
      <c r="N125" s="39" t="str"/>
      <c r="O125" s="39" t="str"/>
      <c r="P125" s="39" t="inlineStr">
        <is>
          <t>Fredric Muller Vollmer → Jan Muller Vollmer → Arthur John Muller → Elma Anna Lee → Elmer Ellsworth Lee → Hubbard Stone Lee → Elon Lee → Eunice Hotchkiss → Mark Hotchkiss → Joseph Hotchkiss → John Hotchkiss → Samuel Hotchkiss</t>
        </is>
      </c>
      <c r="Q125" s="39" t="str"/>
      <c r="R125" s="39" t="inlineStr">
        <is>
          <t>S7</t>
        </is>
      </c>
    </row>
    <row r="126">
      <c r="A126" s="39" t="inlineStr">
        <is>
          <t>I066</t>
        </is>
      </c>
      <c r="B126" s="39" t="inlineStr">
        <is>
          <t>3363</t>
        </is>
      </c>
      <c r="C126" s="39" t="n">
        <v>11</v>
      </c>
      <c r="D126" s="39" t="inlineStr">
        <is>
          <t>Sarah Wilcockson</t>
        </is>
      </c>
      <c r="E126" s="39" t="inlineStr">
        <is>
          <t>F</t>
        </is>
      </c>
      <c r="F126" s="39" t="inlineStr">
        <is>
          <t>26 Oct 1648</t>
        </is>
      </c>
      <c r="G126" s="39" t="n">
        <v>1648</v>
      </c>
      <c r="H126" s="39" t="inlineStr">
        <is>
          <t>Stratford, Fairfield County, Connecticut</t>
        </is>
      </c>
      <c r="I126" s="39" t="inlineStr">
        <is>
          <t>24 Nov 1691</t>
        </is>
      </c>
      <c r="J126" s="39" t="n">
        <v>1691</v>
      </c>
      <c r="K126" s="39" t="str"/>
      <c r="L126" s="39" t="inlineStr">
        <is>
          <t>Lee / New England</t>
        </is>
      </c>
      <c r="M126" s="39" t="inlineStr">
        <is>
          <t>B - Strong</t>
        </is>
      </c>
      <c r="N126" s="39" t="inlineStr">
        <is>
          <t>William Wilcockson</t>
        </is>
      </c>
      <c r="O126" s="39" t="inlineStr">
        <is>
          <t>Margaret Harvey</t>
        </is>
      </c>
      <c r="P126" s="39" t="inlineStr">
        <is>
          <t>Fredric Muller Vollmer → Jan Muller Vollmer → Arthur John Muller → Elma Anna Lee → Elmer Ellsworth Lee → Hubbard Stone Lee → Grace Stone → John Evarts Stone → Asher Stone → Caleb Stone Jr. → Sarah Meigs → Sarah Wilcockson</t>
        </is>
      </c>
      <c r="Q126" s="39" t="str"/>
      <c r="R126" s="39" t="inlineStr">
        <is>
          <t>S7</t>
        </is>
      </c>
    </row>
    <row r="127">
      <c r="A127" s="39" t="inlineStr">
        <is>
          <t>I070</t>
        </is>
      </c>
      <c r="B127" s="39" t="inlineStr">
        <is>
          <t>3369</t>
        </is>
      </c>
      <c r="C127" s="39" t="n">
        <v>11</v>
      </c>
      <c r="D127" s="39" t="inlineStr">
        <is>
          <t>Trial Meigs</t>
        </is>
      </c>
      <c r="E127" s="39" t="inlineStr">
        <is>
          <t>F</t>
        </is>
      </c>
      <c r="F127" s="39" t="inlineStr">
        <is>
          <t>about 1646</t>
        </is>
      </c>
      <c r="G127" s="39" t="n">
        <v>1646</v>
      </c>
      <c r="H127" s="39" t="inlineStr">
        <is>
          <t>probably New Haven, Connecticut</t>
        </is>
      </c>
      <c r="I127" s="39" t="inlineStr">
        <is>
          <t>about 1690</t>
        </is>
      </c>
      <c r="J127" s="39" t="n">
        <v>1690</v>
      </c>
      <c r="K127" s="39" t="str"/>
      <c r="L127" s="39" t="inlineStr">
        <is>
          <t>Lee / New England</t>
        </is>
      </c>
      <c r="M127" s="39" t="inlineStr">
        <is>
          <t>B - Strong</t>
        </is>
      </c>
      <c r="N127" s="39" t="inlineStr">
        <is>
          <t>John Meigs</t>
        </is>
      </c>
      <c r="O127" s="39" t="inlineStr">
        <is>
          <t>Tamasin Fry</t>
        </is>
      </c>
      <c r="P127" s="39" t="inlineStr">
        <is>
          <t>Fredric Muller Vollmer → Jan Muller Vollmer → Arthur John Muller → Elma Anna Lee → Elmer Ellsworth Lee → Hubbard Stone Lee → Grace Stone → John Evarts Stone → Carine Ward → William Ward → William Ward → Trial Meigs</t>
        </is>
      </c>
      <c r="Q127" s="39" t="inlineStr">
        <is>
          <t>Pedigree collapse: the same John Meigs and Tamasin Fry are also ancestors through Sarah Meigs.</t>
        </is>
      </c>
      <c r="R127" s="39" t="inlineStr">
        <is>
          <t>S7</t>
        </is>
      </c>
    </row>
    <row r="128">
      <c r="A128" s="39" t="inlineStr">
        <is>
          <t>I151</t>
        </is>
      </c>
      <c r="B128" s="39" t="inlineStr">
        <is>
          <t>3968</t>
        </is>
      </c>
      <c r="C128" s="39" t="n">
        <v>11</v>
      </c>
      <c r="D128" s="39" t="inlineStr">
        <is>
          <t>George Rives</t>
        </is>
      </c>
      <c r="E128" s="39" t="inlineStr">
        <is>
          <t>M</t>
        </is>
      </c>
      <c r="F128" s="39" t="inlineStr">
        <is>
          <t>about 1660</t>
        </is>
      </c>
      <c r="G128" s="39" t="n">
        <v>1660</v>
      </c>
      <c r="H128" s="39" t="inlineStr">
        <is>
          <t>Prince George County, Virginia</t>
        </is>
      </c>
      <c r="I128" s="39" t="inlineStr">
        <is>
          <t>after 8 Sep 1719</t>
        </is>
      </c>
      <c r="J128" s="39" t="n">
        <v>1719</v>
      </c>
      <c r="K128" s="39" t="str"/>
      <c r="L128" s="39" t="inlineStr">
        <is>
          <t>Rives / Harrison</t>
        </is>
      </c>
      <c r="M128" s="39" t="inlineStr">
        <is>
          <t>D - Traditional / disputed</t>
        </is>
      </c>
      <c r="N128" s="39" t="inlineStr">
        <is>
          <t>William Rives (traditional immigrant ancestor)</t>
        </is>
      </c>
      <c r="O128" s="39" t="str"/>
      <c r="P128" s="39" t="inlineStr">
        <is>
          <t>Fredric Muller Vollmer → Jan Muller Vollmer → Anne Rives McCormick Muller → Eloise A. “Elvie/Elvia” Slaughter McCormick → Lula Arnelia Rives → Robert Calhoun Rives → Robert Rives → Green Rives → William Rives → Timothy Rives → Col. William Rives → George Rives</t>
        </is>
      </c>
      <c r="Q128" s="39" t="inlineStr">
        <is>
          <t>The link to immigrant William is inherited/traditional and should not be treated as proved.</t>
        </is>
      </c>
      <c r="R128" s="39" t="inlineStr">
        <is>
          <t>S4, S13</t>
        </is>
      </c>
    </row>
    <row r="129">
      <c r="A129" s="39" t="inlineStr">
        <is>
          <t>I082</t>
        </is>
      </c>
      <c r="B129" s="39" t="inlineStr">
        <is>
          <t>6736</t>
        </is>
      </c>
      <c r="C129" s="39" t="n">
        <v>12</v>
      </c>
      <c r="D129" s="39" t="inlineStr">
        <is>
          <t>Andrew Ward</t>
        </is>
      </c>
      <c r="E129" s="39" t="inlineStr">
        <is>
          <t>M</t>
        </is>
      </c>
      <c r="F129" s="39" t="inlineStr">
        <is>
          <t>about 1603</t>
        </is>
      </c>
      <c r="G129" s="39" t="n">
        <v>1603</v>
      </c>
      <c r="H129" s="39" t="str"/>
      <c r="I129" s="39" t="inlineStr">
        <is>
          <t>1659</t>
        </is>
      </c>
      <c r="J129" s="39" t="n">
        <v>1659</v>
      </c>
      <c r="K129" s="39" t="str"/>
      <c r="L129" s="39" t="inlineStr">
        <is>
          <t>Lee / New England</t>
        </is>
      </c>
      <c r="M129" s="39" t="inlineStr">
        <is>
          <t>B - Strong</t>
        </is>
      </c>
      <c r="N129" s="39" t="str"/>
      <c r="O129" s="39" t="str"/>
      <c r="P129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Andrew Ward</t>
        </is>
      </c>
      <c r="Q129" s="39" t="str"/>
      <c r="R129" s="39" t="inlineStr">
        <is>
          <t>S7</t>
        </is>
      </c>
    </row>
    <row r="130">
      <c r="A130" s="39" t="inlineStr">
        <is>
          <t>I087</t>
        </is>
      </c>
      <c r="B130" s="39" t="inlineStr">
        <is>
          <t>6743</t>
        </is>
      </c>
      <c r="C130" s="39" t="n">
        <v>12</v>
      </c>
      <c r="D130" s="39" t="inlineStr">
        <is>
          <t>Ann Spinning</t>
        </is>
      </c>
      <c r="E130" s="39" t="inlineStr">
        <is>
          <t>F</t>
        </is>
      </c>
      <c r="F130" s="39" t="str"/>
      <c r="G130" s="39" t="n"/>
      <c r="H130" s="39" t="str"/>
      <c r="I130" s="39" t="inlineStr">
        <is>
          <t>about 1658</t>
        </is>
      </c>
      <c r="J130" s="39" t="n">
        <v>1658</v>
      </c>
      <c r="K130" s="39" t="str"/>
      <c r="L130" s="39" t="inlineStr">
        <is>
          <t>Lee / New England</t>
        </is>
      </c>
      <c r="M130" s="39" t="inlineStr">
        <is>
          <t>B - Strong</t>
        </is>
      </c>
      <c r="N130" s="39" t="inlineStr">
        <is>
          <t>Humphrey Spinning</t>
        </is>
      </c>
      <c r="O130" s="39" t="str"/>
      <c r="P130" s="39" t="inlineStr">
        <is>
          <t>Fredric Muller Vollmer → Jan Muller Vollmer → Arthur John Muller → Elma Anna Lee → Elmer Ellsworth Lee → Hubbard Stone Lee → Grace Stone → John Evarts Stone → Carine Ward → William Ward → Lettice Beach → Mary Royce → Ann Spinning</t>
        </is>
      </c>
      <c r="Q130" s="39" t="str"/>
      <c r="R130" s="39" t="inlineStr">
        <is>
          <t>S7</t>
        </is>
      </c>
    </row>
    <row r="131">
      <c r="A131" s="39" t="inlineStr">
        <is>
          <t>I080</t>
        </is>
      </c>
      <c r="B131" s="39" t="inlineStr">
        <is>
          <t>6729</t>
        </is>
      </c>
      <c r="C131" s="39" t="n">
        <v>12</v>
      </c>
      <c r="D131" s="39" t="inlineStr">
        <is>
          <t>Elizabeth (surname unknown), wife of John Evarts</t>
        </is>
      </c>
      <c r="E131" s="39" t="inlineStr">
        <is>
          <t>F</t>
        </is>
      </c>
      <c r="F131" s="39" t="str"/>
      <c r="G131" s="39" t="n"/>
      <c r="H131" s="39" t="str"/>
      <c r="I131" s="39" t="str"/>
      <c r="J131" s="39" t="n"/>
      <c r="K131" s="39" t="str"/>
      <c r="L131" s="39" t="inlineStr">
        <is>
          <t>Lee / New England</t>
        </is>
      </c>
      <c r="M131" s="39" t="inlineStr">
        <is>
          <t>B - Strong</t>
        </is>
      </c>
      <c r="N131" s="39" t="str"/>
      <c r="O131" s="39" t="str"/>
      <c r="P131" s="39" t="inlineStr">
        <is>
          <t>Fredric Muller Vollmer → Jan Muller Vollmer → Arthur John Muller → Elma Anna Lee → Elmer Ellsworth Lee → Hubbard Stone Lee → Grace Stone → John Evarts Stone → Asher Stone → Rebecca Evarts → James Evarts → Daniel Evarts → Elizabeth (surname unknown), wife of John Evarts</t>
        </is>
      </c>
      <c r="Q131" s="39" t="str"/>
      <c r="R131" s="39" t="inlineStr">
        <is>
          <t>S7</t>
        </is>
      </c>
    </row>
    <row r="132">
      <c r="A132" s="39" t="inlineStr">
        <is>
          <t>I081</t>
        </is>
      </c>
      <c r="B132" s="39" t="inlineStr">
        <is>
          <t>6730</t>
        </is>
      </c>
      <c r="C132" s="39" t="n">
        <v>12</v>
      </c>
      <c r="D132" s="39" t="inlineStr">
        <is>
          <t>Henry Dowd</t>
        </is>
      </c>
      <c r="E132" s="39" t="inlineStr">
        <is>
          <t>M</t>
        </is>
      </c>
      <c r="F132" s="39" t="str"/>
      <c r="G132" s="39" t="n"/>
      <c r="H132" s="39" t="str"/>
      <c r="I132" s="39" t="str"/>
      <c r="J132" s="39" t="n"/>
      <c r="K132" s="39" t="str"/>
      <c r="L132" s="39" t="inlineStr">
        <is>
          <t>Lee / New England</t>
        </is>
      </c>
      <c r="M132" s="39" t="inlineStr">
        <is>
          <t>B - Strong</t>
        </is>
      </c>
      <c r="N132" s="39" t="str"/>
      <c r="O132" s="39" t="str"/>
      <c r="P132" s="39" t="inlineStr">
        <is>
          <t>Fredric Muller Vollmer → Jan Muller Vollmer → Arthur John Muller → Elma Anna Lee → Elmer Ellsworth Lee → Hubbard Stone Lee → Grace Stone → John Evarts Stone → Asher Stone → Rebecca Evarts → James Evarts → Rebecca Dowd → Henry Dowd</t>
        </is>
      </c>
      <c r="Q132" s="39" t="str"/>
      <c r="R132" s="39" t="inlineStr">
        <is>
          <t>S7</t>
        </is>
      </c>
    </row>
    <row r="133">
      <c r="A133" s="39" t="inlineStr">
        <is>
          <t>I083</t>
        </is>
      </c>
      <c r="B133" s="39" t="inlineStr">
        <is>
          <t>6737</t>
        </is>
      </c>
      <c r="C133" s="39" t="n">
        <v>12</v>
      </c>
      <c r="D133" s="39" t="inlineStr">
        <is>
          <t>Hester Sherman</t>
        </is>
      </c>
      <c r="E133" s="39" t="inlineStr">
        <is>
          <t>F</t>
        </is>
      </c>
      <c r="F133" s="39" t="inlineStr">
        <is>
          <t>baptized 1 Apr 1606</t>
        </is>
      </c>
      <c r="G133" s="39" t="n">
        <v>1606</v>
      </c>
      <c r="H133" s="39" t="inlineStr">
        <is>
          <t>Dedham, Essex, England</t>
        </is>
      </c>
      <c r="I133" s="39" t="inlineStr">
        <is>
          <t>1665/66</t>
        </is>
      </c>
      <c r="J133" s="39" t="n">
        <v>1665</v>
      </c>
      <c r="K133" s="39" t="str"/>
      <c r="L133" s="39" t="inlineStr">
        <is>
          <t>Lee / New England</t>
        </is>
      </c>
      <c r="M133" s="39" t="inlineStr">
        <is>
          <t>B - Strong</t>
        </is>
      </c>
      <c r="N133" s="39" t="inlineStr">
        <is>
          <t>Edmund Sherman</t>
        </is>
      </c>
      <c r="O133" s="39" t="inlineStr">
        <is>
          <t>Grace Makin</t>
        </is>
      </c>
      <c r="P133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</t>
        </is>
      </c>
      <c r="Q133" s="39" t="str"/>
      <c r="R133" s="39" t="inlineStr">
        <is>
          <t>S7</t>
        </is>
      </c>
    </row>
    <row r="134">
      <c r="A134" s="39" t="inlineStr">
        <is>
          <t>I079</t>
        </is>
      </c>
      <c r="B134" s="39" t="inlineStr">
        <is>
          <t>6728</t>
        </is>
      </c>
      <c r="C134" s="39" t="n">
        <v>12</v>
      </c>
      <c r="D134" s="39" t="inlineStr">
        <is>
          <t>John Evarts</t>
        </is>
      </c>
      <c r="E134" s="39" t="inlineStr">
        <is>
          <t>M</t>
        </is>
      </c>
      <c r="F134" s="39" t="inlineStr">
        <is>
          <t>about 1600</t>
        </is>
      </c>
      <c r="G134" s="39" t="n">
        <v>1600</v>
      </c>
      <c r="H134" s="39" t="str"/>
      <c r="I134" s="39" t="inlineStr">
        <is>
          <t>buried 10 May 1669</t>
        </is>
      </c>
      <c r="J134" s="39" t="n">
        <v>1669</v>
      </c>
      <c r="K134" s="39" t="inlineStr">
        <is>
          <t>Guilford, New Haven County, Connecticut</t>
        </is>
      </c>
      <c r="L134" s="39" t="inlineStr">
        <is>
          <t>Lee / New England</t>
        </is>
      </c>
      <c r="M134" s="39" t="inlineStr">
        <is>
          <t>B - Strong</t>
        </is>
      </c>
      <c r="N134" s="39" t="str"/>
      <c r="O134" s="39" t="str"/>
      <c r="P134" s="39" t="inlineStr">
        <is>
          <t>Fredric Muller Vollmer → Jan Muller Vollmer → Arthur John Muller → Elma Anna Lee → Elmer Ellsworth Lee → Hubbard Stone Lee → Grace Stone → John Evarts Stone → Asher Stone → Rebecca Evarts → James Evarts → Daniel Evarts → John Evarts</t>
        </is>
      </c>
      <c r="Q134" s="39" t="str"/>
      <c r="R134" s="39" t="inlineStr">
        <is>
          <t>S7</t>
        </is>
      </c>
    </row>
    <row r="135">
      <c r="A135" s="39" t="inlineStr">
        <is>
          <t>I073</t>
        </is>
      </c>
      <c r="B135" s="39" t="inlineStr">
        <is>
          <t>6720</t>
        </is>
      </c>
      <c r="C135" s="39" t="n">
        <v>12</v>
      </c>
      <c r="D135" s="39" t="inlineStr">
        <is>
          <t>John Stone</t>
        </is>
      </c>
      <c r="E135" s="39" t="inlineStr">
        <is>
          <t>M</t>
        </is>
      </c>
      <c r="F135" s="39" t="inlineStr">
        <is>
          <t>about 1610</t>
        </is>
      </c>
      <c r="G135" s="39" t="n">
        <v>1610</v>
      </c>
      <c r="H135" s="39" t="str"/>
      <c r="I135" s="39" t="inlineStr">
        <is>
          <t>Feb 1687</t>
        </is>
      </c>
      <c r="J135" s="39" t="n">
        <v>1687</v>
      </c>
      <c r="K135" s="39" t="inlineStr">
        <is>
          <t>Guilford, New Haven County, Connecticut</t>
        </is>
      </c>
      <c r="L135" s="39" t="inlineStr">
        <is>
          <t>Lee / New England</t>
        </is>
      </c>
      <c r="M135" s="39" t="inlineStr">
        <is>
          <t>B - Strong</t>
        </is>
      </c>
      <c r="N135" s="39" t="str"/>
      <c r="O135" s="39" t="str"/>
      <c r="P135" s="39" t="inlineStr">
        <is>
          <t>Fredric Muller Vollmer → Jan Muller Vollmer → Arthur John Muller → Elma Anna Lee → Elmer Ellsworth Lee → Hubbard Stone Lee → Grace Stone → John Evarts Stone → Asher Stone → Caleb Stone Jr. → Caleb Stone → Nathaniel Stone → John Stone</t>
        </is>
      </c>
      <c r="Q135" s="39" t="str"/>
      <c r="R135" s="39" t="inlineStr">
        <is>
          <t>S7</t>
        </is>
      </c>
    </row>
    <row r="136">
      <c r="A136" s="39" t="inlineStr">
        <is>
          <t>I086</t>
        </is>
      </c>
      <c r="B136" s="39" t="inlineStr">
        <is>
          <t>6742</t>
        </is>
      </c>
      <c r="C136" s="39" t="n">
        <v>12</v>
      </c>
      <c r="D136" s="39" t="inlineStr">
        <is>
          <t>Jonathan Royce</t>
        </is>
      </c>
      <c r="E136" s="39" t="inlineStr">
        <is>
          <t>M</t>
        </is>
      </c>
      <c r="F136" s="39" t="str"/>
      <c r="G136" s="39" t="n"/>
      <c r="H136" s="39" t="str"/>
      <c r="I136" s="39" t="inlineStr">
        <is>
          <t>about 1690</t>
        </is>
      </c>
      <c r="J136" s="39" t="n">
        <v>1690</v>
      </c>
      <c r="K136" s="39" t="str"/>
      <c r="L136" s="39" t="inlineStr">
        <is>
          <t>Lee / New England</t>
        </is>
      </c>
      <c r="M136" s="39" t="inlineStr">
        <is>
          <t>B - Strong</t>
        </is>
      </c>
      <c r="N136" s="39" t="inlineStr">
        <is>
          <t>Robert Royce</t>
        </is>
      </c>
      <c r="O136" s="39" t="inlineStr">
        <is>
          <t>Mary (surname unknown), wife of Robert Royce</t>
        </is>
      </c>
      <c r="P136" s="39" t="inlineStr">
        <is>
          <t>Fredric Muller Vollmer → Jan Muller Vollmer → Arthur John Muller → Elma Anna Lee → Elmer Ellsworth Lee → Hubbard Stone Lee → Grace Stone → John Evarts Stone → Carine Ward → William Ward → Lettice Beach → Mary Royce → Jonathan Royce</t>
        </is>
      </c>
      <c r="Q136" s="39" t="str"/>
      <c r="R136" s="39" t="inlineStr">
        <is>
          <t>S7</t>
        </is>
      </c>
    </row>
    <row r="137">
      <c r="A137" s="39" t="inlineStr">
        <is>
          <t>I078</t>
        </is>
      </c>
      <c r="B137" s="39" t="inlineStr">
        <is>
          <t>6727</t>
        </is>
      </c>
      <c r="C137" s="39" t="n">
        <v>12</v>
      </c>
      <c r="D137" s="39" t="inlineStr">
        <is>
          <t>Margaret Harvey</t>
        </is>
      </c>
      <c r="E137" s="39" t="inlineStr">
        <is>
          <t>F</t>
        </is>
      </c>
      <c r="F137" s="39" t="str"/>
      <c r="G137" s="39" t="n"/>
      <c r="H137" s="39" t="str"/>
      <c r="I137" s="39" t="str"/>
      <c r="J137" s="39" t="n"/>
      <c r="K137" s="39" t="str"/>
      <c r="L137" s="39" t="inlineStr">
        <is>
          <t>Lee / New England</t>
        </is>
      </c>
      <c r="M137" s="39" t="inlineStr">
        <is>
          <t>B - Strong</t>
        </is>
      </c>
      <c r="N137" s="39" t="inlineStr">
        <is>
          <t>James Harvey</t>
        </is>
      </c>
      <c r="O137" s="39" t="str"/>
      <c r="P137" s="39" t="inlineStr">
        <is>
          <t>Fredric Muller Vollmer → Jan Muller Vollmer → Arthur John Muller → Elma Anna Lee → Elmer Ellsworth Lee → Hubbard Stone Lee → Grace Stone → John Evarts Stone → Asher Stone → Caleb Stone Jr. → Sarah Meigs → Sarah Wilcockson → Margaret Harvey</t>
        </is>
      </c>
      <c r="Q137" s="39" t="str"/>
      <c r="R137" s="39" t="inlineStr">
        <is>
          <t>S7</t>
        </is>
      </c>
    </row>
    <row r="138">
      <c r="A138" s="39" t="inlineStr">
        <is>
          <t>I074</t>
        </is>
      </c>
      <c r="B138" s="39" t="inlineStr">
        <is>
          <t>6721</t>
        </is>
      </c>
      <c r="C138" s="39" t="n">
        <v>12</v>
      </c>
      <c r="D138" s="39" t="inlineStr">
        <is>
          <t>Mary (surname unknown), wife of John Stone</t>
        </is>
      </c>
      <c r="E138" s="39" t="inlineStr">
        <is>
          <t>F</t>
        </is>
      </c>
      <c r="F138" s="39" t="str"/>
      <c r="G138" s="39" t="n"/>
      <c r="H138" s="39" t="str"/>
      <c r="I138" s="39" t="inlineStr">
        <is>
          <t>Feb 1687</t>
        </is>
      </c>
      <c r="J138" s="39" t="n">
        <v>1687</v>
      </c>
      <c r="K138" s="39" t="inlineStr">
        <is>
          <t>Guilford, New Haven County, Connecticut</t>
        </is>
      </c>
      <c r="L138" s="39" t="inlineStr">
        <is>
          <t>Lee / New England</t>
        </is>
      </c>
      <c r="M138" s="39" t="inlineStr">
        <is>
          <t>B - Strong</t>
        </is>
      </c>
      <c r="N138" s="39" t="str"/>
      <c r="O138" s="39" t="str"/>
      <c r="P138" s="39" t="inlineStr">
        <is>
          <t>Fredric Muller Vollmer → Jan Muller Vollmer → Arthur John Muller → Elma Anna Lee → Elmer Ellsworth Lee → Hubbard Stone Lee → Grace Stone → John Evarts Stone → Asher Stone → Caleb Stone Jr. → Caleb Stone → Nathaniel Stone → Mary (surname unknown), wife of John Stone</t>
        </is>
      </c>
      <c r="Q138" s="39" t="str"/>
      <c r="R138" s="39" t="inlineStr">
        <is>
          <t>S7</t>
        </is>
      </c>
    </row>
    <row r="139">
      <c r="A139" s="39" t="inlineStr">
        <is>
          <t>I085</t>
        </is>
      </c>
      <c r="B139" s="39" t="inlineStr">
        <is>
          <t>6741</t>
        </is>
      </c>
      <c r="C139" s="39" t="n">
        <v>12</v>
      </c>
      <c r="D139" s="39" t="inlineStr">
        <is>
          <t>Sarah Platt</t>
        </is>
      </c>
      <c r="E139" s="39" t="inlineStr">
        <is>
          <t>F</t>
        </is>
      </c>
      <c r="F139" s="39" t="inlineStr">
        <is>
          <t>baptized 11 Sep 1636</t>
        </is>
      </c>
      <c r="G139" s="39" t="n">
        <v>1636</v>
      </c>
      <c r="H139" s="39" t="inlineStr">
        <is>
          <t>Ware, Hertfordshire, England</t>
        </is>
      </c>
      <c r="I139" s="39" t="inlineStr">
        <is>
          <t>15 May 1670</t>
        </is>
      </c>
      <c r="J139" s="39" t="n">
        <v>1670</v>
      </c>
      <c r="K139" s="39" t="inlineStr">
        <is>
          <t>Milford, New Haven County, Connecticut</t>
        </is>
      </c>
      <c r="L139" s="39" t="inlineStr">
        <is>
          <t>Lee / New England</t>
        </is>
      </c>
      <c r="M139" s="39" t="inlineStr">
        <is>
          <t>B - Strong</t>
        </is>
      </c>
      <c r="N139" s="39" t="inlineStr">
        <is>
          <t>Richard Platt</t>
        </is>
      </c>
      <c r="O139" s="39" t="inlineStr">
        <is>
          <t>Mary Wood</t>
        </is>
      </c>
      <c r="P139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Sarah Platt</t>
        </is>
      </c>
      <c r="Q139" s="39" t="str"/>
      <c r="R139" s="39" t="inlineStr">
        <is>
          <t>S7</t>
        </is>
      </c>
    </row>
    <row r="140">
      <c r="A140" s="39" t="inlineStr">
        <is>
          <t>I076</t>
        </is>
      </c>
      <c r="B140" s="39" t="inlineStr">
        <is>
          <t>6725, 6739, 13477</t>
        </is>
      </c>
      <c r="C140" s="39" t="n">
        <v>12</v>
      </c>
      <c r="D140" s="39" t="inlineStr">
        <is>
          <t>Tamasin Fry</t>
        </is>
      </c>
      <c r="E140" s="39" t="inlineStr">
        <is>
          <t>F</t>
        </is>
      </c>
      <c r="F140" s="39" t="str"/>
      <c r="G140" s="39" t="n"/>
      <c r="H140" s="39" t="str"/>
      <c r="I140" s="39" t="inlineStr">
        <is>
          <t>after 28 Aug 1671</t>
        </is>
      </c>
      <c r="J140" s="39" t="n">
        <v>1671</v>
      </c>
      <c r="K140" s="39" t="str"/>
      <c r="L140" s="39" t="inlineStr">
        <is>
          <t>Lee / New England</t>
        </is>
      </c>
      <c r="M140" s="39" t="inlineStr">
        <is>
          <t>B - Strong</t>
        </is>
      </c>
      <c r="N140" s="39" t="str"/>
      <c r="O140" s="39" t="str"/>
      <c r="P140" s="39" t="inlineStr">
        <is>
          <t>Fredric Muller Vollmer → Jan Muller Vollmer → Arthur John Muller → Elma Anna Lee → Elmer Ellsworth Lee → Hubbard Stone Lee → Grace Stone → John Evarts Stone → Asher Stone → Caleb Stone Jr. → Sarah Meigs → John Meigs → Tamasin Fry</t>
        </is>
      </c>
      <c r="Q140" s="39" t="str"/>
      <c r="R140" s="39" t="inlineStr">
        <is>
          <t>S7</t>
        </is>
      </c>
    </row>
    <row r="141">
      <c r="A141" s="39" t="inlineStr">
        <is>
          <t>I084</t>
        </is>
      </c>
      <c r="B141" s="39" t="inlineStr">
        <is>
          <t>6740</t>
        </is>
      </c>
      <c r="C141" s="39" t="n">
        <v>12</v>
      </c>
      <c r="D141" s="39" t="inlineStr">
        <is>
          <t>Thomas Beach</t>
        </is>
      </c>
      <c r="E141" s="39" t="inlineStr">
        <is>
          <t>M</t>
        </is>
      </c>
      <c r="F141" s="39" t="str"/>
      <c r="G141" s="39" t="n"/>
      <c r="H141" s="39" t="str"/>
      <c r="I141" s="39" t="inlineStr">
        <is>
          <t>by 31 May 1662</t>
        </is>
      </c>
      <c r="J141" s="39" t="n">
        <v>1662</v>
      </c>
      <c r="K141" s="39" t="inlineStr">
        <is>
          <t>Milford, New Haven County, Connecticut</t>
        </is>
      </c>
      <c r="L141" s="39" t="inlineStr">
        <is>
          <t>Lee / New England</t>
        </is>
      </c>
      <c r="M141" s="39" t="inlineStr">
        <is>
          <t>B - Strong</t>
        </is>
      </c>
      <c r="N141" s="39" t="inlineStr">
        <is>
          <t>Unknown Beach (father of Thomas Beach)</t>
        </is>
      </c>
      <c r="O141" s="39" t="str"/>
      <c r="P141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Thomas Beach</t>
        </is>
      </c>
      <c r="Q141" s="39" t="str"/>
      <c r="R141" s="39" t="inlineStr">
        <is>
          <t>S7</t>
        </is>
      </c>
    </row>
    <row r="142">
      <c r="A142" s="39" t="inlineStr">
        <is>
          <t>I075</t>
        </is>
      </c>
      <c r="B142" s="39" t="inlineStr">
        <is>
          <t>6724, 13476</t>
        </is>
      </c>
      <c r="C142" s="39" t="n">
        <v>12</v>
      </c>
      <c r="D142" s="39" t="inlineStr">
        <is>
          <t>Vincent Meigs</t>
        </is>
      </c>
      <c r="E142" s="39" t="inlineStr">
        <is>
          <t>M</t>
        </is>
      </c>
      <c r="F142" s="39" t="inlineStr">
        <is>
          <t>about 1583</t>
        </is>
      </c>
      <c r="G142" s="39" t="n">
        <v>1583</v>
      </c>
      <c r="H142" s="39" t="str"/>
      <c r="I142" s="39" t="inlineStr">
        <is>
          <t>Dec 1658</t>
        </is>
      </c>
      <c r="J142" s="39" t="n">
        <v>1658</v>
      </c>
      <c r="K142" s="39" t="inlineStr">
        <is>
          <t>Killingworth, Middlesex County, Connecticut</t>
        </is>
      </c>
      <c r="L142" s="39" t="inlineStr">
        <is>
          <t>Lee / New England</t>
        </is>
      </c>
      <c r="M142" s="39" t="inlineStr">
        <is>
          <t>C - Provisional</t>
        </is>
      </c>
      <c r="N142" s="39" t="str"/>
      <c r="O142" s="39" t="str"/>
      <c r="P142" s="39" t="inlineStr">
        <is>
          <t>Fredric Muller Vollmer → Jan Muller Vollmer → Arthur John Muller → Elma Anna Lee → Elmer Ellsworth Lee → Hubbard Stone Lee → Grace Stone → John Evarts Stone → Asher Stone → Caleb Stone Jr. → Sarah Meigs → John Meigs → Vincent Meigs</t>
        </is>
      </c>
      <c r="Q142" s="39" t="str"/>
      <c r="R142" s="39" t="inlineStr">
        <is>
          <t>S7</t>
        </is>
      </c>
    </row>
    <row r="143">
      <c r="A143" s="39" t="inlineStr">
        <is>
          <t>I077</t>
        </is>
      </c>
      <c r="B143" s="39" t="inlineStr">
        <is>
          <t>6726</t>
        </is>
      </c>
      <c r="C143" s="39" t="n">
        <v>12</v>
      </c>
      <c r="D143" s="39" t="inlineStr">
        <is>
          <t>William Wilcockson</t>
        </is>
      </c>
      <c r="E143" s="39" t="inlineStr">
        <is>
          <t>M</t>
        </is>
      </c>
      <c r="F143" s="39" t="inlineStr">
        <is>
          <t>about 1601</t>
        </is>
      </c>
      <c r="G143" s="39" t="n">
        <v>1601</v>
      </c>
      <c r="H143" s="39" t="inlineStr">
        <is>
          <t>St. Albans, Hertfordshire, England</t>
        </is>
      </c>
      <c r="I143" s="39" t="inlineStr">
        <is>
          <t>1651/52</t>
        </is>
      </c>
      <c r="J143" s="39" t="n">
        <v>1651</v>
      </c>
      <c r="K143" s="39" t="inlineStr">
        <is>
          <t>Cambridge, Massachusetts</t>
        </is>
      </c>
      <c r="L143" s="39" t="inlineStr">
        <is>
          <t>Lee / New England</t>
        </is>
      </c>
      <c r="M143" s="39" t="inlineStr">
        <is>
          <t>B - Strong</t>
        </is>
      </c>
      <c r="N143" s="39" t="str"/>
      <c r="O143" s="39" t="str"/>
      <c r="P143" s="39" t="inlineStr">
        <is>
          <t>Fredric Muller Vollmer → Jan Muller Vollmer → Arthur John Muller → Elma Anna Lee → Elmer Ellsworth Lee → Hubbard Stone Lee → Grace Stone → John Evarts Stone → Asher Stone → Caleb Stone Jr. → Sarah Meigs → Sarah Wilcockson → William Wilcockson</t>
        </is>
      </c>
      <c r="Q143" s="39" t="str"/>
      <c r="R143" s="39" t="inlineStr">
        <is>
          <t>S7</t>
        </is>
      </c>
    </row>
    <row r="144">
      <c r="A144" s="39" t="inlineStr">
        <is>
          <t>I157</t>
        </is>
      </c>
      <c r="B144" s="39" t="inlineStr">
        <is>
          <t>7936</t>
        </is>
      </c>
      <c r="C144" s="39" t="n">
        <v>12</v>
      </c>
      <c r="D144" s="39" t="inlineStr">
        <is>
          <t>William Rives (traditional immigrant ancestor)</t>
        </is>
      </c>
      <c r="E144" s="39" t="inlineStr">
        <is>
          <t>M</t>
        </is>
      </c>
      <c r="F144" s="39" t="inlineStr">
        <is>
          <t>about 1636</t>
        </is>
      </c>
      <c r="G144" s="39" t="n">
        <v>1636</v>
      </c>
      <c r="H144" s="39" t="inlineStr">
        <is>
          <t>Oxfordshire, England</t>
        </is>
      </c>
      <c r="I144" s="39" t="inlineStr">
        <is>
          <t>after 1695</t>
        </is>
      </c>
      <c r="J144" s="39" t="n">
        <v>1695</v>
      </c>
      <c r="K144" s="39" t="inlineStr">
        <is>
          <t>Surry County, Virginia</t>
        </is>
      </c>
      <c r="L144" s="39" t="inlineStr">
        <is>
          <t>Rives / Harrison</t>
        </is>
      </c>
      <c r="M144" s="39" t="inlineStr">
        <is>
          <t>D - Traditional / disputed</t>
        </is>
      </c>
      <c r="N144" s="39" t="str"/>
      <c r="O144" s="39" t="str"/>
      <c r="P144" s="39" t="inlineStr">
        <is>
          <t>Fredric Muller Vollmer → Jan Muller Vollmer → Anne Rives McCormick Muller → Eloise A. “Elvie/Elvia” Slaughter McCormick → Lula Arnelia Rives → Robert Calhoun Rives → Robert Rives → Green Rives → William Rives → Timothy Rives → Col. William Rives → George Rives → William Rives (traditional immigrant ancestor)</t>
        </is>
      </c>
      <c r="Q144" s="39" t="inlineStr">
        <is>
          <t>Traditionally said to have settled at Blandford, Virginia. Published researchers disagree about the earliest immigrant and the parent-child links.</t>
        </is>
      </c>
      <c r="R144" s="39" t="inlineStr">
        <is>
          <t>S4, S13</t>
        </is>
      </c>
    </row>
    <row r="145">
      <c r="A145" s="39" t="inlineStr">
        <is>
          <t>I089</t>
        </is>
      </c>
      <c r="B145" s="39" t="inlineStr">
        <is>
          <t>13474</t>
        </is>
      </c>
      <c r="C145" s="39" t="n">
        <v>13</v>
      </c>
      <c r="D145" s="39" t="inlineStr">
        <is>
          <t>Edmund Sherman</t>
        </is>
      </c>
      <c r="E145" s="39" t="inlineStr">
        <is>
          <t>M</t>
        </is>
      </c>
      <c r="F145" s="39" t="inlineStr">
        <is>
          <t>about 1572</t>
        </is>
      </c>
      <c r="G145" s="39" t="n">
        <v>1572</v>
      </c>
      <c r="H145" s="39" t="inlineStr">
        <is>
          <t>probably Dedham, Essex, England</t>
        </is>
      </c>
      <c r="I145" s="39" t="inlineStr">
        <is>
          <t>1640/41</t>
        </is>
      </c>
      <c r="J145" s="39" t="n">
        <v>1640</v>
      </c>
      <c r="K145" s="39" t="inlineStr">
        <is>
          <t>New Haven, Connecticut</t>
        </is>
      </c>
      <c r="L145" s="39" t="inlineStr">
        <is>
          <t>Lee / New England</t>
        </is>
      </c>
      <c r="M145" s="39" t="inlineStr">
        <is>
          <t>C - Provisional</t>
        </is>
      </c>
      <c r="N145" s="39" t="inlineStr">
        <is>
          <t>Edmund Sherman</t>
        </is>
      </c>
      <c r="O145" s="39" t="inlineStr">
        <is>
          <t>Anne Pellett</t>
        </is>
      </c>
      <c r="P145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Edmund Sherman</t>
        </is>
      </c>
      <c r="Q145" s="39" t="str"/>
      <c r="R145" s="39" t="inlineStr">
        <is>
          <t>S7</t>
        </is>
      </c>
    </row>
    <row r="146">
      <c r="A146" s="39" t="inlineStr">
        <is>
          <t>I090</t>
        </is>
      </c>
      <c r="B146" s="39" t="inlineStr">
        <is>
          <t>13475</t>
        </is>
      </c>
      <c r="C146" s="39" t="n">
        <v>13</v>
      </c>
      <c r="D146" s="39" t="inlineStr">
        <is>
          <t>Grace Makin</t>
        </is>
      </c>
      <c r="E146" s="39" t="inlineStr">
        <is>
          <t>F</t>
        </is>
      </c>
      <c r="F146" s="39" t="inlineStr">
        <is>
          <t>about 1578</t>
        </is>
      </c>
      <c r="G146" s="39" t="n">
        <v>1578</v>
      </c>
      <c r="H146" s="39" t="str"/>
      <c r="I146" s="39" t="inlineStr">
        <is>
          <t>after 14 Jun 1643</t>
        </is>
      </c>
      <c r="J146" s="39" t="n">
        <v>1643</v>
      </c>
      <c r="K146" s="39" t="str"/>
      <c r="L146" s="39" t="inlineStr">
        <is>
          <t>Lee / New England</t>
        </is>
      </c>
      <c r="M146" s="39" t="inlineStr">
        <is>
          <t>C - Provisional</t>
        </is>
      </c>
      <c r="N146" s="39" t="inlineStr">
        <is>
          <t>Tobias Makin</t>
        </is>
      </c>
      <c r="O146" s="39" t="inlineStr">
        <is>
          <t>Katherine Westbrome</t>
        </is>
      </c>
      <c r="P146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Grace Makin</t>
        </is>
      </c>
      <c r="Q146" s="39" t="str"/>
      <c r="R146" s="39" t="inlineStr">
        <is>
          <t>S7</t>
        </is>
      </c>
    </row>
    <row r="147">
      <c r="A147" s="39" t="inlineStr">
        <is>
          <t>I096</t>
        </is>
      </c>
      <c r="B147" s="39" t="inlineStr">
        <is>
          <t>13486</t>
        </is>
      </c>
      <c r="C147" s="39" t="n">
        <v>13</v>
      </c>
      <c r="D147" s="39" t="inlineStr">
        <is>
          <t>Humphrey Spinning</t>
        </is>
      </c>
      <c r="E147" s="39" t="inlineStr">
        <is>
          <t>M</t>
        </is>
      </c>
      <c r="F147" s="39" t="str"/>
      <c r="G147" s="39" t="n"/>
      <c r="H147" s="39" t="str"/>
      <c r="I147" s="39" t="str"/>
      <c r="J147" s="39" t="n"/>
      <c r="K147" s="39" t="str"/>
      <c r="L147" s="39" t="inlineStr">
        <is>
          <t>Lee / New England</t>
        </is>
      </c>
      <c r="M147" s="39" t="inlineStr">
        <is>
          <t>C - Provisional</t>
        </is>
      </c>
      <c r="N147" s="39" t="str"/>
      <c r="O147" s="39" t="str"/>
      <c r="P147" s="39" t="inlineStr">
        <is>
          <t>Fredric Muller Vollmer → Jan Muller Vollmer → Arthur John Muller → Elma Anna Lee → Elmer Ellsworth Lee → Hubbard Stone Lee → Grace Stone → John Evarts Stone → Carine Ward → William Ward → Lettice Beach → Mary Royce → Ann Spinning → Humphrey Spinning</t>
        </is>
      </c>
      <c r="Q147" s="39" t="str"/>
      <c r="R147" s="39" t="inlineStr">
        <is>
          <t>S7</t>
        </is>
      </c>
    </row>
    <row r="148">
      <c r="A148" s="39" t="inlineStr">
        <is>
          <t>I088</t>
        </is>
      </c>
      <c r="B148" s="39" t="inlineStr">
        <is>
          <t>13454</t>
        </is>
      </c>
      <c r="C148" s="39" t="n">
        <v>13</v>
      </c>
      <c r="D148" s="39" t="inlineStr">
        <is>
          <t>James Harvey</t>
        </is>
      </c>
      <c r="E148" s="39" t="inlineStr">
        <is>
          <t>M</t>
        </is>
      </c>
      <c r="F148" s="39" t="str"/>
      <c r="G148" s="39" t="n"/>
      <c r="H148" s="39" t="str"/>
      <c r="I148" s="39" t="str"/>
      <c r="J148" s="39" t="n"/>
      <c r="K148" s="39" t="str"/>
      <c r="L148" s="39" t="inlineStr">
        <is>
          <t>Lee / New England</t>
        </is>
      </c>
      <c r="M148" s="39" t="inlineStr">
        <is>
          <t>C - Provisional</t>
        </is>
      </c>
      <c r="N148" s="39" t="str"/>
      <c r="O148" s="39" t="str"/>
      <c r="P148" s="39" t="inlineStr">
        <is>
          <t>Fredric Muller Vollmer → Jan Muller Vollmer → Arthur John Muller → Elma Anna Lee → Elmer Ellsworth Lee → Hubbard Stone Lee → Grace Stone → John Evarts Stone → Asher Stone → Caleb Stone Jr. → Sarah Meigs → Sarah Wilcockson → Margaret Harvey → James Harvey</t>
        </is>
      </c>
      <c r="Q148" s="39" t="str"/>
      <c r="R148" s="39" t="inlineStr">
        <is>
          <t>S7</t>
        </is>
      </c>
    </row>
    <row r="149">
      <c r="A149" s="39" t="inlineStr">
        <is>
          <t>I095</t>
        </is>
      </c>
      <c r="B149" s="39" t="inlineStr">
        <is>
          <t>13485</t>
        </is>
      </c>
      <c r="C149" s="39" t="n">
        <v>13</v>
      </c>
      <c r="D149" s="39" t="inlineStr">
        <is>
          <t>Mary (surname unknown), wife of Robert Royce</t>
        </is>
      </c>
      <c r="E149" s="39" t="inlineStr">
        <is>
          <t>F</t>
        </is>
      </c>
      <c r="F149" s="39" t="inlineStr">
        <is>
          <t>about 1609</t>
        </is>
      </c>
      <c r="G149" s="39" t="n">
        <v>1609</v>
      </c>
      <c r="H149" s="39" t="str"/>
      <c r="I149" s="39" t="inlineStr">
        <is>
          <t>about 1696</t>
        </is>
      </c>
      <c r="J149" s="39" t="n">
        <v>1696</v>
      </c>
      <c r="K149" s="39" t="inlineStr">
        <is>
          <t>Wallingford, Connecticut</t>
        </is>
      </c>
      <c r="L149" s="39" t="inlineStr">
        <is>
          <t>Lee / New England</t>
        </is>
      </c>
      <c r="M149" s="39" t="inlineStr">
        <is>
          <t>B - Strong</t>
        </is>
      </c>
      <c r="N149" s="39" t="str"/>
      <c r="O149" s="39" t="str"/>
      <c r="P149" s="39" t="inlineStr">
        <is>
          <t>Fredric Muller Vollmer → Jan Muller Vollmer → Arthur John Muller → Elma Anna Lee → Elmer Ellsworth Lee → Hubbard Stone Lee → Grace Stone → John Evarts Stone → Carine Ward → William Ward → Lettice Beach → Mary Royce → Jonathan Royce → Mary (surname unknown), wife of Robert Royce</t>
        </is>
      </c>
      <c r="Q149" s="39" t="str"/>
      <c r="R149" s="39" t="inlineStr">
        <is>
          <t>S7</t>
        </is>
      </c>
    </row>
    <row r="150">
      <c r="A150" s="39" t="inlineStr">
        <is>
          <t>I093</t>
        </is>
      </c>
      <c r="B150" s="39" t="inlineStr">
        <is>
          <t>13483</t>
        </is>
      </c>
      <c r="C150" s="39" t="n">
        <v>13</v>
      </c>
      <c r="D150" s="39" t="inlineStr">
        <is>
          <t>Mary Wood</t>
        </is>
      </c>
      <c r="E150" s="39" t="inlineStr">
        <is>
          <t>F</t>
        </is>
      </c>
      <c r="F150" s="39" t="inlineStr">
        <is>
          <t>baptized 10 Nov 1605</t>
        </is>
      </c>
      <c r="G150" s="39" t="n">
        <v>1605</v>
      </c>
      <c r="H150" s="39" t="inlineStr">
        <is>
          <t>Roydon, Essex, England</t>
        </is>
      </c>
      <c r="I150" s="39" t="inlineStr">
        <is>
          <t>buried 24 Mar 1675/76</t>
        </is>
      </c>
      <c r="J150" s="39" t="n">
        <v>1675</v>
      </c>
      <c r="K150" s="39" t="inlineStr">
        <is>
          <t>Milford, New Haven County, Connecticut</t>
        </is>
      </c>
      <c r="L150" s="39" t="inlineStr">
        <is>
          <t>Lee / New England</t>
        </is>
      </c>
      <c r="M150" s="39" t="inlineStr">
        <is>
          <t>B - Strong</t>
        </is>
      </c>
      <c r="N150" s="39" t="inlineStr">
        <is>
          <t>John Wood</t>
        </is>
      </c>
      <c r="O150" s="39" t="inlineStr">
        <is>
          <t>Jane (surname unknown), wife of John Wood</t>
        </is>
      </c>
      <c r="P150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Sarah Platt → Mary Wood</t>
        </is>
      </c>
      <c r="Q150" s="39" t="str"/>
      <c r="R150" s="39" t="inlineStr">
        <is>
          <t>S7</t>
        </is>
      </c>
    </row>
    <row r="151">
      <c r="A151" s="39" t="inlineStr">
        <is>
          <t>I092</t>
        </is>
      </c>
      <c r="B151" s="39" t="inlineStr">
        <is>
          <t>13482</t>
        </is>
      </c>
      <c r="C151" s="39" t="n">
        <v>13</v>
      </c>
      <c r="D151" s="39" t="inlineStr">
        <is>
          <t>Richard Platt</t>
        </is>
      </c>
      <c r="E151" s="39" t="inlineStr">
        <is>
          <t>M</t>
        </is>
      </c>
      <c r="F151" s="39" t="inlineStr">
        <is>
          <t>baptized 6 May 1604</t>
        </is>
      </c>
      <c r="G151" s="39" t="n">
        <v>1604</v>
      </c>
      <c r="H151" s="39" t="inlineStr">
        <is>
          <t>Ware, Hertfordshire, England</t>
        </is>
      </c>
      <c r="I151" s="39" t="inlineStr">
        <is>
          <t>by 13 Feb 1684/85</t>
        </is>
      </c>
      <c r="J151" s="39" t="n">
        <v>1684</v>
      </c>
      <c r="K151" s="39" t="inlineStr">
        <is>
          <t>Milford, New Haven County, Connecticut</t>
        </is>
      </c>
      <c r="L151" s="39" t="inlineStr">
        <is>
          <t>Lee / New England</t>
        </is>
      </c>
      <c r="M151" s="39" t="inlineStr">
        <is>
          <t>B - Strong</t>
        </is>
      </c>
      <c r="N151" s="39" t="inlineStr">
        <is>
          <t>George Platt</t>
        </is>
      </c>
      <c r="O151" s="39" t="inlineStr">
        <is>
          <t>Mary (surname unknown), wife of George Platt</t>
        </is>
      </c>
      <c r="P151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Sarah Platt → Richard Platt</t>
        </is>
      </c>
      <c r="Q151" s="39" t="str"/>
      <c r="R151" s="39" t="inlineStr">
        <is>
          <t>S7</t>
        </is>
      </c>
    </row>
    <row r="152">
      <c r="A152" s="39" t="inlineStr">
        <is>
          <t>I094</t>
        </is>
      </c>
      <c r="B152" s="39" t="inlineStr">
        <is>
          <t>13484</t>
        </is>
      </c>
      <c r="C152" s="39" t="n">
        <v>13</v>
      </c>
      <c r="D152" s="39" t="inlineStr">
        <is>
          <t>Robert Royce</t>
        </is>
      </c>
      <c r="E152" s="39" t="inlineStr">
        <is>
          <t>M</t>
        </is>
      </c>
      <c r="F152" s="39" t="str"/>
      <c r="G152" s="39" t="n"/>
      <c r="H152" s="39" t="str"/>
      <c r="I152" s="39" t="inlineStr">
        <is>
          <t>about 1676</t>
        </is>
      </c>
      <c r="J152" s="39" t="n">
        <v>1676</v>
      </c>
      <c r="K152" s="39" t="inlineStr">
        <is>
          <t>New London, Connecticut</t>
        </is>
      </c>
      <c r="L152" s="39" t="inlineStr">
        <is>
          <t>Lee / New England</t>
        </is>
      </c>
      <c r="M152" s="39" t="inlineStr">
        <is>
          <t>B - Strong</t>
        </is>
      </c>
      <c r="N152" s="39" t="str"/>
      <c r="O152" s="39" t="str"/>
      <c r="P152" s="39" t="inlineStr">
        <is>
          <t>Fredric Muller Vollmer → Jan Muller Vollmer → Arthur John Muller → Elma Anna Lee → Elmer Ellsworth Lee → Hubbard Stone Lee → Grace Stone → John Evarts Stone → Carine Ward → William Ward → Lettice Beach → Mary Royce → Jonathan Royce → Robert Royce</t>
        </is>
      </c>
      <c r="Q152" s="39" t="str"/>
      <c r="R152" s="39" t="inlineStr">
        <is>
          <t>S7</t>
        </is>
      </c>
    </row>
    <row r="153">
      <c r="A153" s="39" t="inlineStr">
        <is>
          <t>I091</t>
        </is>
      </c>
      <c r="B153" s="39" t="inlineStr">
        <is>
          <t>13480</t>
        </is>
      </c>
      <c r="C153" s="39" t="n">
        <v>13</v>
      </c>
      <c r="D153" s="39" t="inlineStr">
        <is>
          <t>Unknown Beach (father of Thomas Beach)</t>
        </is>
      </c>
      <c r="E153" s="39" t="inlineStr">
        <is>
          <t>M</t>
        </is>
      </c>
      <c r="F153" s="39" t="str"/>
      <c r="G153" s="39" t="n"/>
      <c r="H153" s="39" t="str"/>
      <c r="I153" s="39" t="str"/>
      <c r="J153" s="39" t="n"/>
      <c r="K153" s="39" t="str"/>
      <c r="L153" s="39" t="inlineStr">
        <is>
          <t>Lee / New England</t>
        </is>
      </c>
      <c r="M153" s="39" t="inlineStr">
        <is>
          <t>C - Provisional</t>
        </is>
      </c>
      <c r="N153" s="39" t="str"/>
      <c r="O153" s="39" t="str"/>
      <c r="P153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Thomas Beach → Unknown Beach (father of Thomas Beach)</t>
        </is>
      </c>
      <c r="Q153" s="39" t="inlineStr">
        <is>
          <t>Only the surname is supplied in the consulted Ahnentafel.</t>
        </is>
      </c>
      <c r="R153" s="39" t="inlineStr">
        <is>
          <t>S7</t>
        </is>
      </c>
    </row>
    <row r="154">
      <c r="A154" s="39" t="inlineStr">
        <is>
          <t>I098</t>
        </is>
      </c>
      <c r="B154" s="39" t="inlineStr">
        <is>
          <t>26949</t>
        </is>
      </c>
      <c r="C154" s="39" t="n">
        <v>14</v>
      </c>
      <c r="D154" s="39" t="inlineStr">
        <is>
          <t>Anne Pellett</t>
        </is>
      </c>
      <c r="E154" s="39" t="inlineStr">
        <is>
          <t>F</t>
        </is>
      </c>
      <c r="F154" s="39" t="inlineStr">
        <is>
          <t>about 1549</t>
        </is>
      </c>
      <c r="G154" s="39" t="n">
        <v>1549</v>
      </c>
      <c r="H154" s="39" t="inlineStr">
        <is>
          <t>probably Steyning, Sussex, England</t>
        </is>
      </c>
      <c r="I154" s="39" t="inlineStr">
        <is>
          <t>buried 8 Jun 1584</t>
        </is>
      </c>
      <c r="J154" s="39" t="n">
        <v>1584</v>
      </c>
      <c r="K154" s="39" t="inlineStr">
        <is>
          <t>Dedham, Essex, England</t>
        </is>
      </c>
      <c r="L154" s="39" t="inlineStr">
        <is>
          <t>Lee / New England</t>
        </is>
      </c>
      <c r="M154" s="39" t="inlineStr">
        <is>
          <t>C - Provisional</t>
        </is>
      </c>
      <c r="N154" s="39" t="inlineStr">
        <is>
          <t>William Pellett</t>
        </is>
      </c>
      <c r="O154" s="39" t="str"/>
      <c r="P154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Edmund Sherman → Anne Pellett</t>
        </is>
      </c>
      <c r="Q154" s="39" t="str"/>
      <c r="R154" s="39" t="inlineStr">
        <is>
          <t>S7</t>
        </is>
      </c>
    </row>
    <row r="155">
      <c r="A155" s="39" t="inlineStr">
        <is>
          <t>I097</t>
        </is>
      </c>
      <c r="B155" s="39" t="inlineStr">
        <is>
          <t>26948</t>
        </is>
      </c>
      <c r="C155" s="39" t="n">
        <v>14</v>
      </c>
      <c r="D155" s="39" t="inlineStr">
        <is>
          <t>Edmund Sherman</t>
        </is>
      </c>
      <c r="E155" s="39" t="inlineStr">
        <is>
          <t>M</t>
        </is>
      </c>
      <c r="F155" s="39" t="inlineStr">
        <is>
          <t>about 1548</t>
        </is>
      </c>
      <c r="G155" s="39" t="n">
        <v>1548</v>
      </c>
      <c r="H155" s="39" t="str"/>
      <c r="I155" s="39" t="inlineStr">
        <is>
          <t>buried 22 Dec 1600</t>
        </is>
      </c>
      <c r="J155" s="39" t="n">
        <v>1600</v>
      </c>
      <c r="K155" s="39" t="inlineStr">
        <is>
          <t>Dedham, Essex, England</t>
        </is>
      </c>
      <c r="L155" s="39" t="inlineStr">
        <is>
          <t>Lee / New England</t>
        </is>
      </c>
      <c r="M155" s="39" t="inlineStr">
        <is>
          <t>C - Provisional</t>
        </is>
      </c>
      <c r="N155" s="39" t="inlineStr">
        <is>
          <t>Henry Sherman</t>
        </is>
      </c>
      <c r="O155" s="39" t="inlineStr">
        <is>
          <t>Agnes (surname unknown), wife of Henry Sherman</t>
        </is>
      </c>
      <c r="P155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Edmund Sherman → Edmund Sherman</t>
        </is>
      </c>
      <c r="Q155" s="39" t="str"/>
      <c r="R155" s="39" t="inlineStr">
        <is>
          <t>S7</t>
        </is>
      </c>
    </row>
    <row r="156">
      <c r="A156" s="39" t="inlineStr">
        <is>
          <t>I101</t>
        </is>
      </c>
      <c r="B156" s="39" t="inlineStr">
        <is>
          <t>26964</t>
        </is>
      </c>
      <c r="C156" s="39" t="n">
        <v>14</v>
      </c>
      <c r="D156" s="39" t="inlineStr">
        <is>
          <t>George Platt</t>
        </is>
      </c>
      <c r="E156" s="39" t="inlineStr">
        <is>
          <t>M</t>
        </is>
      </c>
      <c r="F156" s="39" t="inlineStr">
        <is>
          <t>baptized 13 May 1582</t>
        </is>
      </c>
      <c r="G156" s="39" t="n">
        <v>1582</v>
      </c>
      <c r="H156" s="39" t="inlineStr">
        <is>
          <t>Ware, Hertfordshire, England</t>
        </is>
      </c>
      <c r="I156" s="39" t="inlineStr">
        <is>
          <t>buried 20 Apr 1609</t>
        </is>
      </c>
      <c r="J156" s="39" t="n">
        <v>1609</v>
      </c>
      <c r="K156" s="39" t="inlineStr">
        <is>
          <t>Ware, Hertfordshire, England</t>
        </is>
      </c>
      <c r="L156" s="39" t="inlineStr">
        <is>
          <t>Lee / New England</t>
        </is>
      </c>
      <c r="M156" s="39" t="inlineStr">
        <is>
          <t>C - Provisional</t>
        </is>
      </c>
      <c r="N156" s="39" t="inlineStr">
        <is>
          <t>Simon Platt</t>
        </is>
      </c>
      <c r="O156" s="39" t="inlineStr">
        <is>
          <t>Elizabeth (surname unknown), wife of Simon Platt</t>
        </is>
      </c>
      <c r="P156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Sarah Platt → Richard Platt → George Platt</t>
        </is>
      </c>
      <c r="Q156" s="39" t="str"/>
      <c r="R156" s="39" t="inlineStr">
        <is>
          <t>S7</t>
        </is>
      </c>
    </row>
    <row r="157">
      <c r="A157" s="39" t="inlineStr">
        <is>
          <t>I104</t>
        </is>
      </c>
      <c r="B157" s="39" t="inlineStr">
        <is>
          <t>26967</t>
        </is>
      </c>
      <c r="C157" s="39" t="n">
        <v>14</v>
      </c>
      <c r="D157" s="39" t="inlineStr">
        <is>
          <t>Jane (surname unknown), wife of John Wood</t>
        </is>
      </c>
      <c r="E157" s="39" t="inlineStr">
        <is>
          <t>F</t>
        </is>
      </c>
      <c r="F157" s="39" t="str"/>
      <c r="G157" s="39" t="n"/>
      <c r="H157" s="39" t="str"/>
      <c r="I157" s="39" t="str"/>
      <c r="J157" s="39" t="n"/>
      <c r="K157" s="39" t="str"/>
      <c r="L157" s="39" t="inlineStr">
        <is>
          <t>Lee / New England</t>
        </is>
      </c>
      <c r="M157" s="39" t="inlineStr">
        <is>
          <t>C - Provisional</t>
        </is>
      </c>
      <c r="N157" s="39" t="str"/>
      <c r="O157" s="39" t="str"/>
      <c r="P157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Sarah Platt → Mary Wood → Jane (surname unknown), wife of John Wood</t>
        </is>
      </c>
      <c r="Q157" s="39" t="str"/>
      <c r="R157" s="39" t="inlineStr">
        <is>
          <t>S7</t>
        </is>
      </c>
    </row>
    <row r="158">
      <c r="A158" s="39" t="inlineStr">
        <is>
          <t>I103</t>
        </is>
      </c>
      <c r="B158" s="39" t="inlineStr">
        <is>
          <t>26966</t>
        </is>
      </c>
      <c r="C158" s="39" t="n">
        <v>14</v>
      </c>
      <c r="D158" s="39" t="inlineStr">
        <is>
          <t>John Wood</t>
        </is>
      </c>
      <c r="E158" s="39" t="inlineStr">
        <is>
          <t>M</t>
        </is>
      </c>
      <c r="F158" s="39" t="str"/>
      <c r="G158" s="39" t="n"/>
      <c r="H158" s="39" t="str"/>
      <c r="I158" s="39" t="str"/>
      <c r="J158" s="39" t="n"/>
      <c r="K158" s="39" t="str"/>
      <c r="L158" s="39" t="inlineStr">
        <is>
          <t>Lee / New England</t>
        </is>
      </c>
      <c r="M158" s="39" t="inlineStr">
        <is>
          <t>C - Provisional</t>
        </is>
      </c>
      <c r="N158" s="39" t="str"/>
      <c r="O158" s="39" t="str"/>
      <c r="P158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Sarah Platt → Mary Wood → John Wood</t>
        </is>
      </c>
      <c r="Q158" s="39" t="str"/>
      <c r="R158" s="39" t="inlineStr">
        <is>
          <t>S7</t>
        </is>
      </c>
    </row>
    <row r="159">
      <c r="A159" s="39" t="inlineStr">
        <is>
          <t>I100</t>
        </is>
      </c>
      <c r="B159" s="39" t="inlineStr">
        <is>
          <t>26951</t>
        </is>
      </c>
      <c r="C159" s="39" t="n">
        <v>14</v>
      </c>
      <c r="D159" s="39" t="inlineStr">
        <is>
          <t>Katherine Westbrome</t>
        </is>
      </c>
      <c r="E159" s="39" t="inlineStr">
        <is>
          <t>F</t>
        </is>
      </c>
      <c r="F159" s="39" t="str"/>
      <c r="G159" s="39" t="n"/>
      <c r="H159" s="39" t="str"/>
      <c r="I159" s="39" t="str"/>
      <c r="J159" s="39" t="n"/>
      <c r="K159" s="39" t="str"/>
      <c r="L159" s="39" t="inlineStr">
        <is>
          <t>Lee / New England</t>
        </is>
      </c>
      <c r="M159" s="39" t="inlineStr">
        <is>
          <t>C - Provisional</t>
        </is>
      </c>
      <c r="N159" s="39" t="inlineStr">
        <is>
          <t>Thomas Westbrome</t>
        </is>
      </c>
      <c r="O159" s="39" t="inlineStr">
        <is>
          <t>Elizabeth (surname unknown), wife of Thomas Westbrome</t>
        </is>
      </c>
      <c r="P159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Grace Makin → Katherine Westbrome</t>
        </is>
      </c>
      <c r="Q159" s="39" t="str"/>
      <c r="R159" s="39" t="inlineStr">
        <is>
          <t>S7</t>
        </is>
      </c>
    </row>
    <row r="160">
      <c r="A160" s="39" t="inlineStr">
        <is>
          <t>I102</t>
        </is>
      </c>
      <c r="B160" s="39" t="inlineStr">
        <is>
          <t>26965</t>
        </is>
      </c>
      <c r="C160" s="39" t="n">
        <v>14</v>
      </c>
      <c r="D160" s="39" t="inlineStr">
        <is>
          <t>Mary (surname unknown), wife of George Platt</t>
        </is>
      </c>
      <c r="E160" s="39" t="inlineStr">
        <is>
          <t>F</t>
        </is>
      </c>
      <c r="F160" s="39" t="str"/>
      <c r="G160" s="39" t="n"/>
      <c r="H160" s="39" t="str"/>
      <c r="I160" s="39" t="str"/>
      <c r="J160" s="39" t="n"/>
      <c r="K160" s="39" t="str"/>
      <c r="L160" s="39" t="inlineStr">
        <is>
          <t>Lee / New England</t>
        </is>
      </c>
      <c r="M160" s="39" t="inlineStr">
        <is>
          <t>C - Provisional</t>
        </is>
      </c>
      <c r="N160" s="39" t="str"/>
      <c r="O160" s="39" t="str"/>
      <c r="P160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Sarah Platt → Richard Platt → Mary (surname unknown), wife of George Platt</t>
        </is>
      </c>
      <c r="Q160" s="39" t="str"/>
      <c r="R160" s="39" t="inlineStr">
        <is>
          <t>S7</t>
        </is>
      </c>
    </row>
    <row r="161">
      <c r="A161" s="39" t="inlineStr">
        <is>
          <t>I099</t>
        </is>
      </c>
      <c r="B161" s="39" t="inlineStr">
        <is>
          <t>26950</t>
        </is>
      </c>
      <c r="C161" s="39" t="n">
        <v>14</v>
      </c>
      <c r="D161" s="39" t="inlineStr">
        <is>
          <t>Tobias Makin</t>
        </is>
      </c>
      <c r="E161" s="39" t="inlineStr">
        <is>
          <t>M</t>
        </is>
      </c>
      <c r="F161" s="39" t="str"/>
      <c r="G161" s="39" t="n"/>
      <c r="H161" s="39" t="str"/>
      <c r="I161" s="39" t="inlineStr">
        <is>
          <t>1610</t>
        </is>
      </c>
      <c r="J161" s="39" t="n">
        <v>1610</v>
      </c>
      <c r="K161" s="39" t="inlineStr">
        <is>
          <t>probably Fingringhoe, Essex, England</t>
        </is>
      </c>
      <c r="L161" s="39" t="inlineStr">
        <is>
          <t>Lee / New England</t>
        </is>
      </c>
      <c r="M161" s="39" t="inlineStr">
        <is>
          <t>C - Provisional</t>
        </is>
      </c>
      <c r="N161" s="39" t="inlineStr">
        <is>
          <t>John Makin</t>
        </is>
      </c>
      <c r="O161" s="39" t="inlineStr">
        <is>
          <t>Agnes (surname unknown), wife of John Makin</t>
        </is>
      </c>
      <c r="P161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Grace Makin → Tobias Makin</t>
        </is>
      </c>
      <c r="Q161" s="39" t="str"/>
      <c r="R161" s="39" t="inlineStr">
        <is>
          <t>S7</t>
        </is>
      </c>
    </row>
    <row r="162">
      <c r="A162" s="39" t="inlineStr">
        <is>
          <t>I106</t>
        </is>
      </c>
      <c r="B162" s="39" t="inlineStr">
        <is>
          <t>53897</t>
        </is>
      </c>
      <c r="C162" s="39" t="n">
        <v>15</v>
      </c>
      <c r="D162" s="39" t="inlineStr">
        <is>
          <t>Agnes (surname unknown), wife of Henry Sherman</t>
        </is>
      </c>
      <c r="E162" s="39" t="inlineStr">
        <is>
          <t>F</t>
        </is>
      </c>
      <c r="F162" s="39" t="str"/>
      <c r="G162" s="39" t="n"/>
      <c r="H162" s="39" t="str"/>
      <c r="I162" s="39" t="inlineStr">
        <is>
          <t>buried 14 Oct 1580</t>
        </is>
      </c>
      <c r="J162" s="39" t="n">
        <v>1580</v>
      </c>
      <c r="K162" s="39" t="inlineStr">
        <is>
          <t>Dedham, Essex, England</t>
        </is>
      </c>
      <c r="L162" s="39" t="inlineStr">
        <is>
          <t>Lee / New England</t>
        </is>
      </c>
      <c r="M162" s="39" t="inlineStr">
        <is>
          <t>C - Provisional</t>
        </is>
      </c>
      <c r="N162" s="39" t="str"/>
      <c r="O162" s="39" t="str"/>
      <c r="P162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Edmund Sherman → Edmund Sherman → Agnes (surname unknown), wife of Henry Sherman</t>
        </is>
      </c>
      <c r="Q162" s="39" t="str"/>
      <c r="R162" s="39" t="inlineStr">
        <is>
          <t>S7</t>
        </is>
      </c>
    </row>
    <row r="163">
      <c r="A163" s="39" t="inlineStr">
        <is>
          <t>I109</t>
        </is>
      </c>
      <c r="B163" s="39" t="inlineStr">
        <is>
          <t>53901</t>
        </is>
      </c>
      <c r="C163" s="39" t="n">
        <v>15</v>
      </c>
      <c r="D163" s="39" t="inlineStr">
        <is>
          <t>Agnes (surname unknown), wife of John Makin</t>
        </is>
      </c>
      <c r="E163" s="39" t="inlineStr">
        <is>
          <t>F</t>
        </is>
      </c>
      <c r="F163" s="39" t="str"/>
      <c r="G163" s="39" t="n"/>
      <c r="H163" s="39" t="str"/>
      <c r="I163" s="39" t="str"/>
      <c r="J163" s="39" t="n"/>
      <c r="K163" s="39" t="str"/>
      <c r="L163" s="39" t="inlineStr">
        <is>
          <t>Lee / New England</t>
        </is>
      </c>
      <c r="M163" s="39" t="inlineStr">
        <is>
          <t>C - Provisional</t>
        </is>
      </c>
      <c r="N163" s="39" t="str"/>
      <c r="O163" s="39" t="str"/>
      <c r="P163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Grace Makin → Tobias Makin → Agnes (surname unknown), wife of John Makin</t>
        </is>
      </c>
      <c r="Q163" s="39" t="str"/>
      <c r="R163" s="39" t="inlineStr">
        <is>
          <t>S7</t>
        </is>
      </c>
    </row>
    <row r="164">
      <c r="A164" s="39" t="inlineStr">
        <is>
          <t>I113</t>
        </is>
      </c>
      <c r="B164" s="39" t="inlineStr">
        <is>
          <t>53929</t>
        </is>
      </c>
      <c r="C164" s="39" t="n">
        <v>15</v>
      </c>
      <c r="D164" s="39" t="inlineStr">
        <is>
          <t>Elizabeth (surname unknown), wife of Simon Platt</t>
        </is>
      </c>
      <c r="E164" s="39" t="inlineStr">
        <is>
          <t>F</t>
        </is>
      </c>
      <c r="F164" s="39" t="str"/>
      <c r="G164" s="39" t="n"/>
      <c r="H164" s="39" t="str"/>
      <c r="I164" s="39" t="inlineStr">
        <is>
          <t>buried 21 Jul 1598</t>
        </is>
      </c>
      <c r="J164" s="39" t="n">
        <v>1598</v>
      </c>
      <c r="K164" s="39" t="inlineStr">
        <is>
          <t>Ware, Hertfordshire, England</t>
        </is>
      </c>
      <c r="L164" s="39" t="inlineStr">
        <is>
          <t>Lee / New England</t>
        </is>
      </c>
      <c r="M164" s="39" t="inlineStr">
        <is>
          <t>C - Provisional</t>
        </is>
      </c>
      <c r="N164" s="39" t="str"/>
      <c r="O164" s="39" t="str"/>
      <c r="P164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Sarah Platt → Richard Platt → George Platt → Elizabeth (surname unknown), wife of Simon Platt</t>
        </is>
      </c>
      <c r="Q164" s="39" t="str"/>
      <c r="R164" s="39" t="inlineStr">
        <is>
          <t>S7</t>
        </is>
      </c>
    </row>
    <row r="165">
      <c r="A165" s="39" t="inlineStr">
        <is>
          <t>I111</t>
        </is>
      </c>
      <c r="B165" s="39" t="inlineStr">
        <is>
          <t>53903</t>
        </is>
      </c>
      <c r="C165" s="39" t="n">
        <v>15</v>
      </c>
      <c r="D165" s="39" t="inlineStr">
        <is>
          <t>Elizabeth (surname unknown), wife of Thomas Westbrome</t>
        </is>
      </c>
      <c r="E165" s="39" t="inlineStr">
        <is>
          <t>F</t>
        </is>
      </c>
      <c r="F165" s="39" t="str"/>
      <c r="G165" s="39" t="n"/>
      <c r="H165" s="39" t="str"/>
      <c r="I165" s="39" t="str"/>
      <c r="J165" s="39" t="n"/>
      <c r="K165" s="39" t="str"/>
      <c r="L165" s="39" t="inlineStr">
        <is>
          <t>Lee / New England</t>
        </is>
      </c>
      <c r="M165" s="39" t="inlineStr">
        <is>
          <t>C - Provisional</t>
        </is>
      </c>
      <c r="N165" s="39" t="str"/>
      <c r="O165" s="39" t="str"/>
      <c r="P165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Grace Makin → Katherine Westbrome → Elizabeth (surname unknown), wife of Thomas Westbrome</t>
        </is>
      </c>
      <c r="Q165" s="39" t="str"/>
      <c r="R165" s="39" t="inlineStr">
        <is>
          <t>S7</t>
        </is>
      </c>
    </row>
    <row r="166">
      <c r="A166" s="39" t="inlineStr">
        <is>
          <t>I105</t>
        </is>
      </c>
      <c r="B166" s="39" t="inlineStr">
        <is>
          <t>53896</t>
        </is>
      </c>
      <c r="C166" s="39" t="n">
        <v>15</v>
      </c>
      <c r="D166" s="39" t="inlineStr">
        <is>
          <t>Henry Sherman</t>
        </is>
      </c>
      <c r="E166" s="39" t="inlineStr">
        <is>
          <t>M</t>
        </is>
      </c>
      <c r="F166" s="39" t="inlineStr">
        <is>
          <t>about 1512</t>
        </is>
      </c>
      <c r="G166" s="39" t="n">
        <v>1512</v>
      </c>
      <c r="H166" s="39" t="str"/>
      <c r="I166" s="39" t="inlineStr">
        <is>
          <t>1589/90</t>
        </is>
      </c>
      <c r="J166" s="39" t="n">
        <v>1589</v>
      </c>
      <c r="K166" s="39" t="str"/>
      <c r="L166" s="39" t="inlineStr">
        <is>
          <t>Lee / New England</t>
        </is>
      </c>
      <c r="M166" s="39" t="inlineStr">
        <is>
          <t>C - Provisional</t>
        </is>
      </c>
      <c r="N166" s="39" t="str"/>
      <c r="O166" s="39" t="str"/>
      <c r="P166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Edmund Sherman → Edmund Sherman → Henry Sherman</t>
        </is>
      </c>
      <c r="Q166" s="39" t="inlineStr">
        <is>
          <t>Oldest dated ancestor in the compiled Lee branch used here.</t>
        </is>
      </c>
      <c r="R166" s="39" t="inlineStr">
        <is>
          <t>S7</t>
        </is>
      </c>
    </row>
    <row r="167">
      <c r="A167" s="39" t="inlineStr">
        <is>
          <t>I108</t>
        </is>
      </c>
      <c r="B167" s="39" t="inlineStr">
        <is>
          <t>53900</t>
        </is>
      </c>
      <c r="C167" s="39" t="n">
        <v>15</v>
      </c>
      <c r="D167" s="39" t="inlineStr">
        <is>
          <t>John Makin</t>
        </is>
      </c>
      <c r="E167" s="39" t="inlineStr">
        <is>
          <t>M</t>
        </is>
      </c>
      <c r="F167" s="39" t="str"/>
      <c r="G167" s="39" t="n"/>
      <c r="H167" s="39" t="str"/>
      <c r="I167" s="39" t="inlineStr">
        <is>
          <t>after 16 Mar 1562/63</t>
        </is>
      </c>
      <c r="J167" s="39" t="n">
        <v>1562</v>
      </c>
      <c r="K167" s="39" t="str"/>
      <c r="L167" s="39" t="inlineStr">
        <is>
          <t>Lee / New England</t>
        </is>
      </c>
      <c r="M167" s="39" t="inlineStr">
        <is>
          <t>C - Provisional</t>
        </is>
      </c>
      <c r="N167" s="39" t="str"/>
      <c r="O167" s="39" t="str"/>
      <c r="P167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Grace Makin → Tobias Makin → John Makin</t>
        </is>
      </c>
      <c r="Q167" s="39" t="str"/>
      <c r="R167" s="39" t="inlineStr">
        <is>
          <t>S7</t>
        </is>
      </c>
    </row>
    <row r="168">
      <c r="A168" s="39" t="inlineStr">
        <is>
          <t>I112</t>
        </is>
      </c>
      <c r="B168" s="39" t="inlineStr">
        <is>
          <t>53928</t>
        </is>
      </c>
      <c r="C168" s="39" t="n">
        <v>15</v>
      </c>
      <c r="D168" s="39" t="inlineStr">
        <is>
          <t>Simon Platt</t>
        </is>
      </c>
      <c r="E168" s="39" t="inlineStr">
        <is>
          <t>M</t>
        </is>
      </c>
      <c r="F168" s="39" t="inlineStr">
        <is>
          <t>about 1533</t>
        </is>
      </c>
      <c r="G168" s="39" t="n">
        <v>1533</v>
      </c>
      <c r="H168" s="39" t="str"/>
      <c r="I168" s="39" t="inlineStr">
        <is>
          <t>buried 12 Apr 1594</t>
        </is>
      </c>
      <c r="J168" s="39" t="n">
        <v>1594</v>
      </c>
      <c r="K168" s="39" t="inlineStr">
        <is>
          <t>Ware, Hertfordshire, England</t>
        </is>
      </c>
      <c r="L168" s="39" t="inlineStr">
        <is>
          <t>Lee / New England</t>
        </is>
      </c>
      <c r="M168" s="39" t="inlineStr">
        <is>
          <t>C - Provisional</t>
        </is>
      </c>
      <c r="N168" s="39" t="str"/>
      <c r="O168" s="39" t="str"/>
      <c r="P168" s="39" t="inlineStr">
        <is>
          <t>Fredric Muller Vollmer → Jan Muller Vollmer → Arthur John Muller → Elma Anna Lee → Elmer Ellsworth Lee → Hubbard Stone Lee → Grace Stone → John Evarts Stone → Carine Ward → William Ward → Lettice Beach → John Beach → Sarah Platt → Richard Platt → George Platt → Simon Platt</t>
        </is>
      </c>
      <c r="Q168" s="39" t="str"/>
      <c r="R168" s="39" t="inlineStr">
        <is>
          <t>S7</t>
        </is>
      </c>
    </row>
    <row r="169">
      <c r="A169" s="39" t="inlineStr">
        <is>
          <t>I110</t>
        </is>
      </c>
      <c r="B169" s="39" t="inlineStr">
        <is>
          <t>53902</t>
        </is>
      </c>
      <c r="C169" s="39" t="n">
        <v>15</v>
      </c>
      <c r="D169" s="39" t="inlineStr">
        <is>
          <t>Thomas Westbrome</t>
        </is>
      </c>
      <c r="E169" s="39" t="inlineStr">
        <is>
          <t>M</t>
        </is>
      </c>
      <c r="F169" s="39" t="str"/>
      <c r="G169" s="39" t="n"/>
      <c r="H169" s="39" t="str"/>
      <c r="I169" s="39" t="str"/>
      <c r="J169" s="39" t="n"/>
      <c r="K169" s="39" t="str"/>
      <c r="L169" s="39" t="inlineStr">
        <is>
          <t>Lee / New England</t>
        </is>
      </c>
      <c r="M169" s="39" t="inlineStr">
        <is>
          <t>C - Provisional</t>
        </is>
      </c>
      <c r="N169" s="39" t="str"/>
      <c r="O169" s="39" t="str"/>
      <c r="P169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Grace Makin → Katherine Westbrome → Thomas Westbrome</t>
        </is>
      </c>
      <c r="Q169" s="39" t="str"/>
      <c r="R169" s="39" t="inlineStr">
        <is>
          <t>S7</t>
        </is>
      </c>
    </row>
    <row r="170">
      <c r="A170" s="39" t="inlineStr">
        <is>
          <t>I107</t>
        </is>
      </c>
      <c r="B170" s="39" t="inlineStr">
        <is>
          <t>53898</t>
        </is>
      </c>
      <c r="C170" s="39" t="n">
        <v>15</v>
      </c>
      <c r="D170" s="39" t="inlineStr">
        <is>
          <t>William Pellett</t>
        </is>
      </c>
      <c r="E170" s="39" t="inlineStr">
        <is>
          <t>M</t>
        </is>
      </c>
      <c r="F170" s="39" t="str"/>
      <c r="G170" s="39" t="n"/>
      <c r="H170" s="39" t="str"/>
      <c r="I170" s="39" t="str"/>
      <c r="J170" s="39" t="n"/>
      <c r="K170" s="39" t="str"/>
      <c r="L170" s="39" t="inlineStr">
        <is>
          <t>Lee / New England</t>
        </is>
      </c>
      <c r="M170" s="39" t="inlineStr">
        <is>
          <t>C - Provisional</t>
        </is>
      </c>
      <c r="N170" s="39" t="str"/>
      <c r="O170" s="39" t="str"/>
      <c r="P170" s="39" t="inlineStr">
        <is>
          <t>Fredric Muller Vollmer → Jan Muller Vollmer → Arthur John Muller → Elma Anna Lee → Elmer Ellsworth Lee → Hubbard Stone Lee → Grace Stone → John Evarts Stone → Carine Ward → William Ward → William Ward → Andrew Ward Jr. → Hester Sherman → Edmund Sherman → Anne Pellett → William Pellett</t>
        </is>
      </c>
      <c r="Q170" s="39" t="str"/>
      <c r="R170" s="39" t="inlineStr">
        <is>
          <t>S7</t>
        </is>
      </c>
    </row>
  </sheetData>
  <conditionalFormatting sqref="M2:M170">
    <cfRule type="expression" priority="1" dxfId="0">
      <formula>LEFT(M2,1)="A"</formula>
    </cfRule>
    <cfRule type="expression" priority="2" dxfId="1">
      <formula>LEFT(M2,1)="B"</formula>
    </cfRule>
    <cfRule type="expression" priority="3" dxfId="2">
      <formula>LEFT(M2,1)="C"</formula>
    </cfRule>
    <cfRule type="expression" priority="4" dxfId="3">
      <formula>LEFT(M2,1)="D"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2" customWidth="1" min="4" max="4"/>
    <col width="30" customWidth="1" min="5" max="5"/>
    <col width="12" customWidth="1" min="6" max="6"/>
    <col width="30" customWidth="1" min="7" max="7"/>
    <col width="24" customWidth="1" min="8" max="8"/>
    <col width="18" customWidth="1" min="9" max="9"/>
  </cols>
  <sheetData>
    <row r="1">
      <c r="A1" s="38" t="inlineStr">
        <is>
          <t>Child ID</t>
        </is>
      </c>
      <c r="B1" s="38" t="inlineStr">
        <is>
          <t>Child</t>
        </is>
      </c>
      <c r="C1" s="38" t="inlineStr">
        <is>
          <t>Generation</t>
        </is>
      </c>
      <c r="D1" s="38" t="inlineStr">
        <is>
          <t>Father ID</t>
        </is>
      </c>
      <c r="E1" s="38" t="inlineStr">
        <is>
          <t>Father</t>
        </is>
      </c>
      <c r="F1" s="38" t="inlineStr">
        <is>
          <t>Mother ID</t>
        </is>
      </c>
      <c r="G1" s="38" t="inlineStr">
        <is>
          <t>Mother</t>
        </is>
      </c>
      <c r="H1" s="38" t="inlineStr">
        <is>
          <t>Relationship confidence</t>
        </is>
      </c>
      <c r="I1" s="38" t="inlineStr">
        <is>
          <t>Source IDs</t>
        </is>
      </c>
    </row>
    <row r="2">
      <c r="A2" s="39" t="inlineStr">
        <is>
          <t>I001</t>
        </is>
      </c>
      <c r="B2" s="39" t="inlineStr">
        <is>
          <t>Fredric Muller Vollmer</t>
        </is>
      </c>
      <c r="C2" s="39" t="n">
        <v>0</v>
      </c>
      <c r="D2" s="39" t="str"/>
      <c r="E2" s="39" t="str"/>
      <c r="F2" s="39" t="inlineStr">
        <is>
          <t>I002</t>
        </is>
      </c>
      <c r="G2" s="39" t="inlineStr">
        <is>
          <t>Jan Muller Vollmer</t>
        </is>
      </c>
      <c r="H2" s="39" t="inlineStr">
        <is>
          <t>A - Confirmed</t>
        </is>
      </c>
      <c r="I2" s="39" t="inlineStr">
        <is>
          <t>S1</t>
        </is>
      </c>
    </row>
    <row r="3">
      <c r="A3" s="39" t="inlineStr">
        <is>
          <t>I002</t>
        </is>
      </c>
      <c r="B3" s="39" t="inlineStr">
        <is>
          <t>Jan Muller Vollmer</t>
        </is>
      </c>
      <c r="C3" s="39" t="n">
        <v>1</v>
      </c>
      <c r="D3" s="39" t="inlineStr">
        <is>
          <t>I003</t>
        </is>
      </c>
      <c r="E3" s="39" t="inlineStr">
        <is>
          <t>Arthur John Muller</t>
        </is>
      </c>
      <c r="F3" s="39" t="inlineStr">
        <is>
          <t>I004</t>
        </is>
      </c>
      <c r="G3" s="39" t="inlineStr">
        <is>
          <t>Anne Rives McCormick Muller</t>
        </is>
      </c>
      <c r="H3" s="39" t="inlineStr">
        <is>
          <t>A - Confirmed</t>
        </is>
      </c>
      <c r="I3" s="39" t="inlineStr">
        <is>
          <t>S1, S2</t>
        </is>
      </c>
    </row>
    <row r="4">
      <c r="A4" s="39" t="inlineStr">
        <is>
          <t>I004</t>
        </is>
      </c>
      <c r="B4" s="39" t="inlineStr">
        <is>
          <t>Anne Rives McCormick Muller</t>
        </is>
      </c>
      <c r="C4" s="39" t="n">
        <v>2</v>
      </c>
      <c r="D4" s="39" t="inlineStr">
        <is>
          <t>I007</t>
        </is>
      </c>
      <c r="E4" s="39" t="inlineStr">
        <is>
          <t>Charles Ellsworth McCormick II</t>
        </is>
      </c>
      <c r="F4" s="39" t="inlineStr">
        <is>
          <t>I008</t>
        </is>
      </c>
      <c r="G4" s="39" t="inlineStr">
        <is>
          <t>Eloise A. “Elvie/Elvia” Slaughter McCormick</t>
        </is>
      </c>
      <c r="H4" s="39" t="inlineStr">
        <is>
          <t>A - Confirmed</t>
        </is>
      </c>
      <c r="I4" s="39" t="inlineStr">
        <is>
          <t>S1, S8</t>
        </is>
      </c>
    </row>
    <row r="5">
      <c r="A5" s="39" t="inlineStr">
        <is>
          <t>I003</t>
        </is>
      </c>
      <c r="B5" s="39" t="inlineStr">
        <is>
          <t>Arthur John Muller</t>
        </is>
      </c>
      <c r="C5" s="39" t="n">
        <v>2</v>
      </c>
      <c r="D5" s="39" t="inlineStr">
        <is>
          <t>I005</t>
        </is>
      </c>
      <c r="E5" s="39" t="inlineStr">
        <is>
          <t>Arthur Herman Muller</t>
        </is>
      </c>
      <c r="F5" s="39" t="inlineStr">
        <is>
          <t>I006</t>
        </is>
      </c>
      <c r="G5" s="39" t="inlineStr">
        <is>
          <t>Elma Anna Lee</t>
        </is>
      </c>
      <c r="H5" s="39" t="inlineStr">
        <is>
          <t>A - Confirmed</t>
        </is>
      </c>
      <c r="I5" s="39" t="inlineStr">
        <is>
          <t>S2, S5</t>
        </is>
      </c>
    </row>
    <row r="6">
      <c r="A6" s="39" t="inlineStr">
        <is>
          <t>I005</t>
        </is>
      </c>
      <c r="B6" s="39" t="inlineStr">
        <is>
          <t>Arthur Herman Muller</t>
        </is>
      </c>
      <c r="C6" s="39" t="n">
        <v>3</v>
      </c>
      <c r="D6" s="39" t="inlineStr">
        <is>
          <t>I009</t>
        </is>
      </c>
      <c r="E6" s="39" t="inlineStr">
        <is>
          <t>Christian August Vollrath Muller</t>
        </is>
      </c>
      <c r="F6" s="39" t="inlineStr">
        <is>
          <t>I010</t>
        </is>
      </c>
      <c r="G6" s="39" t="inlineStr">
        <is>
          <t>Henrietta Kleitz</t>
        </is>
      </c>
      <c r="H6" s="39" t="inlineStr">
        <is>
          <t>B - Strong</t>
        </is>
      </c>
      <c r="I6" s="39" t="inlineStr">
        <is>
          <t>S2</t>
        </is>
      </c>
    </row>
    <row r="7">
      <c r="A7" s="39" t="inlineStr">
        <is>
          <t>I007</t>
        </is>
      </c>
      <c r="B7" s="39" t="inlineStr">
        <is>
          <t>Charles Ellsworth McCormick II</t>
        </is>
      </c>
      <c r="C7" s="39" t="n">
        <v>3</v>
      </c>
      <c r="D7" s="39" t="inlineStr">
        <is>
          <t>I114</t>
        </is>
      </c>
      <c r="E7" s="39" t="inlineStr">
        <is>
          <t>Charles Ellsworth McCormick I</t>
        </is>
      </c>
      <c r="F7" s="39" t="inlineStr">
        <is>
          <t>I115</t>
        </is>
      </c>
      <c r="G7" s="39" t="inlineStr">
        <is>
          <t>Mary Moore Brooks</t>
        </is>
      </c>
      <c r="H7" s="39" t="inlineStr">
        <is>
          <t>A - Confirmed</t>
        </is>
      </c>
      <c r="I7" s="39" t="inlineStr">
        <is>
          <t>S1, S25</t>
        </is>
      </c>
    </row>
    <row r="8">
      <c r="A8" s="39" t="inlineStr">
        <is>
          <t>I006</t>
        </is>
      </c>
      <c r="B8" s="39" t="inlineStr">
        <is>
          <t>Elma Anna Lee</t>
        </is>
      </c>
      <c r="C8" s="39" t="n">
        <v>3</v>
      </c>
      <c r="D8" s="39" t="inlineStr">
        <is>
          <t>I013</t>
        </is>
      </c>
      <c r="E8" s="39" t="inlineStr">
        <is>
          <t>Elmer Ellsworth Lee</t>
        </is>
      </c>
      <c r="F8" s="39" t="inlineStr">
        <is>
          <t>I014</t>
        </is>
      </c>
      <c r="G8" s="39" t="inlineStr">
        <is>
          <t>Mary Wilhelmina Ohmer</t>
        </is>
      </c>
      <c r="H8" s="39" t="inlineStr">
        <is>
          <t>A - Confirmed</t>
        </is>
      </c>
      <c r="I8" s="39" t="inlineStr">
        <is>
          <t>S2, S3, S24</t>
        </is>
      </c>
    </row>
    <row r="9">
      <c r="A9" s="39" t="inlineStr">
        <is>
          <t>I008</t>
        </is>
      </c>
      <c r="B9" s="39" t="inlineStr">
        <is>
          <t>Eloise A. “Elvie/Elvia” Slaughter McCormick</t>
        </is>
      </c>
      <c r="C9" s="39" t="n">
        <v>3</v>
      </c>
      <c r="D9" s="39" t="inlineStr">
        <is>
          <t>I130</t>
        </is>
      </c>
      <c r="E9" s="39" t="inlineStr">
        <is>
          <t>Isaac Bush Slaughter Sr.</t>
        </is>
      </c>
      <c r="F9" s="39" t="inlineStr">
        <is>
          <t>I131</t>
        </is>
      </c>
      <c r="G9" s="39" t="inlineStr">
        <is>
          <t>Lula Arnelia Rives</t>
        </is>
      </c>
      <c r="H9" s="39" t="inlineStr">
        <is>
          <t>A - Confirmed</t>
        </is>
      </c>
      <c r="I9" s="39" t="inlineStr">
        <is>
          <t>S1, S8</t>
        </is>
      </c>
    </row>
    <row r="10">
      <c r="A10" s="39" t="inlineStr">
        <is>
          <t>I114</t>
        </is>
      </c>
      <c r="B10" s="39" t="inlineStr">
        <is>
          <t>Charles Ellsworth McCormick I</t>
        </is>
      </c>
      <c r="C10" s="39" t="n">
        <v>4</v>
      </c>
      <c r="D10" s="39" t="inlineStr">
        <is>
          <t>I116</t>
        </is>
      </c>
      <c r="E10" s="39" t="inlineStr">
        <is>
          <t>Edward H. McCormick</t>
        </is>
      </c>
      <c r="F10" s="39" t="inlineStr">
        <is>
          <t>I117</t>
        </is>
      </c>
      <c r="G10" s="39" t="inlineStr">
        <is>
          <t>Martha Ann “Annie” O’Brien</t>
        </is>
      </c>
      <c r="H10" s="39" t="inlineStr">
        <is>
          <t>A - Confirmed</t>
        </is>
      </c>
      <c r="I10" s="39" t="inlineStr">
        <is>
          <t>S3, S14, S22</t>
        </is>
      </c>
    </row>
    <row r="11">
      <c r="A11" s="39" t="inlineStr">
        <is>
          <t>I009</t>
        </is>
      </c>
      <c r="B11" s="39" t="inlineStr">
        <is>
          <t>Christian August Vollrath Muller</t>
        </is>
      </c>
      <c r="C11" s="39" t="n">
        <v>4</v>
      </c>
      <c r="D11" s="39" t="inlineStr">
        <is>
          <t>I017</t>
        </is>
      </c>
      <c r="E11" s="39" t="inlineStr">
        <is>
          <t>Lorenz Muller</t>
        </is>
      </c>
      <c r="F11" s="39" t="inlineStr">
        <is>
          <t>I018</t>
        </is>
      </c>
      <c r="G11" s="39" t="inlineStr">
        <is>
          <t>Pauline Vollrath</t>
        </is>
      </c>
      <c r="H11" s="39" t="inlineStr">
        <is>
          <t>C - Provisional</t>
        </is>
      </c>
      <c r="I11" s="39" t="inlineStr">
        <is>
          <t>S2</t>
        </is>
      </c>
    </row>
    <row r="12">
      <c r="A12" s="39" t="inlineStr">
        <is>
          <t>I013</t>
        </is>
      </c>
      <c r="B12" s="39" t="inlineStr">
        <is>
          <t>Elmer Ellsworth Lee</t>
        </is>
      </c>
      <c r="C12" s="39" t="n">
        <v>4</v>
      </c>
      <c r="D12" s="39" t="inlineStr">
        <is>
          <t>I022</t>
        </is>
      </c>
      <c r="E12" s="39" t="inlineStr">
        <is>
          <t>Hubbard Stone Lee</t>
        </is>
      </c>
      <c r="F12" s="39" t="inlineStr">
        <is>
          <t>I023</t>
        </is>
      </c>
      <c r="G12" s="39" t="inlineStr">
        <is>
          <t>Sarah M. Willitts</t>
        </is>
      </c>
      <c r="H12" s="39" t="inlineStr">
        <is>
          <t>B - Strong</t>
        </is>
      </c>
      <c r="I12" s="39" t="inlineStr">
        <is>
          <t>S2, S3, S6, S24</t>
        </is>
      </c>
    </row>
    <row r="13">
      <c r="A13" s="39" t="inlineStr">
        <is>
          <t>I010</t>
        </is>
      </c>
      <c r="B13" s="39" t="inlineStr">
        <is>
          <t>Henrietta Kleitz</t>
        </is>
      </c>
      <c r="C13" s="39" t="n">
        <v>4</v>
      </c>
      <c r="D13" s="39" t="inlineStr">
        <is>
          <t>I019</t>
        </is>
      </c>
      <c r="E13" s="39" t="inlineStr">
        <is>
          <t>Lambert Kleitz</t>
        </is>
      </c>
      <c r="F13" s="39" t="inlineStr">
        <is>
          <t>I020</t>
        </is>
      </c>
      <c r="G13" s="39" t="inlineStr">
        <is>
          <t>Elizabeth Wüst</t>
        </is>
      </c>
      <c r="H13" s="39" t="inlineStr">
        <is>
          <t>B - Strong</t>
        </is>
      </c>
      <c r="I13" s="39" t="inlineStr">
        <is>
          <t>S2, S21</t>
        </is>
      </c>
    </row>
    <row r="14">
      <c r="A14" s="39" t="inlineStr">
        <is>
          <t>I130</t>
        </is>
      </c>
      <c r="B14" s="39" t="inlineStr">
        <is>
          <t>Isaac Bush Slaughter Sr.</t>
        </is>
      </c>
      <c r="C14" s="39" t="n">
        <v>4</v>
      </c>
      <c r="D14" s="39" t="inlineStr">
        <is>
          <t>I133</t>
        </is>
      </c>
      <c r="E14" s="39" t="inlineStr">
        <is>
          <t>John Wesley Slaughter</t>
        </is>
      </c>
      <c r="F14" s="39" t="inlineStr">
        <is>
          <t>I134</t>
        </is>
      </c>
      <c r="G14" s="39" t="inlineStr">
        <is>
          <t>Sarah C. Bush</t>
        </is>
      </c>
      <c r="H14" s="39" t="inlineStr">
        <is>
          <t>A - Confirmed</t>
        </is>
      </c>
      <c r="I14" s="39" t="inlineStr">
        <is>
          <t>S4, S8, S23</t>
        </is>
      </c>
    </row>
    <row r="15">
      <c r="A15" s="39" t="inlineStr">
        <is>
          <t>I131</t>
        </is>
      </c>
      <c r="B15" s="39" t="inlineStr">
        <is>
          <t>Lula Arnelia Rives</t>
        </is>
      </c>
      <c r="C15" s="39" t="n">
        <v>4</v>
      </c>
      <c r="D15" s="39" t="inlineStr">
        <is>
          <t>I135</t>
        </is>
      </c>
      <c r="E15" s="39" t="inlineStr">
        <is>
          <t>Robert Calhoun Rives</t>
        </is>
      </c>
      <c r="F15" s="39" t="inlineStr">
        <is>
          <t>I136</t>
        </is>
      </c>
      <c r="G15" s="39" t="inlineStr">
        <is>
          <t>Florence Estelle Agee</t>
        </is>
      </c>
      <c r="H15" s="39" t="inlineStr">
        <is>
          <t>A - Confirmed</t>
        </is>
      </c>
      <c r="I15" s="39" t="inlineStr">
        <is>
          <t>S4, S8, S9</t>
        </is>
      </c>
    </row>
    <row r="16">
      <c r="A16" s="39" t="inlineStr">
        <is>
          <t>I115</t>
        </is>
      </c>
      <c r="B16" s="39" t="inlineStr">
        <is>
          <t>Mary Moore Brooks</t>
        </is>
      </c>
      <c r="C16" s="39" t="n">
        <v>4</v>
      </c>
      <c r="D16" s="39" t="inlineStr">
        <is>
          <t>I120</t>
        </is>
      </c>
      <c r="E16" s="39" t="inlineStr">
        <is>
          <t>Abram Field Brooks</t>
        </is>
      </c>
      <c r="F16" s="39" t="inlineStr">
        <is>
          <t>I121</t>
        </is>
      </c>
      <c r="G16" s="39" t="inlineStr">
        <is>
          <t>Mary P. “Mollie” Moore</t>
        </is>
      </c>
      <c r="H16" s="39" t="inlineStr">
        <is>
          <t>A - Confirmed</t>
        </is>
      </c>
      <c r="I16" s="39" t="inlineStr">
        <is>
          <t>S3, S17</t>
        </is>
      </c>
    </row>
    <row r="17">
      <c r="A17" s="39" t="inlineStr">
        <is>
          <t>I120</t>
        </is>
      </c>
      <c r="B17" s="39" t="inlineStr">
        <is>
          <t>Abram Field Brooks</t>
        </is>
      </c>
      <c r="C17" s="39" t="n">
        <v>5</v>
      </c>
      <c r="D17" s="39" t="inlineStr">
        <is>
          <t>I122</t>
        </is>
      </c>
      <c r="E17" s="39" t="inlineStr">
        <is>
          <t>Solomon Neal Brooks</t>
        </is>
      </c>
      <c r="F17" s="39" t="inlineStr">
        <is>
          <t>I123</t>
        </is>
      </c>
      <c r="G17" s="39" t="inlineStr">
        <is>
          <t>Elizabeth Field</t>
        </is>
      </c>
      <c r="H17" s="39" t="inlineStr">
        <is>
          <t>B - Strong</t>
        </is>
      </c>
      <c r="I17" s="39" t="inlineStr">
        <is>
          <t>S17</t>
        </is>
      </c>
    </row>
    <row r="18">
      <c r="A18" s="39" t="inlineStr">
        <is>
          <t>I116</t>
        </is>
      </c>
      <c r="B18" s="39" t="inlineStr">
        <is>
          <t>Edward H. McCormick</t>
        </is>
      </c>
      <c r="C18" s="39" t="n">
        <v>5</v>
      </c>
      <c r="D18" s="39" t="inlineStr">
        <is>
          <t>I118</t>
        </is>
      </c>
      <c r="E18" s="39" t="inlineStr">
        <is>
          <t>Charles McCormick</t>
        </is>
      </c>
      <c r="F18" s="39" t="inlineStr">
        <is>
          <t>I119</t>
        </is>
      </c>
      <c r="G18" s="39" t="inlineStr">
        <is>
          <t>Elizabeth (surname unknown) McCormick</t>
        </is>
      </c>
      <c r="H18" s="39" t="inlineStr">
        <is>
          <t>A - Confirmed</t>
        </is>
      </c>
      <c r="I18" s="39" t="inlineStr">
        <is>
          <t>S14, S15, S16</t>
        </is>
      </c>
    </row>
    <row r="19">
      <c r="A19" s="39" t="inlineStr">
        <is>
          <t>I020</t>
        </is>
      </c>
      <c r="B19" s="39" t="inlineStr">
        <is>
          <t>Elizabeth Wüst</t>
        </is>
      </c>
      <c r="C19" s="39" t="n">
        <v>5</v>
      </c>
      <c r="D19" s="39" t="inlineStr">
        <is>
          <t>I021</t>
        </is>
      </c>
      <c r="E19" s="39" t="inlineStr">
        <is>
          <t>Jacob Wüst</t>
        </is>
      </c>
      <c r="F19" s="39" t="str"/>
      <c r="G19" s="39" t="str"/>
      <c r="H19" s="39" t="inlineStr">
        <is>
          <t>B - Strong</t>
        </is>
      </c>
      <c r="I19" s="39" t="inlineStr">
        <is>
          <t>S2, S21</t>
        </is>
      </c>
    </row>
    <row r="20">
      <c r="A20" s="39" t="inlineStr">
        <is>
          <t>I136</t>
        </is>
      </c>
      <c r="B20" s="39" t="inlineStr">
        <is>
          <t>Florence Estelle Agee</t>
        </is>
      </c>
      <c r="C20" s="39" t="n">
        <v>5</v>
      </c>
      <c r="D20" s="39" t="inlineStr">
        <is>
          <t>I154</t>
        </is>
      </c>
      <c r="E20" s="39" t="inlineStr">
        <is>
          <t>William Raiford Agee</t>
        </is>
      </c>
      <c r="F20" s="39" t="inlineStr">
        <is>
          <t>I155</t>
        </is>
      </c>
      <c r="G20" s="39" t="inlineStr">
        <is>
          <t>Elvina Hill</t>
        </is>
      </c>
      <c r="H20" s="39" t="inlineStr">
        <is>
          <t>A - Confirmed</t>
        </is>
      </c>
      <c r="I20" s="39" t="inlineStr">
        <is>
          <t>S4, S8, S9</t>
        </is>
      </c>
    </row>
    <row r="21">
      <c r="A21" s="39" t="inlineStr">
        <is>
          <t>I022</t>
        </is>
      </c>
      <c r="B21" s="39" t="inlineStr">
        <is>
          <t>Hubbard Stone Lee</t>
        </is>
      </c>
      <c r="C21" s="39" t="n">
        <v>5</v>
      </c>
      <c r="D21" s="39" t="inlineStr">
        <is>
          <t>I024</t>
        </is>
      </c>
      <c r="E21" s="39" t="inlineStr">
        <is>
          <t>Elon Lee</t>
        </is>
      </c>
      <c r="F21" s="39" t="inlineStr">
        <is>
          <t>I025</t>
        </is>
      </c>
      <c r="G21" s="39" t="inlineStr">
        <is>
          <t>Grace Stone</t>
        </is>
      </c>
      <c r="H21" s="39" t="inlineStr">
        <is>
          <t>B - Strong</t>
        </is>
      </c>
      <c r="I21" s="39" t="inlineStr">
        <is>
          <t>S6, S7</t>
        </is>
      </c>
    </row>
    <row r="22">
      <c r="A22" s="39" t="inlineStr">
        <is>
          <t>I117</t>
        </is>
      </c>
      <c r="B22" s="39" t="inlineStr">
        <is>
          <t>Martha Ann “Annie” O’Brien</t>
        </is>
      </c>
      <c r="C22" s="39" t="n">
        <v>5</v>
      </c>
      <c r="D22" s="39" t="inlineStr">
        <is>
          <t>I124</t>
        </is>
      </c>
      <c r="E22" s="39" t="inlineStr">
        <is>
          <t>Christopher O’Brien</t>
        </is>
      </c>
      <c r="F22" s="39" t="inlineStr">
        <is>
          <t>I125</t>
        </is>
      </c>
      <c r="G22" s="39" t="inlineStr">
        <is>
          <t>Sophronia Simmons</t>
        </is>
      </c>
      <c r="H22" s="39" t="inlineStr">
        <is>
          <t>A - Confirmed</t>
        </is>
      </c>
      <c r="I22" s="39" t="inlineStr">
        <is>
          <t>S14, S16</t>
        </is>
      </c>
    </row>
    <row r="23">
      <c r="A23" s="39" t="inlineStr">
        <is>
          <t>I135</t>
        </is>
      </c>
      <c r="B23" s="39" t="inlineStr">
        <is>
          <t>Robert Calhoun Rives</t>
        </is>
      </c>
      <c r="C23" s="39" t="n">
        <v>5</v>
      </c>
      <c r="D23" s="39" t="inlineStr">
        <is>
          <t>I137</t>
        </is>
      </c>
      <c r="E23" s="39" t="inlineStr">
        <is>
          <t>Robert Rives</t>
        </is>
      </c>
      <c r="F23" s="39" t="inlineStr">
        <is>
          <t>I138</t>
        </is>
      </c>
      <c r="G23" s="39" t="inlineStr">
        <is>
          <t>Amelia Harrison</t>
        </is>
      </c>
      <c r="H23" s="39" t="inlineStr">
        <is>
          <t>A - Confirmed</t>
        </is>
      </c>
      <c r="I23" s="39" t="inlineStr">
        <is>
          <t>S4, S9</t>
        </is>
      </c>
    </row>
    <row r="24">
      <c r="A24" s="39" t="inlineStr">
        <is>
          <t>I138</t>
        </is>
      </c>
      <c r="B24" s="39" t="inlineStr">
        <is>
          <t>Amelia Harrison</t>
        </is>
      </c>
      <c r="C24" s="39" t="n">
        <v>6</v>
      </c>
      <c r="D24" s="39" t="inlineStr">
        <is>
          <t>I147</t>
        </is>
      </c>
      <c r="E24" s="39" t="inlineStr">
        <is>
          <t>William Harrison</t>
        </is>
      </c>
      <c r="F24" s="39" t="inlineStr">
        <is>
          <t>I148</t>
        </is>
      </c>
      <c r="G24" s="39" t="inlineStr">
        <is>
          <t>Ann Perry</t>
        </is>
      </c>
      <c r="H24" s="39" t="inlineStr">
        <is>
          <t>A - Confirmed</t>
        </is>
      </c>
      <c r="I24" s="39" t="inlineStr">
        <is>
          <t>S4, S20</t>
        </is>
      </c>
    </row>
    <row r="25">
      <c r="A25" s="39" t="inlineStr">
        <is>
          <t>I123</t>
        </is>
      </c>
      <c r="B25" s="39" t="inlineStr">
        <is>
          <t>Elizabeth Field</t>
        </is>
      </c>
      <c r="C25" s="39" t="n">
        <v>6</v>
      </c>
      <c r="D25" s="39" t="inlineStr">
        <is>
          <t>I128</t>
        </is>
      </c>
      <c r="E25" s="39" t="inlineStr">
        <is>
          <t>Abram Field</t>
        </is>
      </c>
      <c r="F25" s="39" t="inlineStr">
        <is>
          <t>I129</t>
        </is>
      </c>
      <c r="G25" s="39" t="inlineStr">
        <is>
          <t>Elizabeth Simmons (probable)</t>
        </is>
      </c>
      <c r="H25" s="39" t="inlineStr">
        <is>
          <t>B - Strong</t>
        </is>
      </c>
      <c r="I25" s="39" t="inlineStr">
        <is>
          <t>S17</t>
        </is>
      </c>
    </row>
    <row r="26">
      <c r="A26" s="39" t="inlineStr">
        <is>
          <t>I024</t>
        </is>
      </c>
      <c r="B26" s="39" t="inlineStr">
        <is>
          <t>Elon Lee</t>
        </is>
      </c>
      <c r="C26" s="39" t="n">
        <v>6</v>
      </c>
      <c r="D26" s="39" t="inlineStr">
        <is>
          <t>I026</t>
        </is>
      </c>
      <c r="E26" s="39" t="inlineStr">
        <is>
          <t>William Lee</t>
        </is>
      </c>
      <c r="F26" s="39" t="inlineStr">
        <is>
          <t>I027</t>
        </is>
      </c>
      <c r="G26" s="39" t="inlineStr">
        <is>
          <t>Eunice Hotchkiss</t>
        </is>
      </c>
      <c r="H26" s="39" t="inlineStr">
        <is>
          <t>B - Strong</t>
        </is>
      </c>
      <c r="I26" s="39" t="inlineStr">
        <is>
          <t>S7</t>
        </is>
      </c>
    </row>
    <row r="27">
      <c r="A27" s="39" t="inlineStr">
        <is>
          <t>I155</t>
        </is>
      </c>
      <c r="B27" s="39" t="inlineStr">
        <is>
          <t>Elvina Hill</t>
        </is>
      </c>
      <c r="C27" s="39" t="n">
        <v>6</v>
      </c>
      <c r="D27" s="39" t="inlineStr">
        <is>
          <t>I163</t>
        </is>
      </c>
      <c r="E27" s="39" t="inlineStr">
        <is>
          <t>William Hill</t>
        </is>
      </c>
      <c r="F27" s="39" t="str"/>
      <c r="G27" s="39" t="str"/>
      <c r="H27" s="39" t="inlineStr">
        <is>
          <t>B - Strong</t>
        </is>
      </c>
      <c r="I27" s="39" t="inlineStr">
        <is>
          <t>S8</t>
        </is>
      </c>
    </row>
    <row r="28">
      <c r="A28" s="39" t="inlineStr">
        <is>
          <t>I025</t>
        </is>
      </c>
      <c r="B28" s="39" t="inlineStr">
        <is>
          <t>Grace Stone</t>
        </is>
      </c>
      <c r="C28" s="39" t="n">
        <v>6</v>
      </c>
      <c r="D28" s="39" t="inlineStr">
        <is>
          <t>I028</t>
        </is>
      </c>
      <c r="E28" s="39" t="inlineStr">
        <is>
          <t>John Evarts Stone</t>
        </is>
      </c>
      <c r="F28" s="39" t="inlineStr">
        <is>
          <t>I029</t>
        </is>
      </c>
      <c r="G28" s="39" t="inlineStr">
        <is>
          <t>Eunice Goldsmith</t>
        </is>
      </c>
      <c r="H28" s="39" t="inlineStr">
        <is>
          <t>B - Strong</t>
        </is>
      </c>
      <c r="I28" s="39" t="inlineStr">
        <is>
          <t>S7</t>
        </is>
      </c>
    </row>
    <row r="29">
      <c r="A29" s="39" t="inlineStr">
        <is>
          <t>I137</t>
        </is>
      </c>
      <c r="B29" s="39" t="inlineStr">
        <is>
          <t>Robert Rives</t>
        </is>
      </c>
      <c r="C29" s="39" t="n">
        <v>6</v>
      </c>
      <c r="D29" s="39" t="inlineStr">
        <is>
          <t>I139</t>
        </is>
      </c>
      <c r="E29" s="39" t="inlineStr">
        <is>
          <t>Green Rives</t>
        </is>
      </c>
      <c r="F29" s="39" t="inlineStr">
        <is>
          <t>I140</t>
        </is>
      </c>
      <c r="G29" s="39" t="inlineStr">
        <is>
          <t>Mary Ridley Jones</t>
        </is>
      </c>
      <c r="H29" s="39" t="inlineStr">
        <is>
          <t>A - Confirmed</t>
        </is>
      </c>
      <c r="I29" s="39" t="inlineStr">
        <is>
          <t>S4, S9, S10</t>
        </is>
      </c>
    </row>
    <row r="30">
      <c r="A30" s="39" t="inlineStr">
        <is>
          <t>I122</t>
        </is>
      </c>
      <c r="B30" s="39" t="inlineStr">
        <is>
          <t>Solomon Neal Brooks</t>
        </is>
      </c>
      <c r="C30" s="39" t="n">
        <v>6</v>
      </c>
      <c r="D30" s="39" t="inlineStr">
        <is>
          <t>I126</t>
        </is>
      </c>
      <c r="E30" s="39" t="inlineStr">
        <is>
          <t>Joseph Anderson Brooks</t>
        </is>
      </c>
      <c r="F30" s="39" t="str"/>
      <c r="G30" s="39" t="str"/>
      <c r="H30" s="39" t="inlineStr">
        <is>
          <t>B - Strong</t>
        </is>
      </c>
      <c r="I30" s="39" t="inlineStr">
        <is>
          <t>S17, S18</t>
        </is>
      </c>
    </row>
    <row r="31">
      <c r="A31" s="39" t="inlineStr">
        <is>
          <t>I154</t>
        </is>
      </c>
      <c r="B31" s="39" t="inlineStr">
        <is>
          <t>William Raiford Agee</t>
        </is>
      </c>
      <c r="C31" s="39" t="n">
        <v>6</v>
      </c>
      <c r="D31" s="39" t="inlineStr">
        <is>
          <t>I161</t>
        </is>
      </c>
      <c r="E31" s="39" t="inlineStr">
        <is>
          <t>Noah Agee</t>
        </is>
      </c>
      <c r="F31" s="39" t="inlineStr">
        <is>
          <t>I162</t>
        </is>
      </c>
      <c r="G31" s="39" t="inlineStr">
        <is>
          <t>Martha Mask</t>
        </is>
      </c>
      <c r="H31" s="39" t="inlineStr">
        <is>
          <t>B - Strong</t>
        </is>
      </c>
      <c r="I31" s="39" t="inlineStr">
        <is>
          <t>S8</t>
        </is>
      </c>
    </row>
    <row r="32">
      <c r="A32" s="39" t="inlineStr">
        <is>
          <t>I148</t>
        </is>
      </c>
      <c r="B32" s="39" t="inlineStr">
        <is>
          <t>Ann Perry</t>
        </is>
      </c>
      <c r="C32" s="39" t="n">
        <v>7</v>
      </c>
      <c r="D32" s="39" t="inlineStr">
        <is>
          <t>I160</t>
        </is>
      </c>
      <c r="E32" s="39" t="inlineStr">
        <is>
          <t>James Perry</t>
        </is>
      </c>
      <c r="F32" s="39" t="str"/>
      <c r="G32" s="39" t="str"/>
      <c r="H32" s="39" t="inlineStr">
        <is>
          <t>A - Confirmed</t>
        </is>
      </c>
      <c r="I32" s="39" t="inlineStr">
        <is>
          <t>S20</t>
        </is>
      </c>
    </row>
    <row r="33">
      <c r="A33" s="39" t="inlineStr">
        <is>
          <t>I027</t>
        </is>
      </c>
      <c r="B33" s="39" t="inlineStr">
        <is>
          <t>Eunice Hotchkiss</t>
        </is>
      </c>
      <c r="C33" s="39" t="n">
        <v>7</v>
      </c>
      <c r="D33" s="39" t="inlineStr">
        <is>
          <t>I032</t>
        </is>
      </c>
      <c r="E33" s="39" t="inlineStr">
        <is>
          <t>Mark Hotchkiss</t>
        </is>
      </c>
      <c r="F33" s="39" t="inlineStr">
        <is>
          <t>I033</t>
        </is>
      </c>
      <c r="G33" s="39" t="inlineStr">
        <is>
          <t>Miriam Lee</t>
        </is>
      </c>
      <c r="H33" s="39" t="inlineStr">
        <is>
          <t>B - Strong</t>
        </is>
      </c>
      <c r="I33" s="39" t="inlineStr">
        <is>
          <t>S7</t>
        </is>
      </c>
    </row>
    <row r="34">
      <c r="A34" s="39" t="inlineStr">
        <is>
          <t>I139</t>
        </is>
      </c>
      <c r="B34" s="39" t="inlineStr">
        <is>
          <t>Green Rives</t>
        </is>
      </c>
      <c r="C34" s="39" t="n">
        <v>7</v>
      </c>
      <c r="D34" s="39" t="inlineStr">
        <is>
          <t>I141</t>
        </is>
      </c>
      <c r="E34" s="39" t="inlineStr">
        <is>
          <t>William Rives</t>
        </is>
      </c>
      <c r="F34" s="39" t="inlineStr">
        <is>
          <t>I142</t>
        </is>
      </c>
      <c r="G34" s="39" t="inlineStr">
        <is>
          <t>Lucy Wyche</t>
        </is>
      </c>
      <c r="H34" s="39" t="inlineStr">
        <is>
          <t>A - Confirmed</t>
        </is>
      </c>
      <c r="I34" s="39" t="inlineStr">
        <is>
          <t>S4, S10</t>
        </is>
      </c>
    </row>
    <row r="35">
      <c r="A35" s="39" t="inlineStr">
        <is>
          <t>I028</t>
        </is>
      </c>
      <c r="B35" s="39" t="inlineStr">
        <is>
          <t>John Evarts Stone</t>
        </is>
      </c>
      <c r="C35" s="39" t="n">
        <v>7</v>
      </c>
      <c r="D35" s="39" t="inlineStr">
        <is>
          <t>I034</t>
        </is>
      </c>
      <c r="E35" s="39" t="inlineStr">
        <is>
          <t>Asher Stone</t>
        </is>
      </c>
      <c r="F35" s="39" t="inlineStr">
        <is>
          <t>I035</t>
        </is>
      </c>
      <c r="G35" s="39" t="inlineStr">
        <is>
          <t>Carine Ward</t>
        </is>
      </c>
      <c r="H35" s="39" t="inlineStr">
        <is>
          <t>B - Strong</t>
        </is>
      </c>
      <c r="I35" s="39" t="inlineStr">
        <is>
          <t>S7</t>
        </is>
      </c>
    </row>
    <row r="36">
      <c r="A36" s="39" t="inlineStr">
        <is>
          <t>I126</t>
        </is>
      </c>
      <c r="B36" s="39" t="inlineStr">
        <is>
          <t>Joseph Anderson Brooks</t>
        </is>
      </c>
      <c r="C36" s="39" t="n">
        <v>7</v>
      </c>
      <c r="D36" s="39" t="inlineStr">
        <is>
          <t>I127</t>
        </is>
      </c>
      <c r="E36" s="39" t="inlineStr">
        <is>
          <t>Joseph Brooks (Bullitt County pioneer)</t>
        </is>
      </c>
      <c r="F36" s="39" t="inlineStr">
        <is>
          <t>I132</t>
        </is>
      </c>
      <c r="G36" s="39" t="inlineStr">
        <is>
          <t>Nancy (surname unknown) Brooks</t>
        </is>
      </c>
      <c r="H36" s="39" t="inlineStr">
        <is>
          <t>B - Strong</t>
        </is>
      </c>
      <c r="I36" s="39" t="inlineStr">
        <is>
          <t>S18, S19</t>
        </is>
      </c>
    </row>
    <row r="37">
      <c r="A37" s="39" t="inlineStr">
        <is>
          <t>I140</t>
        </is>
      </c>
      <c r="B37" s="39" t="inlineStr">
        <is>
          <t>Mary Ridley Jones</t>
        </is>
      </c>
      <c r="C37" s="39" t="n">
        <v>7</v>
      </c>
      <c r="D37" s="39" t="inlineStr">
        <is>
          <t>I145</t>
        </is>
      </c>
      <c r="E37" s="39" t="inlineStr">
        <is>
          <t>Darling Jones</t>
        </is>
      </c>
      <c r="F37" s="39" t="inlineStr">
        <is>
          <t>I146</t>
        </is>
      </c>
      <c r="G37" s="39" t="inlineStr">
        <is>
          <t>Susannah (surname unknown) Jones</t>
        </is>
      </c>
      <c r="H37" s="39" t="inlineStr">
        <is>
          <t>B - Strong</t>
        </is>
      </c>
      <c r="I37" s="39" t="inlineStr">
        <is>
          <t>S4, S10</t>
        </is>
      </c>
    </row>
    <row r="38">
      <c r="A38" s="39" t="inlineStr">
        <is>
          <t>I161</t>
        </is>
      </c>
      <c r="B38" s="39" t="inlineStr">
        <is>
          <t>Noah Agee</t>
        </is>
      </c>
      <c r="C38" s="39" t="n">
        <v>7</v>
      </c>
      <c r="D38" s="39" t="inlineStr">
        <is>
          <t>I164</t>
        </is>
      </c>
      <c r="E38" s="39" t="inlineStr">
        <is>
          <t>James Agee</t>
        </is>
      </c>
      <c r="F38" s="39" t="inlineStr">
        <is>
          <t>I165</t>
        </is>
      </c>
      <c r="G38" s="39" t="inlineStr">
        <is>
          <t>Mary (possibly Elizabeth) Ford</t>
        </is>
      </c>
      <c r="H38" s="39" t="inlineStr">
        <is>
          <t>B - Strong</t>
        </is>
      </c>
      <c r="I38" s="39" t="inlineStr">
        <is>
          <t>S8</t>
        </is>
      </c>
    </row>
    <row r="39">
      <c r="A39" s="39" t="inlineStr">
        <is>
          <t>I147</t>
        </is>
      </c>
      <c r="B39" s="39" t="inlineStr">
        <is>
          <t>William Harrison</t>
        </is>
      </c>
      <c r="C39" s="39" t="n">
        <v>7</v>
      </c>
      <c r="D39" s="39" t="inlineStr">
        <is>
          <t>I158</t>
        </is>
      </c>
      <c r="E39" s="39" t="inlineStr">
        <is>
          <t>Reuben Harrison</t>
        </is>
      </c>
      <c r="F39" s="39" t="inlineStr">
        <is>
          <t>I159</t>
        </is>
      </c>
      <c r="G39" s="39" t="inlineStr">
        <is>
          <t>Nancy (possibly Kirkland) Harrison</t>
        </is>
      </c>
      <c r="H39" s="39" t="inlineStr">
        <is>
          <t>B - Strong</t>
        </is>
      </c>
      <c r="I39" s="39" t="inlineStr">
        <is>
          <t>S20</t>
        </is>
      </c>
    </row>
    <row r="40">
      <c r="A40" s="39" t="inlineStr">
        <is>
          <t>I026</t>
        </is>
      </c>
      <c r="B40" s="39" t="inlineStr">
        <is>
          <t>William Lee</t>
        </is>
      </c>
      <c r="C40" s="39" t="n">
        <v>7</v>
      </c>
      <c r="D40" s="39" t="inlineStr">
        <is>
          <t>I030</t>
        </is>
      </c>
      <c r="E40" s="39" t="inlineStr">
        <is>
          <t>Ebenezer Lee</t>
        </is>
      </c>
      <c r="F40" s="39" t="inlineStr">
        <is>
          <t>I031</t>
        </is>
      </c>
      <c r="G40" s="39" t="inlineStr">
        <is>
          <t>Sarah Chidsey</t>
        </is>
      </c>
      <c r="H40" s="39" t="inlineStr">
        <is>
          <t>B - Strong</t>
        </is>
      </c>
      <c r="I40" s="39" t="inlineStr">
        <is>
          <t>S7</t>
        </is>
      </c>
    </row>
    <row r="41">
      <c r="A41" s="39" t="inlineStr">
        <is>
          <t>I034</t>
        </is>
      </c>
      <c r="B41" s="39" t="inlineStr">
        <is>
          <t>Asher Stone</t>
        </is>
      </c>
      <c r="C41" s="39" t="n">
        <v>8</v>
      </c>
      <c r="D41" s="39" t="inlineStr">
        <is>
          <t>I041</t>
        </is>
      </c>
      <c r="E41" s="39" t="inlineStr">
        <is>
          <t>Caleb Stone Jr.</t>
        </is>
      </c>
      <c r="F41" s="39" t="inlineStr">
        <is>
          <t>I042</t>
        </is>
      </c>
      <c r="G41" s="39" t="inlineStr">
        <is>
          <t>Rebecca Evarts</t>
        </is>
      </c>
      <c r="H41" s="39" t="inlineStr">
        <is>
          <t>B - Strong</t>
        </is>
      </c>
      <c r="I41" s="39" t="inlineStr">
        <is>
          <t>S7</t>
        </is>
      </c>
    </row>
    <row r="42">
      <c r="A42" s="39" t="inlineStr">
        <is>
          <t>I035</t>
        </is>
      </c>
      <c r="B42" s="39" t="inlineStr">
        <is>
          <t>Carine Ward</t>
        </is>
      </c>
      <c r="C42" s="39" t="n">
        <v>8</v>
      </c>
      <c r="D42" s="39" t="inlineStr">
        <is>
          <t>I043</t>
        </is>
      </c>
      <c r="E42" s="39" t="inlineStr">
        <is>
          <t>William Ward</t>
        </is>
      </c>
      <c r="F42" s="39" t="inlineStr">
        <is>
          <t>I044</t>
        </is>
      </c>
      <c r="G42" s="39" t="inlineStr">
        <is>
          <t>Abigail Crampton</t>
        </is>
      </c>
      <c r="H42" s="39" t="inlineStr">
        <is>
          <t>B - Strong</t>
        </is>
      </c>
      <c r="I42" s="39" t="inlineStr">
        <is>
          <t>S7</t>
        </is>
      </c>
    </row>
    <row r="43">
      <c r="A43" s="39" t="inlineStr">
        <is>
          <t>I030</t>
        </is>
      </c>
      <c r="B43" s="39" t="inlineStr">
        <is>
          <t>Ebenezer Lee</t>
        </is>
      </c>
      <c r="C43" s="39" t="n">
        <v>8</v>
      </c>
      <c r="D43" s="39" t="inlineStr">
        <is>
          <t>I036</t>
        </is>
      </c>
      <c r="E43" s="39" t="inlineStr">
        <is>
          <t>Edward Lee</t>
        </is>
      </c>
      <c r="F43" s="39" t="inlineStr">
        <is>
          <t>I037</t>
        </is>
      </c>
      <c r="G43" s="39" t="inlineStr">
        <is>
          <t>Abigail Stevens</t>
        </is>
      </c>
      <c r="H43" s="39" t="inlineStr">
        <is>
          <t>B - Strong</t>
        </is>
      </c>
      <c r="I43" s="39" t="inlineStr">
        <is>
          <t>S7</t>
        </is>
      </c>
    </row>
    <row r="44">
      <c r="A44" s="39" t="inlineStr">
        <is>
          <t>I164</t>
        </is>
      </c>
      <c r="B44" s="39" t="inlineStr">
        <is>
          <t>James Agee</t>
        </is>
      </c>
      <c r="C44" s="39" t="n">
        <v>8</v>
      </c>
      <c r="D44" s="39" t="inlineStr">
        <is>
          <t>I166</t>
        </is>
      </c>
      <c r="E44" s="39" t="inlineStr">
        <is>
          <t>Mathieu Agee</t>
        </is>
      </c>
      <c r="F44" s="39" t="inlineStr">
        <is>
          <t>I167</t>
        </is>
      </c>
      <c r="G44" s="39" t="inlineStr">
        <is>
          <t>Ann Godwin (or Goodwin)</t>
        </is>
      </c>
      <c r="H44" s="39" t="inlineStr">
        <is>
          <t>B - Strong</t>
        </is>
      </c>
      <c r="I44" s="39" t="inlineStr">
        <is>
          <t>S8</t>
        </is>
      </c>
    </row>
    <row r="45">
      <c r="A45" s="39" t="inlineStr">
        <is>
          <t>I142</t>
        </is>
      </c>
      <c r="B45" s="39" t="inlineStr">
        <is>
          <t>Lucy Wyche</t>
        </is>
      </c>
      <c r="C45" s="39" t="n">
        <v>8</v>
      </c>
      <c r="D45" s="39" t="inlineStr">
        <is>
          <t>I152</t>
        </is>
      </c>
      <c r="E45" s="39" t="inlineStr">
        <is>
          <t>Peter Wyche</t>
        </is>
      </c>
      <c r="F45" s="39" t="inlineStr">
        <is>
          <t>I153</t>
        </is>
      </c>
      <c r="G45" s="39" t="inlineStr">
        <is>
          <t>Alice (surname unknown) Wyche</t>
        </is>
      </c>
      <c r="H45" s="39" t="inlineStr">
        <is>
          <t>B - Strong</t>
        </is>
      </c>
      <c r="I45" s="39" t="inlineStr">
        <is>
          <t>S4, S10, S11</t>
        </is>
      </c>
    </row>
    <row r="46">
      <c r="A46" s="39" t="inlineStr">
        <is>
          <t>I032</t>
        </is>
      </c>
      <c r="B46" s="39" t="inlineStr">
        <is>
          <t>Mark Hotchkiss</t>
        </is>
      </c>
      <c r="C46" s="39" t="n">
        <v>8</v>
      </c>
      <c r="D46" s="39" t="inlineStr">
        <is>
          <t>I039</t>
        </is>
      </c>
      <c r="E46" s="39" t="inlineStr">
        <is>
          <t>Joseph Hotchkiss</t>
        </is>
      </c>
      <c r="F46" s="39" t="inlineStr">
        <is>
          <t>I040</t>
        </is>
      </c>
      <c r="G46" s="39" t="inlineStr">
        <is>
          <t>Hannah Cruttenden</t>
        </is>
      </c>
      <c r="H46" s="39" t="inlineStr">
        <is>
          <t>B - Strong</t>
        </is>
      </c>
      <c r="I46" s="39" t="inlineStr">
        <is>
          <t>S7</t>
        </is>
      </c>
    </row>
    <row r="47">
      <c r="A47" s="39" t="inlineStr">
        <is>
          <t>I165</t>
        </is>
      </c>
      <c r="B47" s="39" t="inlineStr">
        <is>
          <t>Mary (possibly Elizabeth) Ford</t>
        </is>
      </c>
      <c r="C47" s="39" t="n">
        <v>8</v>
      </c>
      <c r="D47" s="39" t="inlineStr">
        <is>
          <t>I168</t>
        </is>
      </c>
      <c r="E47" s="39" t="inlineStr">
        <is>
          <t>James Ford</t>
        </is>
      </c>
      <c r="F47" s="39" t="inlineStr">
        <is>
          <t>I169</t>
        </is>
      </c>
      <c r="G47" s="39" t="inlineStr">
        <is>
          <t>Ann Bondurant</t>
        </is>
      </c>
      <c r="H47" s="39" t="inlineStr">
        <is>
          <t>B - Strong</t>
        </is>
      </c>
      <c r="I47" s="39" t="inlineStr">
        <is>
          <t>S8</t>
        </is>
      </c>
    </row>
    <row r="48">
      <c r="A48" s="39" t="inlineStr">
        <is>
          <t>I031</t>
        </is>
      </c>
      <c r="B48" s="39" t="inlineStr">
        <is>
          <t>Sarah Chidsey</t>
        </is>
      </c>
      <c r="C48" s="39" t="n">
        <v>8</v>
      </c>
      <c r="D48" s="39" t="inlineStr">
        <is>
          <t>I038</t>
        </is>
      </c>
      <c r="E48" s="39" t="inlineStr">
        <is>
          <t>Joseph Chidsey</t>
        </is>
      </c>
      <c r="F48" s="39" t="str"/>
      <c r="G48" s="39" t="str"/>
      <c r="H48" s="39" t="inlineStr">
        <is>
          <t>B - Strong</t>
        </is>
      </c>
      <c r="I48" s="39" t="inlineStr">
        <is>
          <t>S7</t>
        </is>
      </c>
    </row>
    <row r="49">
      <c r="A49" s="39" t="inlineStr">
        <is>
          <t>I141</t>
        </is>
      </c>
      <c r="B49" s="39" t="inlineStr">
        <is>
          <t>William Rives</t>
        </is>
      </c>
      <c r="C49" s="39" t="n">
        <v>8</v>
      </c>
      <c r="D49" s="39" t="inlineStr">
        <is>
          <t>I143</t>
        </is>
      </c>
      <c r="E49" s="39" t="inlineStr">
        <is>
          <t>Timothy Rives</t>
        </is>
      </c>
      <c r="F49" s="39" t="inlineStr">
        <is>
          <t>I144</t>
        </is>
      </c>
      <c r="G49" s="39" t="inlineStr">
        <is>
          <t>Hester (possibly Turner) Rives</t>
        </is>
      </c>
      <c r="H49" s="39" t="inlineStr">
        <is>
          <t>B - Strong</t>
        </is>
      </c>
      <c r="I49" s="39" t="inlineStr">
        <is>
          <t>S4, S10, S11</t>
        </is>
      </c>
    </row>
    <row r="50">
      <c r="A50" s="39" t="inlineStr">
        <is>
          <t>I044</t>
        </is>
      </c>
      <c r="B50" s="39" t="inlineStr">
        <is>
          <t>Abigail Crampton</t>
        </is>
      </c>
      <c r="C50" s="39" t="n">
        <v>9</v>
      </c>
      <c r="D50" s="39" t="inlineStr">
        <is>
          <t>I055</t>
        </is>
      </c>
      <c r="E50" s="39" t="inlineStr">
        <is>
          <t>John Crampton</t>
        </is>
      </c>
      <c r="F50" s="39" t="inlineStr">
        <is>
          <t>I056</t>
        </is>
      </c>
      <c r="G50" s="39" t="inlineStr">
        <is>
          <t>Hannah Evarts</t>
        </is>
      </c>
      <c r="H50" s="39" t="inlineStr">
        <is>
          <t>B - Strong</t>
        </is>
      </c>
      <c r="I50" s="39" t="inlineStr">
        <is>
          <t>S7</t>
        </is>
      </c>
    </row>
    <row r="51">
      <c r="A51" s="39" t="inlineStr">
        <is>
          <t>I037</t>
        </is>
      </c>
      <c r="B51" s="39" t="inlineStr">
        <is>
          <t>Abigail Stevens</t>
        </is>
      </c>
      <c r="C51" s="39" t="n">
        <v>9</v>
      </c>
      <c r="D51" s="39" t="inlineStr">
        <is>
          <t>I045</t>
        </is>
      </c>
      <c r="E51" s="39" t="inlineStr">
        <is>
          <t>Thomas Stevens</t>
        </is>
      </c>
      <c r="F51" s="39" t="str"/>
      <c r="G51" s="39" t="str"/>
      <c r="H51" s="39" t="inlineStr">
        <is>
          <t>B - Strong</t>
        </is>
      </c>
      <c r="I51" s="39" t="inlineStr">
        <is>
          <t>S7</t>
        </is>
      </c>
    </row>
    <row r="52">
      <c r="A52" s="39" t="inlineStr">
        <is>
          <t>I169</t>
        </is>
      </c>
      <c r="B52" s="39" t="inlineStr">
        <is>
          <t>Ann Bondurant</t>
        </is>
      </c>
      <c r="C52" s="39" t="n">
        <v>9</v>
      </c>
      <c r="D52" s="39" t="inlineStr">
        <is>
          <t>I174</t>
        </is>
      </c>
      <c r="E52" s="39" t="inlineStr">
        <is>
          <t>Jean Pierre “John Peter” Bondurant</t>
        </is>
      </c>
      <c r="F52" s="39" t="str"/>
      <c r="G52" s="39" t="str"/>
      <c r="H52" s="39" t="inlineStr">
        <is>
          <t>B - Strong</t>
        </is>
      </c>
      <c r="I52" s="39" t="inlineStr">
        <is>
          <t>S8</t>
        </is>
      </c>
    </row>
    <row r="53">
      <c r="A53" s="39" t="inlineStr">
        <is>
          <t>I167</t>
        </is>
      </c>
      <c r="B53" s="39" t="inlineStr">
        <is>
          <t>Ann Godwin (or Goodwin)</t>
        </is>
      </c>
      <c r="C53" s="39" t="n">
        <v>9</v>
      </c>
      <c r="D53" s="39" t="inlineStr">
        <is>
          <t>I170</t>
        </is>
      </c>
      <c r="E53" s="39" t="inlineStr">
        <is>
          <t>Isaac Godwin</t>
        </is>
      </c>
      <c r="F53" s="39" t="inlineStr">
        <is>
          <t>I171</t>
        </is>
      </c>
      <c r="G53" s="39" t="inlineStr">
        <is>
          <t>Ann (surname unknown) Godwin</t>
        </is>
      </c>
      <c r="H53" s="39" t="inlineStr">
        <is>
          <t>C - Provisional</t>
        </is>
      </c>
      <c r="I53" s="39" t="inlineStr">
        <is>
          <t>S8</t>
        </is>
      </c>
    </row>
    <row r="54">
      <c r="A54" s="39" t="inlineStr">
        <is>
          <t>I041</t>
        </is>
      </c>
      <c r="B54" s="39" t="inlineStr">
        <is>
          <t>Caleb Stone Jr.</t>
        </is>
      </c>
      <c r="C54" s="39" t="n">
        <v>9</v>
      </c>
      <c r="D54" s="39" t="inlineStr">
        <is>
          <t>I050</t>
        </is>
      </c>
      <c r="E54" s="39" t="inlineStr">
        <is>
          <t>Caleb Stone</t>
        </is>
      </c>
      <c r="F54" s="39" t="inlineStr">
        <is>
          <t>I051</t>
        </is>
      </c>
      <c r="G54" s="39" t="inlineStr">
        <is>
          <t>Sarah Meigs</t>
        </is>
      </c>
      <c r="H54" s="39" t="inlineStr">
        <is>
          <t>B - Strong</t>
        </is>
      </c>
      <c r="I54" s="39" t="inlineStr">
        <is>
          <t>S7</t>
        </is>
      </c>
    </row>
    <row r="55">
      <c r="A55" s="39" t="inlineStr">
        <is>
          <t>I040</t>
        </is>
      </c>
      <c r="B55" s="39" t="inlineStr">
        <is>
          <t>Hannah Cruttenden</t>
        </is>
      </c>
      <c r="C55" s="39" t="n">
        <v>9</v>
      </c>
      <c r="D55" s="39" t="inlineStr">
        <is>
          <t>I048</t>
        </is>
      </c>
      <c r="E55" s="39" t="inlineStr">
        <is>
          <t>Isaac Cruttenden</t>
        </is>
      </c>
      <c r="F55" s="39" t="inlineStr">
        <is>
          <t>I049</t>
        </is>
      </c>
      <c r="G55" s="39" t="inlineStr">
        <is>
          <t>Lydia Thompson</t>
        </is>
      </c>
      <c r="H55" s="39" t="inlineStr">
        <is>
          <t>B - Strong</t>
        </is>
      </c>
      <c r="I55" s="39" t="inlineStr">
        <is>
          <t>S7</t>
        </is>
      </c>
    </row>
    <row r="56">
      <c r="A56" s="39" t="inlineStr">
        <is>
          <t>I039</t>
        </is>
      </c>
      <c r="B56" s="39" t="inlineStr">
        <is>
          <t>Joseph Hotchkiss</t>
        </is>
      </c>
      <c r="C56" s="39" t="n">
        <v>9</v>
      </c>
      <c r="D56" s="39" t="inlineStr">
        <is>
          <t>I046</t>
        </is>
      </c>
      <c r="E56" s="39" t="inlineStr">
        <is>
          <t>John Hotchkiss</t>
        </is>
      </c>
      <c r="F56" s="39" t="inlineStr">
        <is>
          <t>I047</t>
        </is>
      </c>
      <c r="G56" s="39" t="inlineStr">
        <is>
          <t>Elizabeth Peck</t>
        </is>
      </c>
      <c r="H56" s="39" t="inlineStr">
        <is>
          <t>B - Strong</t>
        </is>
      </c>
      <c r="I56" s="39" t="inlineStr">
        <is>
          <t>S7</t>
        </is>
      </c>
    </row>
    <row r="57">
      <c r="A57" s="39" t="inlineStr">
        <is>
          <t>I166</t>
        </is>
      </c>
      <c r="B57" s="39" t="inlineStr">
        <is>
          <t>Mathieu Agee</t>
        </is>
      </c>
      <c r="C57" s="39" t="n">
        <v>9</v>
      </c>
      <c r="D57" s="39" t="inlineStr">
        <is>
          <t>I172</t>
        </is>
      </c>
      <c r="E57" s="39" t="inlineStr">
        <is>
          <t>Anthony Agee (traditional)</t>
        </is>
      </c>
      <c r="F57" s="39" t="inlineStr">
        <is>
          <t>I173</t>
        </is>
      </c>
      <c r="G57" s="39" t="inlineStr">
        <is>
          <t>Judith Chastain (traditional)</t>
        </is>
      </c>
      <c r="H57" s="39" t="inlineStr">
        <is>
          <t>C - Provisional</t>
        </is>
      </c>
      <c r="I57" s="39" t="inlineStr">
        <is>
          <t>S8</t>
        </is>
      </c>
    </row>
    <row r="58">
      <c r="A58" s="39" t="inlineStr">
        <is>
          <t>I042</t>
        </is>
      </c>
      <c r="B58" s="39" t="inlineStr">
        <is>
          <t>Rebecca Evarts</t>
        </is>
      </c>
      <c r="C58" s="39" t="n">
        <v>9</v>
      </c>
      <c r="D58" s="39" t="inlineStr">
        <is>
          <t>I052</t>
        </is>
      </c>
      <c r="E58" s="39" t="inlineStr">
        <is>
          <t>James Evarts</t>
        </is>
      </c>
      <c r="F58" s="39" t="str"/>
      <c r="G58" s="39" t="str"/>
      <c r="H58" s="39" t="inlineStr">
        <is>
          <t>B - Strong</t>
        </is>
      </c>
      <c r="I58" s="39" t="inlineStr">
        <is>
          <t>S7</t>
        </is>
      </c>
    </row>
    <row r="59">
      <c r="A59" s="39" t="inlineStr">
        <is>
          <t>I143</t>
        </is>
      </c>
      <c r="B59" s="39" t="inlineStr">
        <is>
          <t>Timothy Rives</t>
        </is>
      </c>
      <c r="C59" s="39" t="n">
        <v>9</v>
      </c>
      <c r="D59" s="39" t="inlineStr">
        <is>
          <t>I149</t>
        </is>
      </c>
      <c r="E59" s="39" t="inlineStr">
        <is>
          <t>Col. William Rives</t>
        </is>
      </c>
      <c r="F59" s="39" t="inlineStr">
        <is>
          <t>I150</t>
        </is>
      </c>
      <c r="G59" s="39" t="inlineStr">
        <is>
          <t>Elizabeth (possibly Foster) Rives</t>
        </is>
      </c>
      <c r="H59" s="39" t="inlineStr">
        <is>
          <t>B - Strong</t>
        </is>
      </c>
      <c r="I59" s="39" t="inlineStr">
        <is>
          <t>S4, S11, S12</t>
        </is>
      </c>
    </row>
    <row r="60">
      <c r="A60" s="39" t="inlineStr">
        <is>
          <t>I043</t>
        </is>
      </c>
      <c r="B60" s="39" t="inlineStr">
        <is>
          <t>William Ward</t>
        </is>
      </c>
      <c r="C60" s="39" t="n">
        <v>9</v>
      </c>
      <c r="D60" s="39" t="inlineStr">
        <is>
          <t>I053</t>
        </is>
      </c>
      <c r="E60" s="39" t="inlineStr">
        <is>
          <t>William Ward</t>
        </is>
      </c>
      <c r="F60" s="39" t="inlineStr">
        <is>
          <t>I054</t>
        </is>
      </c>
      <c r="G60" s="39" t="inlineStr">
        <is>
          <t>Lettice Beach</t>
        </is>
      </c>
      <c r="H60" s="39" t="inlineStr">
        <is>
          <t>B - Strong</t>
        </is>
      </c>
      <c r="I60" s="39" t="inlineStr">
        <is>
          <t>S7</t>
        </is>
      </c>
    </row>
    <row r="61">
      <c r="A61" s="39" t="inlineStr">
        <is>
          <t>I050</t>
        </is>
      </c>
      <c r="B61" s="39" t="inlineStr">
        <is>
          <t>Caleb Stone</t>
        </is>
      </c>
      <c r="C61" s="39" t="n">
        <v>10</v>
      </c>
      <c r="D61" s="39" t="inlineStr">
        <is>
          <t>I063</t>
        </is>
      </c>
      <c r="E61" s="39" t="inlineStr">
        <is>
          <t>Nathaniel Stone</t>
        </is>
      </c>
      <c r="F61" s="39" t="inlineStr">
        <is>
          <t>I064</t>
        </is>
      </c>
      <c r="G61" s="39" t="inlineStr">
        <is>
          <t>Mary Bartlett</t>
        </is>
      </c>
      <c r="H61" s="39" t="inlineStr">
        <is>
          <t>B - Strong</t>
        </is>
      </c>
      <c r="I61" s="39" t="inlineStr">
        <is>
          <t>S7</t>
        </is>
      </c>
    </row>
    <row r="62">
      <c r="A62" s="39" t="inlineStr">
        <is>
          <t>I149</t>
        </is>
      </c>
      <c r="B62" s="39" t="inlineStr">
        <is>
          <t>Col. William Rives</t>
        </is>
      </c>
      <c r="C62" s="39" t="n">
        <v>10</v>
      </c>
      <c r="D62" s="39" t="inlineStr">
        <is>
          <t>I151</t>
        </is>
      </c>
      <c r="E62" s="39" t="inlineStr">
        <is>
          <t>George Rives</t>
        </is>
      </c>
      <c r="F62" s="39" t="str"/>
      <c r="G62" s="39" t="str"/>
      <c r="H62" s="39" t="inlineStr">
        <is>
          <t>C - Provisional</t>
        </is>
      </c>
      <c r="I62" s="39" t="inlineStr">
        <is>
          <t>S4, S12</t>
        </is>
      </c>
    </row>
    <row r="63">
      <c r="A63" s="39" t="inlineStr">
        <is>
          <t>I048</t>
        </is>
      </c>
      <c r="B63" s="39" t="inlineStr">
        <is>
          <t>Isaac Cruttenden</t>
        </is>
      </c>
      <c r="C63" s="39" t="n">
        <v>10</v>
      </c>
      <c r="D63" s="39" t="inlineStr">
        <is>
          <t>I059</t>
        </is>
      </c>
      <c r="E63" s="39" t="inlineStr">
        <is>
          <t>Abraham Cruttenden</t>
        </is>
      </c>
      <c r="F63" s="39" t="inlineStr">
        <is>
          <t>I060</t>
        </is>
      </c>
      <c r="G63" s="39" t="inlineStr">
        <is>
          <t>Mary (surname unknown), wife of Abraham Cruttenden</t>
        </is>
      </c>
      <c r="H63" s="39" t="inlineStr">
        <is>
          <t>B - Strong</t>
        </is>
      </c>
      <c r="I63" s="39" t="inlineStr">
        <is>
          <t>S7</t>
        </is>
      </c>
    </row>
    <row r="64">
      <c r="A64" s="39" t="inlineStr">
        <is>
          <t>I052</t>
        </is>
      </c>
      <c r="B64" s="39" t="inlineStr">
        <is>
          <t>James Evarts</t>
        </is>
      </c>
      <c r="C64" s="39" t="n">
        <v>10</v>
      </c>
      <c r="D64" s="39" t="inlineStr">
        <is>
          <t>I067</t>
        </is>
      </c>
      <c r="E64" s="39" t="inlineStr">
        <is>
          <t>Daniel Evarts</t>
        </is>
      </c>
      <c r="F64" s="39" t="inlineStr">
        <is>
          <t>I068</t>
        </is>
      </c>
      <c r="G64" s="39" t="inlineStr">
        <is>
          <t>Rebecca Dowd</t>
        </is>
      </c>
      <c r="H64" s="39" t="inlineStr">
        <is>
          <t>B - Strong</t>
        </is>
      </c>
      <c r="I64" s="39" t="inlineStr">
        <is>
          <t>S7</t>
        </is>
      </c>
    </row>
    <row r="65">
      <c r="A65" s="39" t="inlineStr">
        <is>
          <t>I046</t>
        </is>
      </c>
      <c r="B65" s="39" t="inlineStr">
        <is>
          <t>John Hotchkiss</t>
        </is>
      </c>
      <c r="C65" s="39" t="n">
        <v>10</v>
      </c>
      <c r="D65" s="39" t="inlineStr">
        <is>
          <t>I057</t>
        </is>
      </c>
      <c r="E65" s="39" t="inlineStr">
        <is>
          <t>Samuel Hotchkiss</t>
        </is>
      </c>
      <c r="F65" s="39" t="inlineStr">
        <is>
          <t>I058</t>
        </is>
      </c>
      <c r="G65" s="39" t="inlineStr">
        <is>
          <t>Elizabeth Cleverly</t>
        </is>
      </c>
      <c r="H65" s="39" t="inlineStr">
        <is>
          <t>B - Strong</t>
        </is>
      </c>
      <c r="I65" s="39" t="inlineStr">
        <is>
          <t>S7</t>
        </is>
      </c>
    </row>
    <row r="66">
      <c r="A66" s="39" t="inlineStr">
        <is>
          <t>I054</t>
        </is>
      </c>
      <c r="B66" s="39" t="inlineStr">
        <is>
          <t>Lettice Beach</t>
        </is>
      </c>
      <c r="C66" s="39" t="n">
        <v>10</v>
      </c>
      <c r="D66" s="39" t="inlineStr">
        <is>
          <t>I071</t>
        </is>
      </c>
      <c r="E66" s="39" t="inlineStr">
        <is>
          <t>John Beach</t>
        </is>
      </c>
      <c r="F66" s="39" t="inlineStr">
        <is>
          <t>I072</t>
        </is>
      </c>
      <c r="G66" s="39" t="inlineStr">
        <is>
          <t>Mary Royce</t>
        </is>
      </c>
      <c r="H66" s="39" t="inlineStr">
        <is>
          <t>B - Strong</t>
        </is>
      </c>
      <c r="I66" s="39" t="inlineStr">
        <is>
          <t>S7</t>
        </is>
      </c>
    </row>
    <row r="67">
      <c r="A67" s="39" t="inlineStr">
        <is>
          <t>I049</t>
        </is>
      </c>
      <c r="B67" s="39" t="inlineStr">
        <is>
          <t>Lydia Thompson</t>
        </is>
      </c>
      <c r="C67" s="39" t="n">
        <v>10</v>
      </c>
      <c r="D67" s="39" t="inlineStr">
        <is>
          <t>I061</t>
        </is>
      </c>
      <c r="E67" s="39" t="inlineStr">
        <is>
          <t>Anthony Thompson</t>
        </is>
      </c>
      <c r="F67" s="39" t="inlineStr">
        <is>
          <t>I062</t>
        </is>
      </c>
      <c r="G67" s="39" t="inlineStr">
        <is>
          <t>Katherine (surname unknown), wife of Anthony Thompson</t>
        </is>
      </c>
      <c r="H67" s="39" t="inlineStr">
        <is>
          <t>B - Strong</t>
        </is>
      </c>
      <c r="I67" s="39" t="inlineStr">
        <is>
          <t>S7</t>
        </is>
      </c>
    </row>
    <row r="68">
      <c r="A68" s="39" t="inlineStr">
        <is>
          <t>I051</t>
        </is>
      </c>
      <c r="B68" s="39" t="inlineStr">
        <is>
          <t>Sarah Meigs</t>
        </is>
      </c>
      <c r="C68" s="39" t="n">
        <v>10</v>
      </c>
      <c r="D68" s="39" t="inlineStr">
        <is>
          <t>I065</t>
        </is>
      </c>
      <c r="E68" s="39" t="inlineStr">
        <is>
          <t>John Meigs</t>
        </is>
      </c>
      <c r="F68" s="39" t="inlineStr">
        <is>
          <t>I066</t>
        </is>
      </c>
      <c r="G68" s="39" t="inlineStr">
        <is>
          <t>Sarah Wilcockson</t>
        </is>
      </c>
      <c r="H68" s="39" t="inlineStr">
        <is>
          <t>B - Strong</t>
        </is>
      </c>
      <c r="I68" s="39" t="inlineStr">
        <is>
          <t>S7</t>
        </is>
      </c>
    </row>
    <row r="69">
      <c r="A69" s="39" t="inlineStr">
        <is>
          <t>I053</t>
        </is>
      </c>
      <c r="B69" s="39" t="inlineStr">
        <is>
          <t>William Ward</t>
        </is>
      </c>
      <c r="C69" s="39" t="n">
        <v>10</v>
      </c>
      <c r="D69" s="39" t="inlineStr">
        <is>
          <t>I069</t>
        </is>
      </c>
      <c r="E69" s="39" t="inlineStr">
        <is>
          <t>Andrew Ward Jr.</t>
        </is>
      </c>
      <c r="F69" s="39" t="inlineStr">
        <is>
          <t>I070</t>
        </is>
      </c>
      <c r="G69" s="39" t="inlineStr">
        <is>
          <t>Trial Meigs</t>
        </is>
      </c>
      <c r="H69" s="39" t="inlineStr">
        <is>
          <t>B - Strong</t>
        </is>
      </c>
      <c r="I69" s="39" t="inlineStr">
        <is>
          <t>S7</t>
        </is>
      </c>
    </row>
    <row r="70">
      <c r="A70" s="39" t="inlineStr">
        <is>
          <t>I069</t>
        </is>
      </c>
      <c r="B70" s="39" t="inlineStr">
        <is>
          <t>Andrew Ward Jr.</t>
        </is>
      </c>
      <c r="C70" s="39" t="n">
        <v>11</v>
      </c>
      <c r="D70" s="39" t="inlineStr">
        <is>
          <t>I082</t>
        </is>
      </c>
      <c r="E70" s="39" t="inlineStr">
        <is>
          <t>Andrew Ward</t>
        </is>
      </c>
      <c r="F70" s="39" t="inlineStr">
        <is>
          <t>I083</t>
        </is>
      </c>
      <c r="G70" s="39" t="inlineStr">
        <is>
          <t>Hester Sherman</t>
        </is>
      </c>
      <c r="H70" s="39" t="inlineStr">
        <is>
          <t>B - Strong</t>
        </is>
      </c>
      <c r="I70" s="39" t="inlineStr">
        <is>
          <t>S7</t>
        </is>
      </c>
    </row>
    <row r="71">
      <c r="A71" s="39" t="inlineStr">
        <is>
          <t>I067</t>
        </is>
      </c>
      <c r="B71" s="39" t="inlineStr">
        <is>
          <t>Daniel Evarts</t>
        </is>
      </c>
      <c r="C71" s="39" t="n">
        <v>11</v>
      </c>
      <c r="D71" s="39" t="inlineStr">
        <is>
          <t>I079</t>
        </is>
      </c>
      <c r="E71" s="39" t="inlineStr">
        <is>
          <t>John Evarts</t>
        </is>
      </c>
      <c r="F71" s="39" t="inlineStr">
        <is>
          <t>I080</t>
        </is>
      </c>
      <c r="G71" s="39" t="inlineStr">
        <is>
          <t>Elizabeth (surname unknown), wife of John Evarts</t>
        </is>
      </c>
      <c r="H71" s="39" t="inlineStr">
        <is>
          <t>B - Strong</t>
        </is>
      </c>
      <c r="I71" s="39" t="inlineStr">
        <is>
          <t>S7</t>
        </is>
      </c>
    </row>
    <row r="72">
      <c r="A72" s="39" t="inlineStr">
        <is>
          <t>I151</t>
        </is>
      </c>
      <c r="B72" s="39" t="inlineStr">
        <is>
          <t>George Rives</t>
        </is>
      </c>
      <c r="C72" s="39" t="n">
        <v>11</v>
      </c>
      <c r="D72" s="39" t="inlineStr">
        <is>
          <t>I157</t>
        </is>
      </c>
      <c r="E72" s="39" t="inlineStr">
        <is>
          <t>William Rives (traditional immigrant ancestor)</t>
        </is>
      </c>
      <c r="F72" s="39" t="str"/>
      <c r="G72" s="39" t="str"/>
      <c r="H72" s="39" t="inlineStr">
        <is>
          <t>D - Traditional / disputed</t>
        </is>
      </c>
      <c r="I72" s="39" t="inlineStr">
        <is>
          <t>S4, S13</t>
        </is>
      </c>
    </row>
    <row r="73">
      <c r="A73" s="39" t="inlineStr">
        <is>
          <t>I071</t>
        </is>
      </c>
      <c r="B73" s="39" t="inlineStr">
        <is>
          <t>John Beach</t>
        </is>
      </c>
      <c r="C73" s="39" t="n">
        <v>11</v>
      </c>
      <c r="D73" s="39" t="inlineStr">
        <is>
          <t>I084</t>
        </is>
      </c>
      <c r="E73" s="39" t="inlineStr">
        <is>
          <t>Thomas Beach</t>
        </is>
      </c>
      <c r="F73" s="39" t="inlineStr">
        <is>
          <t>I085</t>
        </is>
      </c>
      <c r="G73" s="39" t="inlineStr">
        <is>
          <t>Sarah Platt</t>
        </is>
      </c>
      <c r="H73" s="39" t="inlineStr">
        <is>
          <t>B - Strong</t>
        </is>
      </c>
      <c r="I73" s="39" t="inlineStr">
        <is>
          <t>S7</t>
        </is>
      </c>
    </row>
    <row r="74">
      <c r="A74" s="39" t="inlineStr">
        <is>
          <t>I065</t>
        </is>
      </c>
      <c r="B74" s="39" t="inlineStr">
        <is>
          <t>John Meigs</t>
        </is>
      </c>
      <c r="C74" s="39" t="n">
        <v>11</v>
      </c>
      <c r="D74" s="39" t="inlineStr">
        <is>
          <t>I075</t>
        </is>
      </c>
      <c r="E74" s="39" t="inlineStr">
        <is>
          <t>Vincent Meigs</t>
        </is>
      </c>
      <c r="F74" s="39" t="inlineStr">
        <is>
          <t>I076</t>
        </is>
      </c>
      <c r="G74" s="39" t="inlineStr">
        <is>
          <t>Tamasin Fry</t>
        </is>
      </c>
      <c r="H74" s="39" t="inlineStr">
        <is>
          <t>B - Strong</t>
        </is>
      </c>
      <c r="I74" s="39" t="inlineStr">
        <is>
          <t>S7</t>
        </is>
      </c>
    </row>
    <row r="75">
      <c r="A75" s="39" t="inlineStr">
        <is>
          <t>I072</t>
        </is>
      </c>
      <c r="B75" s="39" t="inlineStr">
        <is>
          <t>Mary Royce</t>
        </is>
      </c>
      <c r="C75" s="39" t="n">
        <v>11</v>
      </c>
      <c r="D75" s="39" t="inlineStr">
        <is>
          <t>I086</t>
        </is>
      </c>
      <c r="E75" s="39" t="inlineStr">
        <is>
          <t>Jonathan Royce</t>
        </is>
      </c>
      <c r="F75" s="39" t="inlineStr">
        <is>
          <t>I087</t>
        </is>
      </c>
      <c r="G75" s="39" t="inlineStr">
        <is>
          <t>Ann Spinning</t>
        </is>
      </c>
      <c r="H75" s="39" t="inlineStr">
        <is>
          <t>B - Strong</t>
        </is>
      </c>
      <c r="I75" s="39" t="inlineStr">
        <is>
          <t>S7</t>
        </is>
      </c>
    </row>
    <row r="76">
      <c r="A76" s="39" t="inlineStr">
        <is>
          <t>I063</t>
        </is>
      </c>
      <c r="B76" s="39" t="inlineStr">
        <is>
          <t>Nathaniel Stone</t>
        </is>
      </c>
      <c r="C76" s="39" t="n">
        <v>11</v>
      </c>
      <c r="D76" s="39" t="inlineStr">
        <is>
          <t>I073</t>
        </is>
      </c>
      <c r="E76" s="39" t="inlineStr">
        <is>
          <t>John Stone</t>
        </is>
      </c>
      <c r="F76" s="39" t="inlineStr">
        <is>
          <t>I074</t>
        </is>
      </c>
      <c r="G76" s="39" t="inlineStr">
        <is>
          <t>Mary (surname unknown), wife of John Stone</t>
        </is>
      </c>
      <c r="H76" s="39" t="inlineStr">
        <is>
          <t>B - Strong</t>
        </is>
      </c>
      <c r="I76" s="39" t="inlineStr">
        <is>
          <t>S7</t>
        </is>
      </c>
    </row>
    <row r="77">
      <c r="A77" s="39" t="inlineStr">
        <is>
          <t>I068</t>
        </is>
      </c>
      <c r="B77" s="39" t="inlineStr">
        <is>
          <t>Rebecca Dowd</t>
        </is>
      </c>
      <c r="C77" s="39" t="n">
        <v>11</v>
      </c>
      <c r="D77" s="39" t="inlineStr">
        <is>
          <t>I081</t>
        </is>
      </c>
      <c r="E77" s="39" t="inlineStr">
        <is>
          <t>Henry Dowd</t>
        </is>
      </c>
      <c r="F77" s="39" t="str"/>
      <c r="G77" s="39" t="str"/>
      <c r="H77" s="39" t="inlineStr">
        <is>
          <t>B - Strong</t>
        </is>
      </c>
      <c r="I77" s="39" t="inlineStr">
        <is>
          <t>S7</t>
        </is>
      </c>
    </row>
    <row r="78">
      <c r="A78" s="39" t="inlineStr">
        <is>
          <t>I066</t>
        </is>
      </c>
      <c r="B78" s="39" t="inlineStr">
        <is>
          <t>Sarah Wilcockson</t>
        </is>
      </c>
      <c r="C78" s="39" t="n">
        <v>11</v>
      </c>
      <c r="D78" s="39" t="inlineStr">
        <is>
          <t>I077</t>
        </is>
      </c>
      <c r="E78" s="39" t="inlineStr">
        <is>
          <t>William Wilcockson</t>
        </is>
      </c>
      <c r="F78" s="39" t="inlineStr">
        <is>
          <t>I078</t>
        </is>
      </c>
      <c r="G78" s="39" t="inlineStr">
        <is>
          <t>Margaret Harvey</t>
        </is>
      </c>
      <c r="H78" s="39" t="inlineStr">
        <is>
          <t>B - Strong</t>
        </is>
      </c>
      <c r="I78" s="39" t="inlineStr">
        <is>
          <t>S7</t>
        </is>
      </c>
    </row>
    <row r="79">
      <c r="A79" s="39" t="inlineStr">
        <is>
          <t>I070</t>
        </is>
      </c>
      <c r="B79" s="39" t="inlineStr">
        <is>
          <t>Trial Meigs</t>
        </is>
      </c>
      <c r="C79" s="39" t="n">
        <v>11</v>
      </c>
      <c r="D79" s="39" t="inlineStr">
        <is>
          <t>I065</t>
        </is>
      </c>
      <c r="E79" s="39" t="inlineStr">
        <is>
          <t>John Meigs</t>
        </is>
      </c>
      <c r="F79" s="39" t="inlineStr">
        <is>
          <t>I076</t>
        </is>
      </c>
      <c r="G79" s="39" t="inlineStr">
        <is>
          <t>Tamasin Fry</t>
        </is>
      </c>
      <c r="H79" s="39" t="inlineStr">
        <is>
          <t>B - Strong</t>
        </is>
      </c>
      <c r="I79" s="39" t="inlineStr">
        <is>
          <t>S7</t>
        </is>
      </c>
    </row>
    <row r="80">
      <c r="A80" s="39" t="inlineStr">
        <is>
          <t>I087</t>
        </is>
      </c>
      <c r="B80" s="39" t="inlineStr">
        <is>
          <t>Ann Spinning</t>
        </is>
      </c>
      <c r="C80" s="39" t="n">
        <v>12</v>
      </c>
      <c r="D80" s="39" t="inlineStr">
        <is>
          <t>I096</t>
        </is>
      </c>
      <c r="E80" s="39" t="inlineStr">
        <is>
          <t>Humphrey Spinning</t>
        </is>
      </c>
      <c r="F80" s="39" t="str"/>
      <c r="G80" s="39" t="str"/>
      <c r="H80" s="39" t="inlineStr">
        <is>
          <t>B - Strong</t>
        </is>
      </c>
      <c r="I80" s="39" t="inlineStr">
        <is>
          <t>S7</t>
        </is>
      </c>
    </row>
    <row r="81">
      <c r="A81" s="39" t="inlineStr">
        <is>
          <t>I083</t>
        </is>
      </c>
      <c r="B81" s="39" t="inlineStr">
        <is>
          <t>Hester Sherman</t>
        </is>
      </c>
      <c r="C81" s="39" t="n">
        <v>12</v>
      </c>
      <c r="D81" s="39" t="inlineStr">
        <is>
          <t>I089</t>
        </is>
      </c>
      <c r="E81" s="39" t="inlineStr">
        <is>
          <t>Edmund Sherman</t>
        </is>
      </c>
      <c r="F81" s="39" t="inlineStr">
        <is>
          <t>I090</t>
        </is>
      </c>
      <c r="G81" s="39" t="inlineStr">
        <is>
          <t>Grace Makin</t>
        </is>
      </c>
      <c r="H81" s="39" t="inlineStr">
        <is>
          <t>B - Strong</t>
        </is>
      </c>
      <c r="I81" s="39" t="inlineStr">
        <is>
          <t>S7</t>
        </is>
      </c>
    </row>
    <row r="82">
      <c r="A82" s="39" t="inlineStr">
        <is>
          <t>I086</t>
        </is>
      </c>
      <c r="B82" s="39" t="inlineStr">
        <is>
          <t>Jonathan Royce</t>
        </is>
      </c>
      <c r="C82" s="39" t="n">
        <v>12</v>
      </c>
      <c r="D82" s="39" t="inlineStr">
        <is>
          <t>I094</t>
        </is>
      </c>
      <c r="E82" s="39" t="inlineStr">
        <is>
          <t>Robert Royce</t>
        </is>
      </c>
      <c r="F82" s="39" t="inlineStr">
        <is>
          <t>I095</t>
        </is>
      </c>
      <c r="G82" s="39" t="inlineStr">
        <is>
          <t>Mary (surname unknown), wife of Robert Royce</t>
        </is>
      </c>
      <c r="H82" s="39" t="inlineStr">
        <is>
          <t>B - Strong</t>
        </is>
      </c>
      <c r="I82" s="39" t="inlineStr">
        <is>
          <t>S7</t>
        </is>
      </c>
    </row>
    <row r="83">
      <c r="A83" s="39" t="inlineStr">
        <is>
          <t>I078</t>
        </is>
      </c>
      <c r="B83" s="39" t="inlineStr">
        <is>
          <t>Margaret Harvey</t>
        </is>
      </c>
      <c r="C83" s="39" t="n">
        <v>12</v>
      </c>
      <c r="D83" s="39" t="inlineStr">
        <is>
          <t>I088</t>
        </is>
      </c>
      <c r="E83" s="39" t="inlineStr">
        <is>
          <t>James Harvey</t>
        </is>
      </c>
      <c r="F83" s="39" t="str"/>
      <c r="G83" s="39" t="str"/>
      <c r="H83" s="39" t="inlineStr">
        <is>
          <t>B - Strong</t>
        </is>
      </c>
      <c r="I83" s="39" t="inlineStr">
        <is>
          <t>S7</t>
        </is>
      </c>
    </row>
    <row r="84">
      <c r="A84" s="39" t="inlineStr">
        <is>
          <t>I085</t>
        </is>
      </c>
      <c r="B84" s="39" t="inlineStr">
        <is>
          <t>Sarah Platt</t>
        </is>
      </c>
      <c r="C84" s="39" t="n">
        <v>12</v>
      </c>
      <c r="D84" s="39" t="inlineStr">
        <is>
          <t>I092</t>
        </is>
      </c>
      <c r="E84" s="39" t="inlineStr">
        <is>
          <t>Richard Platt</t>
        </is>
      </c>
      <c r="F84" s="39" t="inlineStr">
        <is>
          <t>I093</t>
        </is>
      </c>
      <c r="G84" s="39" t="inlineStr">
        <is>
          <t>Mary Wood</t>
        </is>
      </c>
      <c r="H84" s="39" t="inlineStr">
        <is>
          <t>B - Strong</t>
        </is>
      </c>
      <c r="I84" s="39" t="inlineStr">
        <is>
          <t>S7</t>
        </is>
      </c>
    </row>
    <row r="85">
      <c r="A85" s="39" t="inlineStr">
        <is>
          <t>I084</t>
        </is>
      </c>
      <c r="B85" s="39" t="inlineStr">
        <is>
          <t>Thomas Beach</t>
        </is>
      </c>
      <c r="C85" s="39" t="n">
        <v>12</v>
      </c>
      <c r="D85" s="39" t="inlineStr">
        <is>
          <t>I091</t>
        </is>
      </c>
      <c r="E85" s="39" t="inlineStr">
        <is>
          <t>Unknown Beach (father of Thomas Beach)</t>
        </is>
      </c>
      <c r="F85" s="39" t="str"/>
      <c r="G85" s="39" t="str"/>
      <c r="H85" s="39" t="inlineStr">
        <is>
          <t>B - Strong</t>
        </is>
      </c>
      <c r="I85" s="39" t="inlineStr">
        <is>
          <t>S7</t>
        </is>
      </c>
    </row>
    <row r="86">
      <c r="A86" s="39" t="inlineStr">
        <is>
          <t>I089</t>
        </is>
      </c>
      <c r="B86" s="39" t="inlineStr">
        <is>
          <t>Edmund Sherman</t>
        </is>
      </c>
      <c r="C86" s="39" t="n">
        <v>13</v>
      </c>
      <c r="D86" s="39" t="inlineStr">
        <is>
          <t>I097</t>
        </is>
      </c>
      <c r="E86" s="39" t="inlineStr">
        <is>
          <t>Edmund Sherman</t>
        </is>
      </c>
      <c r="F86" s="39" t="inlineStr">
        <is>
          <t>I098</t>
        </is>
      </c>
      <c r="G86" s="39" t="inlineStr">
        <is>
          <t>Anne Pellett</t>
        </is>
      </c>
      <c r="H86" s="39" t="inlineStr">
        <is>
          <t>C - Provisional</t>
        </is>
      </c>
      <c r="I86" s="39" t="inlineStr">
        <is>
          <t>S7</t>
        </is>
      </c>
    </row>
    <row r="87">
      <c r="A87" s="39" t="inlineStr">
        <is>
          <t>I090</t>
        </is>
      </c>
      <c r="B87" s="39" t="inlineStr">
        <is>
          <t>Grace Makin</t>
        </is>
      </c>
      <c r="C87" s="39" t="n">
        <v>13</v>
      </c>
      <c r="D87" s="39" t="inlineStr">
        <is>
          <t>I099</t>
        </is>
      </c>
      <c r="E87" s="39" t="inlineStr">
        <is>
          <t>Tobias Makin</t>
        </is>
      </c>
      <c r="F87" s="39" t="inlineStr">
        <is>
          <t>I100</t>
        </is>
      </c>
      <c r="G87" s="39" t="inlineStr">
        <is>
          <t>Katherine Westbrome</t>
        </is>
      </c>
      <c r="H87" s="39" t="inlineStr">
        <is>
          <t>C - Provisional</t>
        </is>
      </c>
      <c r="I87" s="39" t="inlineStr">
        <is>
          <t>S7</t>
        </is>
      </c>
    </row>
    <row r="88">
      <c r="A88" s="39" t="inlineStr">
        <is>
          <t>I093</t>
        </is>
      </c>
      <c r="B88" s="39" t="inlineStr">
        <is>
          <t>Mary Wood</t>
        </is>
      </c>
      <c r="C88" s="39" t="n">
        <v>13</v>
      </c>
      <c r="D88" s="39" t="inlineStr">
        <is>
          <t>I103</t>
        </is>
      </c>
      <c r="E88" s="39" t="inlineStr">
        <is>
          <t>John Wood</t>
        </is>
      </c>
      <c r="F88" s="39" t="inlineStr">
        <is>
          <t>I104</t>
        </is>
      </c>
      <c r="G88" s="39" t="inlineStr">
        <is>
          <t>Jane (surname unknown), wife of John Wood</t>
        </is>
      </c>
      <c r="H88" s="39" t="inlineStr">
        <is>
          <t>B - Strong</t>
        </is>
      </c>
      <c r="I88" s="39" t="inlineStr">
        <is>
          <t>S7</t>
        </is>
      </c>
    </row>
    <row r="89">
      <c r="A89" s="39" t="inlineStr">
        <is>
          <t>I092</t>
        </is>
      </c>
      <c r="B89" s="39" t="inlineStr">
        <is>
          <t>Richard Platt</t>
        </is>
      </c>
      <c r="C89" s="39" t="n">
        <v>13</v>
      </c>
      <c r="D89" s="39" t="inlineStr">
        <is>
          <t>I101</t>
        </is>
      </c>
      <c r="E89" s="39" t="inlineStr">
        <is>
          <t>George Platt</t>
        </is>
      </c>
      <c r="F89" s="39" t="inlineStr">
        <is>
          <t>I102</t>
        </is>
      </c>
      <c r="G89" s="39" t="inlineStr">
        <is>
          <t>Mary (surname unknown), wife of George Platt</t>
        </is>
      </c>
      <c r="H89" s="39" t="inlineStr">
        <is>
          <t>B - Strong</t>
        </is>
      </c>
      <c r="I89" s="39" t="inlineStr">
        <is>
          <t>S7</t>
        </is>
      </c>
    </row>
    <row r="90">
      <c r="A90" s="39" t="inlineStr">
        <is>
          <t>I098</t>
        </is>
      </c>
      <c r="B90" s="39" t="inlineStr">
        <is>
          <t>Anne Pellett</t>
        </is>
      </c>
      <c r="C90" s="39" t="n">
        <v>14</v>
      </c>
      <c r="D90" s="39" t="inlineStr">
        <is>
          <t>I107</t>
        </is>
      </c>
      <c r="E90" s="39" t="inlineStr">
        <is>
          <t>William Pellett</t>
        </is>
      </c>
      <c r="F90" s="39" t="str"/>
      <c r="G90" s="39" t="str"/>
      <c r="H90" s="39" t="inlineStr">
        <is>
          <t>C - Provisional</t>
        </is>
      </c>
      <c r="I90" s="39" t="inlineStr">
        <is>
          <t>S7</t>
        </is>
      </c>
    </row>
    <row r="91">
      <c r="A91" s="39" t="inlineStr">
        <is>
          <t>I097</t>
        </is>
      </c>
      <c r="B91" s="39" t="inlineStr">
        <is>
          <t>Edmund Sherman</t>
        </is>
      </c>
      <c r="C91" s="39" t="n">
        <v>14</v>
      </c>
      <c r="D91" s="39" t="inlineStr">
        <is>
          <t>I105</t>
        </is>
      </c>
      <c r="E91" s="39" t="inlineStr">
        <is>
          <t>Henry Sherman</t>
        </is>
      </c>
      <c r="F91" s="39" t="inlineStr">
        <is>
          <t>I106</t>
        </is>
      </c>
      <c r="G91" s="39" t="inlineStr">
        <is>
          <t>Agnes (surname unknown), wife of Henry Sherman</t>
        </is>
      </c>
      <c r="H91" s="39" t="inlineStr">
        <is>
          <t>C - Provisional</t>
        </is>
      </c>
      <c r="I91" s="39" t="inlineStr">
        <is>
          <t>S7</t>
        </is>
      </c>
    </row>
    <row r="92">
      <c r="A92" s="39" t="inlineStr">
        <is>
          <t>I101</t>
        </is>
      </c>
      <c r="B92" s="39" t="inlineStr">
        <is>
          <t>George Platt</t>
        </is>
      </c>
      <c r="C92" s="39" t="n">
        <v>14</v>
      </c>
      <c r="D92" s="39" t="inlineStr">
        <is>
          <t>I112</t>
        </is>
      </c>
      <c r="E92" s="39" t="inlineStr">
        <is>
          <t>Simon Platt</t>
        </is>
      </c>
      <c r="F92" s="39" t="inlineStr">
        <is>
          <t>I113</t>
        </is>
      </c>
      <c r="G92" s="39" t="inlineStr">
        <is>
          <t>Elizabeth (surname unknown), wife of Simon Platt</t>
        </is>
      </c>
      <c r="H92" s="39" t="inlineStr">
        <is>
          <t>C - Provisional</t>
        </is>
      </c>
      <c r="I92" s="39" t="inlineStr">
        <is>
          <t>S7</t>
        </is>
      </c>
    </row>
    <row r="93">
      <c r="A93" s="39" t="inlineStr">
        <is>
          <t>I100</t>
        </is>
      </c>
      <c r="B93" s="39" t="inlineStr">
        <is>
          <t>Katherine Westbrome</t>
        </is>
      </c>
      <c r="C93" s="39" t="n">
        <v>14</v>
      </c>
      <c r="D93" s="39" t="inlineStr">
        <is>
          <t>I110</t>
        </is>
      </c>
      <c r="E93" s="39" t="inlineStr">
        <is>
          <t>Thomas Westbrome</t>
        </is>
      </c>
      <c r="F93" s="39" t="inlineStr">
        <is>
          <t>I111</t>
        </is>
      </c>
      <c r="G93" s="39" t="inlineStr">
        <is>
          <t>Elizabeth (surname unknown), wife of Thomas Westbrome</t>
        </is>
      </c>
      <c r="H93" s="39" t="inlineStr">
        <is>
          <t>C - Provisional</t>
        </is>
      </c>
      <c r="I93" s="39" t="inlineStr">
        <is>
          <t>S7</t>
        </is>
      </c>
    </row>
    <row r="94">
      <c r="A94" s="39" t="inlineStr">
        <is>
          <t>I099</t>
        </is>
      </c>
      <c r="B94" s="39" t="inlineStr">
        <is>
          <t>Tobias Makin</t>
        </is>
      </c>
      <c r="C94" s="39" t="n">
        <v>14</v>
      </c>
      <c r="D94" s="39" t="inlineStr">
        <is>
          <t>I108</t>
        </is>
      </c>
      <c r="E94" s="39" t="inlineStr">
        <is>
          <t>John Makin</t>
        </is>
      </c>
      <c r="F94" s="39" t="inlineStr">
        <is>
          <t>I109</t>
        </is>
      </c>
      <c r="G94" s="39" t="inlineStr">
        <is>
          <t>Agnes (surname unknown), wife of John Makin</t>
        </is>
      </c>
      <c r="H94" s="39" t="inlineStr">
        <is>
          <t>C - Provisional</t>
        </is>
      </c>
      <c r="I94" s="39" t="inlineStr">
        <is>
          <t>S7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22" customWidth="1" min="3" max="3"/>
    <col width="22" customWidth="1" min="4" max="4"/>
    <col width="27" customWidth="1" min="5" max="5"/>
    <col width="25" customWidth="1" min="6" max="6"/>
    <col width="35" customWidth="1" min="7" max="7"/>
    <col width="38" customWidth="1" min="8" max="8"/>
    <col width="36" customWidth="1" min="9" max="9"/>
    <col width="23" customWidth="1" min="10" max="10"/>
    <col width="17" customWidth="1" min="11" max="11"/>
    <col width="48" customWidth="1" min="12" max="12"/>
    <col width="52" customWidth="1" min="13" max="13"/>
    <col width="20" customWidth="1" min="14" max="14"/>
    <col width="58" customWidth="1" min="15" max="15"/>
  </cols>
  <sheetData>
    <row r="1" ht="34" customHeight="1">
      <c r="A1" s="47" t="inlineStr">
        <is>
          <t>ID</t>
        </is>
      </c>
      <c r="B1" s="47" t="inlineStr">
        <is>
          <t>Person</t>
        </is>
      </c>
      <c r="C1" s="47" t="inlineStr">
        <is>
          <t>Branch</t>
        </is>
      </c>
      <c r="D1" s="47" t="inlineStr">
        <is>
          <t>Tier</t>
        </is>
      </c>
      <c r="E1" s="47" t="inlineStr">
        <is>
          <t>Relationship to Fredric</t>
        </is>
      </c>
      <c r="F1" s="47" t="inlineStr">
        <is>
          <t>Relationship to Jan</t>
        </is>
      </c>
      <c r="G1" s="47" t="inlineStr">
        <is>
          <t>Spouse / partner</t>
        </is>
      </c>
      <c r="H1" s="47" t="inlineStr">
        <is>
          <t>Parents</t>
        </is>
      </c>
      <c r="I1" s="47" t="inlineStr">
        <is>
          <t>Children in bounded scope</t>
        </is>
      </c>
      <c r="J1" s="47" t="inlineStr">
        <is>
          <t>Status</t>
        </is>
      </c>
      <c r="K1" s="47" t="inlineStr">
        <is>
          <t>Confidence</t>
        </is>
      </c>
      <c r="L1" s="47" t="inlineStr">
        <is>
          <t>Public-record evidence</t>
        </is>
      </c>
      <c r="M1" s="47" t="inlineStr">
        <is>
          <t>Family-document evidence</t>
        </is>
      </c>
      <c r="N1" s="47" t="inlineStr">
        <is>
          <t>Source IDs</t>
        </is>
      </c>
      <c r="O1" s="47" t="inlineStr">
        <is>
          <t>Notes</t>
        </is>
      </c>
    </row>
    <row r="2" ht="68" customHeight="1">
      <c r="A2" s="48" t="inlineStr">
        <is>
          <t>P001</t>
        </is>
      </c>
      <c r="B2" s="48" t="inlineStr">
        <is>
          <t>Fredric Muller Vollmer</t>
        </is>
      </c>
      <c r="C2" s="48" t="inlineStr">
        <is>
          <t>Immediate family</t>
        </is>
      </c>
      <c r="D2" s="48" t="inlineStr">
        <is>
          <t>Root</t>
        </is>
      </c>
      <c r="E2" s="48" t="inlineStr">
        <is>
          <t>Self</t>
        </is>
      </c>
      <c r="F2" s="48" t="inlineStr">
        <is>
          <t>Son of Jan Muller Vollmer</t>
        </is>
      </c>
      <c r="G2" s="48" t="n"/>
      <c r="H2" s="48" t="inlineStr">
        <is>
          <t>Jan Muller Vollmer and Henry Richard “Dick” Vollmer</t>
        </is>
      </c>
      <c r="I2" s="48" t="n"/>
      <c r="J2" s="48" t="inlineStr">
        <is>
          <t>Living</t>
        </is>
      </c>
      <c r="K2" s="48" t="inlineStr">
        <is>
          <t>A - Confirmed</t>
        </is>
      </c>
      <c r="L2" s="48" t="inlineStr"/>
      <c r="M2" s="48" t="inlineStr"/>
      <c r="N2" s="48" t="inlineStr">
        <is>
          <t>S1</t>
        </is>
      </c>
      <c r="O2" s="48" t="inlineStr">
        <is>
          <t>Living dates intentionally omitted.</t>
        </is>
      </c>
    </row>
    <row r="3" ht="68" customHeight="1">
      <c r="A3" s="49" t="inlineStr">
        <is>
          <t>P002</t>
        </is>
      </c>
      <c r="B3" s="49" t="inlineStr">
        <is>
          <t>Arianna Lynn “Annie” Vollmer</t>
        </is>
      </c>
      <c r="C3" s="49" t="inlineStr">
        <is>
          <t>Immediate family</t>
        </is>
      </c>
      <c r="D3" s="49" t="inlineStr">
        <is>
          <t>Sibling</t>
        </is>
      </c>
      <c r="E3" s="49" t="inlineStr">
        <is>
          <t>Sister</t>
        </is>
      </c>
      <c r="F3" s="49" t="inlineStr">
        <is>
          <t>Daughter of Jan Muller Vollmer</t>
        </is>
      </c>
      <c r="G3" s="49" t="n"/>
      <c r="H3" s="49" t="inlineStr">
        <is>
          <t>Jan Muller Vollmer and Henry Richard “Dick” Vollmer</t>
        </is>
      </c>
      <c r="I3" s="49" t="n"/>
      <c r="J3" s="49" t="inlineStr">
        <is>
          <t>Living</t>
        </is>
      </c>
      <c r="K3" s="49" t="inlineStr">
        <is>
          <t>A - Confirmed</t>
        </is>
      </c>
      <c r="L3" s="49" t="inlineStr"/>
      <c r="M3" s="49" t="inlineStr"/>
      <c r="N3" s="49" t="inlineStr">
        <is>
          <t>CF1</t>
        </is>
      </c>
      <c r="O3" s="49" t="inlineStr">
        <is>
          <t>Name form follows family correspondence; living dates intentionally omitted.</t>
        </is>
      </c>
    </row>
    <row r="4" ht="68" customHeight="1">
      <c r="A4" s="48" t="inlineStr">
        <is>
          <t>P003</t>
        </is>
      </c>
      <c r="B4" s="48" t="inlineStr">
        <is>
          <t>Jan Muller Vollmer</t>
        </is>
      </c>
      <c r="C4" s="48" t="inlineStr">
        <is>
          <t>Immediate family</t>
        </is>
      </c>
      <c r="D4" s="48" t="inlineStr">
        <is>
          <t>Parent</t>
        </is>
      </c>
      <c r="E4" s="48" t="inlineStr">
        <is>
          <t>Mother</t>
        </is>
      </c>
      <c r="F4" s="48" t="inlineStr">
        <is>
          <t>Self</t>
        </is>
      </c>
      <c r="G4" s="48" t="inlineStr">
        <is>
          <t>Henry Richard “Dick” Vollmer</t>
        </is>
      </c>
      <c r="H4" s="48" t="inlineStr">
        <is>
          <t>Arthur John “Art” Muller and Anne Rives McCormick Muller</t>
        </is>
      </c>
      <c r="I4" s="48" t="inlineStr">
        <is>
          <t>Fredric; Arianna “Annie”</t>
        </is>
      </c>
      <c r="J4" s="48" t="inlineStr">
        <is>
          <t>Living</t>
        </is>
      </c>
      <c r="K4" s="48" t="inlineStr">
        <is>
          <t>A - Confirmed</t>
        </is>
      </c>
      <c r="L4" s="48" t="inlineStr"/>
      <c r="M4" s="48" t="inlineStr"/>
      <c r="N4" s="48" t="inlineStr">
        <is>
          <t>S1; S2; CF1</t>
        </is>
      </c>
      <c r="O4" s="48" t="inlineStr"/>
    </row>
    <row r="5" ht="68" customHeight="1">
      <c r="A5" s="49" t="inlineStr">
        <is>
          <t>P004</t>
        </is>
      </c>
      <c r="B5" s="49" t="inlineStr">
        <is>
          <t>Henry Richard “Dick” Vollmer</t>
        </is>
      </c>
      <c r="C5" s="49" t="inlineStr">
        <is>
          <t>Immediate family</t>
        </is>
      </c>
      <c r="D5" s="49" t="inlineStr">
        <is>
          <t>Spouse context</t>
        </is>
      </c>
      <c r="E5" s="49" t="inlineStr">
        <is>
          <t>Father</t>
        </is>
      </c>
      <c r="F5" s="49" t="inlineStr">
        <is>
          <t>Husband</t>
        </is>
      </c>
      <c r="G5" s="49" t="inlineStr">
        <is>
          <t>Jan Muller Vollmer</t>
        </is>
      </c>
      <c r="H5" s="49" t="n"/>
      <c r="I5" s="49" t="inlineStr">
        <is>
          <t>Fredric; Arianna “Annie”</t>
        </is>
      </c>
      <c r="J5" s="49" t="inlineStr">
        <is>
          <t>Deceased</t>
        </is>
      </c>
      <c r="K5" s="49" t="inlineStr">
        <is>
          <t>A - Confirmed</t>
        </is>
      </c>
      <c r="L5" s="49" t="inlineStr"/>
      <c r="M5" s="49" t="inlineStr"/>
      <c r="N5" s="49" t="inlineStr">
        <is>
          <t>CF1</t>
        </is>
      </c>
      <c r="O5" s="49" t="inlineStr">
        <is>
          <t>Included as spouse/parent context; this project does not trace his ancestry.</t>
        </is>
      </c>
    </row>
    <row r="6" ht="68" customHeight="1">
      <c r="A6" s="48" t="inlineStr">
        <is>
          <t>P005</t>
        </is>
      </c>
      <c r="B6" s="48" t="inlineStr">
        <is>
          <t>Bruce Muller</t>
        </is>
      </c>
      <c r="C6" s="48" t="inlineStr">
        <is>
          <t>Immediate maternal</t>
        </is>
      </c>
      <c r="D6" s="48" t="inlineStr">
        <is>
          <t>Jan sibling</t>
        </is>
      </c>
      <c r="E6" s="48" t="inlineStr">
        <is>
          <t>Maternal uncle</t>
        </is>
      </c>
      <c r="F6" s="48" t="inlineStr">
        <is>
          <t>Brother</t>
        </is>
      </c>
      <c r="G6" s="48" t="n"/>
      <c r="H6" s="48" t="inlineStr">
        <is>
          <t>Arthur John “Art” Muller and Anne Rives McCormick Muller</t>
        </is>
      </c>
      <c r="I6" s="48" t="inlineStr">
        <is>
          <t>No children located in the reviewed family chart or corroborating records</t>
        </is>
      </c>
      <c r="J6" s="48" t="inlineStr">
        <is>
          <t>Deceased</t>
        </is>
      </c>
      <c r="K6" s="48" t="inlineStr">
        <is>
          <t>A - Confirmed</t>
        </is>
      </c>
      <c r="L6" s="48" t="inlineStr"/>
      <c r="M6" s="48" t="inlineStr"/>
      <c r="N6" s="48" t="inlineStr">
        <is>
          <t>S2; CF2</t>
        </is>
      </c>
      <c r="O6" s="48" t="inlineStr">
        <is>
          <t>“No children located” is not proof that he had none.</t>
        </is>
      </c>
    </row>
    <row r="7" ht="68" customHeight="1">
      <c r="A7" s="49" t="inlineStr">
        <is>
          <t>P006</t>
        </is>
      </c>
      <c r="B7" s="49" t="inlineStr">
        <is>
          <t>Arthur John “Art” Muller</t>
        </is>
      </c>
      <c r="C7" s="49" t="inlineStr">
        <is>
          <t>Muller / Lee</t>
        </is>
      </c>
      <c r="D7" s="49" t="inlineStr">
        <is>
          <t>Grandparent anchor</t>
        </is>
      </c>
      <c r="E7" s="49" t="inlineStr">
        <is>
          <t>Maternal grandfather</t>
        </is>
      </c>
      <c r="F7" s="49" t="inlineStr">
        <is>
          <t>Father</t>
        </is>
      </c>
      <c r="G7" s="49" t="inlineStr">
        <is>
          <t>Anne Rives McCormick Muller</t>
        </is>
      </c>
      <c r="H7" s="49" t="inlineStr">
        <is>
          <t>Arthur Herman Muller and Elma Anna Lee</t>
        </is>
      </c>
      <c r="I7" s="49" t="inlineStr">
        <is>
          <t>Bruce; Jan</t>
        </is>
      </c>
      <c r="J7" s="49" t="inlineStr">
        <is>
          <t>Deceased</t>
        </is>
      </c>
      <c r="K7" s="49" t="inlineStr">
        <is>
          <t>A - Confirmed</t>
        </is>
      </c>
      <c r="L7" s="49" t="inlineStr">
        <is>
          <t>Library of Congress Veterans History Project collection anchors identity and military service.</t>
        </is>
      </c>
      <c r="M7" s="49" t="inlineStr">
        <is>
          <t>1998 family chart authored by Art.</t>
        </is>
      </c>
      <c r="N7" s="49" t="inlineStr">
        <is>
          <t>S2; S5</t>
        </is>
      </c>
      <c r="O7" s="49" t="inlineStr"/>
    </row>
    <row r="8" ht="68" customHeight="1">
      <c r="A8" s="48" t="inlineStr">
        <is>
          <t>P007</t>
        </is>
      </c>
      <c r="B8" s="48" t="inlineStr">
        <is>
          <t>Anne Rives McCormick Muller</t>
        </is>
      </c>
      <c r="C8" s="48" t="inlineStr">
        <is>
          <t>McCormick / Slaughter</t>
        </is>
      </c>
      <c r="D8" s="48" t="inlineStr">
        <is>
          <t>Grandparent anchor</t>
        </is>
      </c>
      <c r="E8" s="48" t="inlineStr">
        <is>
          <t>Maternal grandmother</t>
        </is>
      </c>
      <c r="F8" s="48" t="inlineStr">
        <is>
          <t>Mother</t>
        </is>
      </c>
      <c r="G8" s="48" t="inlineStr">
        <is>
          <t>Arthur John “Art” Muller</t>
        </is>
      </c>
      <c r="H8" s="48" t="inlineStr">
        <is>
          <t>Charles Ellsworth McCormick II and Eloise A. Slaughter</t>
        </is>
      </c>
      <c r="I8" s="48" t="inlineStr">
        <is>
          <t>Bruce; Jan</t>
        </is>
      </c>
      <c r="J8" s="48" t="inlineStr">
        <is>
          <t>Deceased</t>
        </is>
      </c>
      <c r="K8" s="48" t="inlineStr">
        <is>
          <t>A - Confirmed</t>
        </is>
      </c>
      <c r="L8" s="48" t="inlineStr"/>
      <c r="M8" s="48" t="inlineStr"/>
      <c r="N8" s="48" t="inlineStr">
        <is>
          <t>S1; S2; CF2</t>
        </is>
      </c>
      <c r="O8" s="48" t="inlineStr"/>
    </row>
    <row r="9" ht="68" customHeight="1">
      <c r="A9" s="49" t="inlineStr">
        <is>
          <t>P008</t>
        </is>
      </c>
      <c r="B9" s="49" t="inlineStr">
        <is>
          <t>Arthur Herman Muller</t>
        </is>
      </c>
      <c r="C9" s="49" t="inlineStr">
        <is>
          <t>Muller / Lee</t>
        </is>
      </c>
      <c r="D9" s="49" t="inlineStr">
        <is>
          <t>Great-grandparent anchor</t>
        </is>
      </c>
      <c r="E9" s="49" t="inlineStr">
        <is>
          <t>Maternal great-grandfather</t>
        </is>
      </c>
      <c r="F9" s="49" t="inlineStr">
        <is>
          <t>Paternal grandfather</t>
        </is>
      </c>
      <c r="G9" s="49" t="inlineStr">
        <is>
          <t>Elma Anna Lee</t>
        </is>
      </c>
      <c r="H9" s="49" t="n"/>
      <c r="I9" s="49" t="inlineStr">
        <is>
          <t>Mary Gene; Jane; Arthur John</t>
        </is>
      </c>
      <c r="J9" s="49" t="inlineStr">
        <is>
          <t>Deceased</t>
        </is>
      </c>
      <c r="K9" s="49" t="inlineStr">
        <is>
          <t>A - Confirmed</t>
        </is>
      </c>
      <c r="L9" s="49" t="inlineStr"/>
      <c r="M9" s="49" t="inlineStr"/>
      <c r="N9" s="49" t="inlineStr">
        <is>
          <t>S2; S24</t>
        </is>
      </c>
      <c r="O9" s="49" t="inlineStr"/>
    </row>
    <row r="10" ht="68" customHeight="1">
      <c r="A10" s="48" t="inlineStr">
        <is>
          <t>P009</t>
        </is>
      </c>
      <c r="B10" s="48" t="inlineStr">
        <is>
          <t>Elma Anna Lee Muller</t>
        </is>
      </c>
      <c r="C10" s="48" t="inlineStr">
        <is>
          <t>Muller / Lee</t>
        </is>
      </c>
      <c r="D10" s="48" t="inlineStr">
        <is>
          <t>Great-grandparent anchor</t>
        </is>
      </c>
      <c r="E10" s="48" t="inlineStr">
        <is>
          <t>Maternal great-grandmother</t>
        </is>
      </c>
      <c r="F10" s="48" t="inlineStr">
        <is>
          <t>Paternal grandmother</t>
        </is>
      </c>
      <c r="G10" s="48" t="inlineStr">
        <is>
          <t>Arthur Herman Muller</t>
        </is>
      </c>
      <c r="H10" s="48" t="n"/>
      <c r="I10" s="48" t="inlineStr">
        <is>
          <t>Mary Gene; Jane; Arthur John</t>
        </is>
      </c>
      <c r="J10" s="48" t="inlineStr">
        <is>
          <t>Deceased</t>
        </is>
      </c>
      <c r="K10" s="48" t="inlineStr">
        <is>
          <t>A - Confirmed</t>
        </is>
      </c>
      <c r="L10" s="48" t="inlineStr"/>
      <c r="M10" s="48" t="inlineStr"/>
      <c r="N10" s="48" t="inlineStr">
        <is>
          <t>S2; S3; S24</t>
        </is>
      </c>
      <c r="O10" s="48" t="inlineStr"/>
    </row>
    <row r="11" ht="68" customHeight="1">
      <c r="A11" s="49" t="inlineStr">
        <is>
          <t>P010</t>
        </is>
      </c>
      <c r="B11" s="49" t="inlineStr">
        <is>
          <t>Mary Gene Muller Chaffee</t>
        </is>
      </c>
      <c r="C11" s="49" t="inlineStr">
        <is>
          <t>Muller / Lee</t>
        </is>
      </c>
      <c r="D11" s="49" t="inlineStr">
        <is>
          <t>Art sibling</t>
        </is>
      </c>
      <c r="E11" s="49" t="inlineStr">
        <is>
          <t>Maternal great-aunt</t>
        </is>
      </c>
      <c r="F11" s="49" t="inlineStr">
        <is>
          <t>Paternal aunt</t>
        </is>
      </c>
      <c r="G11" s="49" t="inlineStr">
        <is>
          <t>James Chaffee</t>
        </is>
      </c>
      <c r="H11" s="49" t="inlineStr">
        <is>
          <t>Arthur Herman Muller and Elma Anna Lee</t>
        </is>
      </c>
      <c r="I11" s="49" t="inlineStr">
        <is>
          <t>Linda; Lori; James</t>
        </is>
      </c>
      <c r="J11" s="49" t="inlineStr">
        <is>
          <t>Status not fully researched</t>
        </is>
      </c>
      <c r="K11" s="49" t="inlineStr">
        <is>
          <t>A - Confirmed</t>
        </is>
      </c>
      <c r="L11" s="49" t="inlineStr"/>
      <c r="M11" s="49" t="inlineStr"/>
      <c r="N11" s="49" t="inlineStr">
        <is>
          <t>S2; CF3</t>
        </is>
      </c>
      <c r="O11" s="49" t="inlineStr">
        <is>
          <t>Child set transcribed from the 1998 chart. Earlier draft mistakenly read James as “Janet”; corrected here.</t>
        </is>
      </c>
    </row>
    <row r="12" ht="68" customHeight="1">
      <c r="A12" s="48" t="inlineStr">
        <is>
          <t>P011</t>
        </is>
      </c>
      <c r="B12" s="48" t="inlineStr">
        <is>
          <t>James Chaffee (husband of Mary Gene)</t>
        </is>
      </c>
      <c r="C12" s="48" t="inlineStr">
        <is>
          <t>Muller / Lee</t>
        </is>
      </c>
      <c r="D12" s="48" t="inlineStr">
        <is>
          <t>Spouse of Art sibling</t>
        </is>
      </c>
      <c r="E12" s="48" t="inlineStr">
        <is>
          <t>Maternal great-uncle by marriage</t>
        </is>
      </c>
      <c r="F12" s="48" t="inlineStr">
        <is>
          <t>Paternal uncle by marriage</t>
        </is>
      </c>
      <c r="G12" s="48" t="inlineStr">
        <is>
          <t>Mary Gene Muller Chaffee</t>
        </is>
      </c>
      <c r="H12" s="48" t="n"/>
      <c r="I12" s="48" t="inlineStr">
        <is>
          <t>Linda; Lori; James</t>
        </is>
      </c>
      <c r="J12" s="48" t="inlineStr">
        <is>
          <t>Status not researched</t>
        </is>
      </c>
      <c r="K12" s="48" t="inlineStr">
        <is>
          <t>A - Confirmed</t>
        </is>
      </c>
      <c r="L12" s="48" t="inlineStr"/>
      <c r="M12" s="48" t="inlineStr"/>
      <c r="N12" s="48" t="inlineStr">
        <is>
          <t>S2; CF3</t>
        </is>
      </c>
      <c r="O12" s="48" t="inlineStr"/>
    </row>
    <row r="13" ht="68" customHeight="1">
      <c r="A13" s="49" t="inlineStr">
        <is>
          <t>P012</t>
        </is>
      </c>
      <c r="B13" s="49" t="inlineStr">
        <is>
          <t>Linda Chaffee</t>
        </is>
      </c>
      <c r="C13" s="49" t="inlineStr">
        <is>
          <t>Muller / Lee</t>
        </is>
      </c>
      <c r="D13" s="49" t="inlineStr">
        <is>
          <t>Jan first cousin</t>
        </is>
      </c>
      <c r="E13" s="49" t="inlineStr">
        <is>
          <t>First cousin once removed</t>
        </is>
      </c>
      <c r="F13" s="49" t="inlineStr">
        <is>
          <t>Paternal first cousin</t>
        </is>
      </c>
      <c r="G13" s="49" t="n"/>
      <c r="H13" s="49" t="inlineStr">
        <is>
          <t>Mary Gene Muller Chaffee and James Chaffee</t>
        </is>
      </c>
      <c r="I13" s="49" t="n"/>
      <c r="J13" s="49" t="inlineStr">
        <is>
          <t>Living/status not researched</t>
        </is>
      </c>
      <c r="K13" s="49" t="inlineStr">
        <is>
          <t>A - Confirmed</t>
        </is>
      </c>
      <c r="L13" s="49" t="inlineStr"/>
      <c r="M13" s="49" t="inlineStr"/>
      <c r="N13" s="49" t="inlineStr">
        <is>
          <t>S2</t>
        </is>
      </c>
      <c r="O13" s="49" t="inlineStr"/>
    </row>
    <row r="14" ht="68" customHeight="1">
      <c r="A14" s="48" t="inlineStr">
        <is>
          <t>P013</t>
        </is>
      </c>
      <c r="B14" s="48" t="inlineStr">
        <is>
          <t>Lori Chaffee Mettler</t>
        </is>
      </c>
      <c r="C14" s="48" t="inlineStr">
        <is>
          <t>Muller / Lee</t>
        </is>
      </c>
      <c r="D14" s="48" t="inlineStr">
        <is>
          <t>Jan first cousin</t>
        </is>
      </c>
      <c r="E14" s="48" t="inlineStr">
        <is>
          <t>First cousin once removed</t>
        </is>
      </c>
      <c r="F14" s="48" t="inlineStr">
        <is>
          <t>Paternal first cousin</t>
        </is>
      </c>
      <c r="G14" s="48" t="n"/>
      <c r="H14" s="48" t="inlineStr">
        <is>
          <t>Mary Gene Muller Chaffee and James Chaffee</t>
        </is>
      </c>
      <c r="I14" s="48" t="n"/>
      <c r="J14" s="48" t="inlineStr">
        <is>
          <t>Living</t>
        </is>
      </c>
      <c r="K14" s="48" t="inlineStr">
        <is>
          <t>A - Confirmed</t>
        </is>
      </c>
      <c r="L14" s="48" t="inlineStr"/>
      <c r="M14" s="48" t="inlineStr"/>
      <c r="N14" s="48" t="inlineStr">
        <is>
          <t>S2; CF3</t>
        </is>
      </c>
      <c r="O14" s="48" t="inlineStr"/>
    </row>
    <row r="15" ht="68" customHeight="1">
      <c r="A15" s="49" t="inlineStr">
        <is>
          <t>P014</t>
        </is>
      </c>
      <c r="B15" s="49" t="inlineStr">
        <is>
          <t>James Chaffee (son of Mary Gene and James)</t>
        </is>
      </c>
      <c r="C15" s="49" t="inlineStr">
        <is>
          <t>Muller / Lee</t>
        </is>
      </c>
      <c r="D15" s="49" t="inlineStr">
        <is>
          <t>Jan first cousin</t>
        </is>
      </c>
      <c r="E15" s="49" t="inlineStr">
        <is>
          <t>First cousin once removed</t>
        </is>
      </c>
      <c r="F15" s="49" t="inlineStr">
        <is>
          <t>Paternal first cousin</t>
        </is>
      </c>
      <c r="G15" s="49" t="n"/>
      <c r="H15" s="49" t="inlineStr">
        <is>
          <t>Mary Gene Muller Chaffee and James Chaffee</t>
        </is>
      </c>
      <c r="I15" s="49" t="n"/>
      <c r="J15" s="49" t="inlineStr">
        <is>
          <t>Living/status not researched</t>
        </is>
      </c>
      <c r="K15" s="49" t="inlineStr">
        <is>
          <t>A - Confirmed</t>
        </is>
      </c>
      <c r="L15" s="49" t="inlineStr"/>
      <c r="M15" s="49" t="inlineStr"/>
      <c r="N15" s="49" t="inlineStr">
        <is>
          <t>S2; CF3</t>
        </is>
      </c>
      <c r="O15" s="49" t="inlineStr">
        <is>
          <t>Corrected from the earlier erroneous transcription “Janet Chaffee.”</t>
        </is>
      </c>
    </row>
    <row r="16" ht="68" customHeight="1">
      <c r="A16" s="48" t="inlineStr">
        <is>
          <t>P015</t>
        </is>
      </c>
      <c r="B16" s="48" t="inlineStr">
        <is>
          <t>Jane Muller Swick</t>
        </is>
      </c>
      <c r="C16" s="48" t="inlineStr">
        <is>
          <t>Muller / Lee</t>
        </is>
      </c>
      <c r="D16" s="48" t="inlineStr">
        <is>
          <t>Art sibling</t>
        </is>
      </c>
      <c r="E16" s="48" t="inlineStr">
        <is>
          <t>Maternal great-aunt</t>
        </is>
      </c>
      <c r="F16" s="48" t="inlineStr">
        <is>
          <t>Paternal aunt</t>
        </is>
      </c>
      <c r="G16" s="48" t="inlineStr">
        <is>
          <t>Howard Swick</t>
        </is>
      </c>
      <c r="H16" s="48" t="inlineStr">
        <is>
          <t>Arthur Herman Muller and Elma Anna Lee</t>
        </is>
      </c>
      <c r="I16" s="48" t="inlineStr">
        <is>
          <t>Kathy; John; Susan; Patti</t>
        </is>
      </c>
      <c r="J16" s="48" t="inlineStr">
        <is>
          <t>Status not fully researched</t>
        </is>
      </c>
      <c r="K16" s="48" t="inlineStr">
        <is>
          <t>A - Confirmed</t>
        </is>
      </c>
      <c r="L16" s="48" t="inlineStr"/>
      <c r="M16" s="48" t="inlineStr"/>
      <c r="N16" s="48" t="inlineStr">
        <is>
          <t>S2; CF4</t>
        </is>
      </c>
      <c r="O16" s="48" t="inlineStr"/>
    </row>
    <row r="17" ht="68" customHeight="1">
      <c r="A17" s="49" t="inlineStr">
        <is>
          <t>P016</t>
        </is>
      </c>
      <c r="B17" s="49" t="inlineStr">
        <is>
          <t>Howard Swick</t>
        </is>
      </c>
      <c r="C17" s="49" t="inlineStr">
        <is>
          <t>Muller / Lee</t>
        </is>
      </c>
      <c r="D17" s="49" t="inlineStr">
        <is>
          <t>Spouse of Art sibling</t>
        </is>
      </c>
      <c r="E17" s="49" t="inlineStr">
        <is>
          <t>Maternal great-uncle by marriage</t>
        </is>
      </c>
      <c r="F17" s="49" t="inlineStr">
        <is>
          <t>Paternal uncle by marriage</t>
        </is>
      </c>
      <c r="G17" s="49" t="inlineStr">
        <is>
          <t>Jane Muller Swick</t>
        </is>
      </c>
      <c r="H17" s="49" t="n"/>
      <c r="I17" s="49" t="inlineStr">
        <is>
          <t>Kathy; John; Susan; Patti</t>
        </is>
      </c>
      <c r="J17" s="49" t="inlineStr">
        <is>
          <t>Status not researched</t>
        </is>
      </c>
      <c r="K17" s="49" t="inlineStr">
        <is>
          <t>A - Confirmed</t>
        </is>
      </c>
      <c r="L17" s="49" t="inlineStr"/>
      <c r="M17" s="49" t="inlineStr"/>
      <c r="N17" s="49" t="inlineStr">
        <is>
          <t>S2</t>
        </is>
      </c>
      <c r="O17" s="49" t="inlineStr"/>
    </row>
    <row r="18" ht="68" customHeight="1">
      <c r="A18" s="48" t="inlineStr">
        <is>
          <t>P017</t>
        </is>
      </c>
      <c r="B18" s="48" t="inlineStr">
        <is>
          <t>Kathy Swick Werblo</t>
        </is>
      </c>
      <c r="C18" s="48" t="inlineStr">
        <is>
          <t>Muller / Lee</t>
        </is>
      </c>
      <c r="D18" s="48" t="inlineStr">
        <is>
          <t>Jan first cousin</t>
        </is>
      </c>
      <c r="E18" s="48" t="inlineStr">
        <is>
          <t>First cousin once removed</t>
        </is>
      </c>
      <c r="F18" s="48" t="inlineStr">
        <is>
          <t>Paternal first cousin</t>
        </is>
      </c>
      <c r="G18" s="48" t="inlineStr">
        <is>
          <t>Dave Werblo</t>
        </is>
      </c>
      <c r="H18" s="48" t="inlineStr">
        <is>
          <t>Jane Muller Swick and Howard Swick</t>
        </is>
      </c>
      <c r="I18" s="48" t="n"/>
      <c r="J18" s="48" t="inlineStr">
        <is>
          <t>Living</t>
        </is>
      </c>
      <c r="K18" s="48" t="inlineStr">
        <is>
          <t>A - Confirmed</t>
        </is>
      </c>
      <c r="L18" s="48" t="inlineStr"/>
      <c r="M18" s="48" t="inlineStr">
        <is>
          <t>1955 family photograph label and later correspondence explicitly call Kathy and Jan cousins.</t>
        </is>
      </c>
      <c r="N18" s="48" t="inlineStr">
        <is>
          <t>S2; CF4</t>
        </is>
      </c>
      <c r="O18" s="48" t="inlineStr"/>
    </row>
    <row r="19" ht="68" customHeight="1">
      <c r="A19" s="49" t="inlineStr">
        <is>
          <t>P018</t>
        </is>
      </c>
      <c r="B19" s="49" t="inlineStr">
        <is>
          <t>Dave Werblo</t>
        </is>
      </c>
      <c r="C19" s="49" t="inlineStr">
        <is>
          <t>Muller / Lee</t>
        </is>
      </c>
      <c r="D19" s="49" t="inlineStr">
        <is>
          <t>Spouse of Jan first cousin</t>
        </is>
      </c>
      <c r="E19" s="49" t="inlineStr">
        <is>
          <t>Cousin-in-law (1C1R spouse)</t>
        </is>
      </c>
      <c r="F19" s="49" t="inlineStr">
        <is>
          <t>Husband of paternal first cousin</t>
        </is>
      </c>
      <c r="G19" s="49" t="inlineStr">
        <is>
          <t>Kathy Swick Werblo</t>
        </is>
      </c>
      <c r="H19" s="49" t="n"/>
      <c r="I19" s="49" t="n"/>
      <c r="J19" s="49" t="inlineStr">
        <is>
          <t>Living</t>
        </is>
      </c>
      <c r="K19" s="49" t="inlineStr">
        <is>
          <t>A - Confirmed</t>
        </is>
      </c>
      <c r="L19" s="49" t="inlineStr"/>
      <c r="M19" s="49" t="inlineStr"/>
      <c r="N19" s="49" t="inlineStr">
        <is>
          <t>CF4</t>
        </is>
      </c>
      <c r="O19" s="49" t="inlineStr"/>
    </row>
    <row r="20" ht="68" customHeight="1">
      <c r="A20" s="48" t="inlineStr">
        <is>
          <t>P019</t>
        </is>
      </c>
      <c r="B20" s="48" t="inlineStr">
        <is>
          <t>John Swick</t>
        </is>
      </c>
      <c r="C20" s="48" t="inlineStr">
        <is>
          <t>Muller / Lee</t>
        </is>
      </c>
      <c r="D20" s="48" t="inlineStr">
        <is>
          <t>Jan first cousin</t>
        </is>
      </c>
      <c r="E20" s="48" t="inlineStr">
        <is>
          <t>First cousin once removed</t>
        </is>
      </c>
      <c r="F20" s="48" t="inlineStr">
        <is>
          <t>Paternal first cousin</t>
        </is>
      </c>
      <c r="G20" s="48" t="inlineStr">
        <is>
          <t>Celeste</t>
        </is>
      </c>
      <c r="H20" s="48" t="inlineStr">
        <is>
          <t>Jane Muller Swick and Howard Swick</t>
        </is>
      </c>
      <c r="I20" s="48" t="n"/>
      <c r="J20" s="48" t="inlineStr">
        <is>
          <t>Living/status not researched</t>
        </is>
      </c>
      <c r="K20" s="48" t="inlineStr">
        <is>
          <t>A - Confirmed</t>
        </is>
      </c>
      <c r="L20" s="48" t="inlineStr"/>
      <c r="M20" s="48" t="inlineStr"/>
      <c r="N20" s="48" t="inlineStr">
        <is>
          <t>S2; CF4</t>
        </is>
      </c>
      <c r="O20" s="48" t="inlineStr"/>
    </row>
    <row r="21" ht="68" customHeight="1">
      <c r="A21" s="49" t="inlineStr">
        <is>
          <t>P020</t>
        </is>
      </c>
      <c r="B21" s="49" t="inlineStr">
        <is>
          <t>Celeste (surname not independently verified)</t>
        </is>
      </c>
      <c r="C21" s="49" t="inlineStr">
        <is>
          <t>Muller / Lee</t>
        </is>
      </c>
      <c r="D21" s="49" t="inlineStr">
        <is>
          <t>Spouse of Jan first cousin</t>
        </is>
      </c>
      <c r="E21" s="49" t="inlineStr">
        <is>
          <t>Cousin-in-law (1C1R spouse)</t>
        </is>
      </c>
      <c r="F21" s="49" t="inlineStr">
        <is>
          <t>Spouse of paternal first cousin</t>
        </is>
      </c>
      <c r="G21" s="49" t="inlineStr">
        <is>
          <t>John Swick</t>
        </is>
      </c>
      <c r="H21" s="49" t="n"/>
      <c r="I21" s="49" t="n"/>
      <c r="J21" s="49" t="inlineStr">
        <is>
          <t>Status not researched</t>
        </is>
      </c>
      <c r="K21" s="49" t="inlineStr">
        <is>
          <t>C - Provisional</t>
        </is>
      </c>
      <c r="L21" s="49" t="inlineStr"/>
      <c r="M21" s="49" t="inlineStr"/>
      <c r="N21" s="49" t="inlineStr">
        <is>
          <t>S2</t>
        </is>
      </c>
      <c r="O21" s="49" t="inlineStr">
        <is>
          <t>Only the first name is legible/available in the 1998 chart.</t>
        </is>
      </c>
    </row>
    <row r="22" ht="68" customHeight="1">
      <c r="A22" s="48" t="inlineStr">
        <is>
          <t>P021</t>
        </is>
      </c>
      <c r="B22" s="48" t="inlineStr">
        <is>
          <t>Susan “Sue” Swick Galbraith</t>
        </is>
      </c>
      <c r="C22" s="48" t="inlineStr">
        <is>
          <t>Muller / Lee</t>
        </is>
      </c>
      <c r="D22" s="48" t="inlineStr">
        <is>
          <t>Jan first cousin</t>
        </is>
      </c>
      <c r="E22" s="48" t="inlineStr">
        <is>
          <t>First cousin once removed</t>
        </is>
      </c>
      <c r="F22" s="48" t="inlineStr">
        <is>
          <t>Paternal first cousin</t>
        </is>
      </c>
      <c r="G22" s="48" t="inlineStr">
        <is>
          <t>Gordon Galbraith</t>
        </is>
      </c>
      <c r="H22" s="48" t="inlineStr">
        <is>
          <t>Jane Muller Swick and Howard Swick</t>
        </is>
      </c>
      <c r="I22" s="48" t="n"/>
      <c r="J22" s="48" t="inlineStr">
        <is>
          <t>Living</t>
        </is>
      </c>
      <c r="K22" s="48" t="inlineStr">
        <is>
          <t>A - Confirmed</t>
        </is>
      </c>
      <c r="L22" s="48" t="inlineStr"/>
      <c r="M22" s="48" t="inlineStr">
        <is>
          <t>Jan explicitly identifies Sue’s children as Fredric’s second cousins.</t>
        </is>
      </c>
      <c r="N22" s="48" t="inlineStr">
        <is>
          <t>S2; CF4</t>
        </is>
      </c>
      <c r="O22" s="48" t="inlineStr"/>
    </row>
    <row r="23" ht="68" customHeight="1">
      <c r="A23" s="49" t="inlineStr">
        <is>
          <t>P022</t>
        </is>
      </c>
      <c r="B23" s="49" t="inlineStr">
        <is>
          <t>Gordon Galbraith</t>
        </is>
      </c>
      <c r="C23" s="49" t="inlineStr">
        <is>
          <t>Muller / Lee</t>
        </is>
      </c>
      <c r="D23" s="49" t="inlineStr">
        <is>
          <t>Spouse of Jan first cousin</t>
        </is>
      </c>
      <c r="E23" s="49" t="inlineStr">
        <is>
          <t>Cousin-in-law (1C1R spouse)</t>
        </is>
      </c>
      <c r="F23" s="49" t="inlineStr">
        <is>
          <t>Husband of paternal first cousin</t>
        </is>
      </c>
      <c r="G23" s="49" t="inlineStr">
        <is>
          <t>Susan “Sue” Swick Galbraith</t>
        </is>
      </c>
      <c r="H23" s="49" t="n"/>
      <c r="I23" s="49" t="n"/>
      <c r="J23" s="49" t="inlineStr">
        <is>
          <t>Status not researched</t>
        </is>
      </c>
      <c r="K23" s="49" t="inlineStr">
        <is>
          <t>A - Confirmed</t>
        </is>
      </c>
      <c r="L23" s="49" t="inlineStr"/>
      <c r="M23" s="49" t="inlineStr"/>
      <c r="N23" s="49" t="inlineStr">
        <is>
          <t>S2</t>
        </is>
      </c>
      <c r="O23" s="49" t="inlineStr"/>
    </row>
    <row r="24" ht="68" customHeight="1">
      <c r="A24" s="48" t="inlineStr">
        <is>
          <t>P023</t>
        </is>
      </c>
      <c r="B24" s="48" t="inlineStr">
        <is>
          <t>Patti Swick (later surname Silva)</t>
        </is>
      </c>
      <c r="C24" s="48" t="inlineStr">
        <is>
          <t>Muller / Lee</t>
        </is>
      </c>
      <c r="D24" s="48" t="inlineStr">
        <is>
          <t>Jan first cousin</t>
        </is>
      </c>
      <c r="E24" s="48" t="inlineStr">
        <is>
          <t>First cousin once removed</t>
        </is>
      </c>
      <c r="F24" s="48" t="inlineStr">
        <is>
          <t>Paternal first cousin</t>
        </is>
      </c>
      <c r="G24" s="48" t="inlineStr">
        <is>
          <t>Rick Lilly (shown in 1998 chart; later marital status not assumed)</t>
        </is>
      </c>
      <c r="H24" s="48" t="inlineStr">
        <is>
          <t>Jane Muller Swick and Howard Swick</t>
        </is>
      </c>
      <c r="I24" s="48" t="n"/>
      <c r="J24" s="48" t="inlineStr">
        <is>
          <t>Living</t>
        </is>
      </c>
      <c r="K24" s="48" t="inlineStr">
        <is>
          <t>A - Confirmed</t>
        </is>
      </c>
      <c r="L24" s="48" t="inlineStr"/>
      <c r="M24" s="48" t="inlineStr"/>
      <c r="N24" s="48" t="inlineStr">
        <is>
          <t>S2; CF3</t>
        </is>
      </c>
      <c r="O24" s="48" t="inlineStr">
        <is>
          <t>The 2023 reunion email uses “Patti Swick Silva (PJ),” so Rick Lilly is retained only as the spouse shown in 1998.</t>
        </is>
      </c>
    </row>
    <row r="25" ht="68" customHeight="1">
      <c r="A25" s="49" t="inlineStr">
        <is>
          <t>P024</t>
        </is>
      </c>
      <c r="B25" s="49" t="inlineStr">
        <is>
          <t>Rick Lilly</t>
        </is>
      </c>
      <c r="C25" s="49" t="inlineStr">
        <is>
          <t>Muller / Lee</t>
        </is>
      </c>
      <c r="D25" s="49" t="inlineStr">
        <is>
          <t>Historical spouse of Jan first cousin</t>
        </is>
      </c>
      <c r="E25" s="49" t="inlineStr">
        <is>
          <t>Cousin-in-law (historical)</t>
        </is>
      </c>
      <c r="F25" s="49" t="inlineStr">
        <is>
          <t>Historical spouse of paternal first cousin</t>
        </is>
      </c>
      <c r="G25" s="49" t="inlineStr">
        <is>
          <t>Patti Swick</t>
        </is>
      </c>
      <c r="H25" s="49" t="n"/>
      <c r="I25" s="49" t="n"/>
      <c r="J25" s="49" t="inlineStr">
        <is>
          <t>Status not researched</t>
        </is>
      </c>
      <c r="K25" s="49" t="inlineStr">
        <is>
          <t>B - Strong</t>
        </is>
      </c>
      <c r="L25" s="49" t="inlineStr"/>
      <c r="M25" s="49" t="inlineStr"/>
      <c r="N25" s="49" t="inlineStr">
        <is>
          <t>S2</t>
        </is>
      </c>
      <c r="O25" s="49" t="inlineStr"/>
    </row>
    <row r="26" ht="68" customHeight="1">
      <c r="A26" s="48" t="inlineStr">
        <is>
          <t>P025</t>
        </is>
      </c>
      <c r="B26" s="48" t="inlineStr">
        <is>
          <t>Charles Ellsworth McCormick II</t>
        </is>
      </c>
      <c r="C26" s="48" t="inlineStr">
        <is>
          <t>McCormick / Slaughter</t>
        </is>
      </c>
      <c r="D26" s="48" t="inlineStr">
        <is>
          <t>Great-grandparent anchor</t>
        </is>
      </c>
      <c r="E26" s="48" t="inlineStr">
        <is>
          <t>Maternal great-grandfather</t>
        </is>
      </c>
      <c r="F26" s="48" t="inlineStr">
        <is>
          <t>Maternal grandfather</t>
        </is>
      </c>
      <c r="G26" s="48" t="inlineStr">
        <is>
          <t>Eloise A. Slaughter McCormick</t>
        </is>
      </c>
      <c r="H26" s="48" t="n"/>
      <c r="I26" s="48" t="inlineStr">
        <is>
          <t>Anne; Philip; Charles; Gwendolyn (“Gwen”)</t>
        </is>
      </c>
      <c r="J26" s="48" t="inlineStr">
        <is>
          <t>Deceased</t>
        </is>
      </c>
      <c r="K26" s="48" t="inlineStr">
        <is>
          <t>A - Confirmed</t>
        </is>
      </c>
      <c r="L26" s="48" t="inlineStr"/>
      <c r="M26" s="48" t="inlineStr"/>
      <c r="N26" s="48" t="inlineStr">
        <is>
          <t>S1; S25; CF5</t>
        </is>
      </c>
      <c r="O26" s="48" t="inlineStr"/>
    </row>
    <row r="27" ht="68" customHeight="1">
      <c r="A27" s="49" t="inlineStr">
        <is>
          <t>P026</t>
        </is>
      </c>
      <c r="B27" s="49" t="inlineStr">
        <is>
          <t>Eloise A. Slaughter McCormick</t>
        </is>
      </c>
      <c r="C27" s="49" t="inlineStr">
        <is>
          <t>McCormick / Slaughter</t>
        </is>
      </c>
      <c r="D27" s="49" t="inlineStr">
        <is>
          <t>Great-grandparent anchor</t>
        </is>
      </c>
      <c r="E27" s="49" t="inlineStr">
        <is>
          <t>Maternal great-grandmother</t>
        </is>
      </c>
      <c r="F27" s="49" t="inlineStr">
        <is>
          <t>Maternal grandmother</t>
        </is>
      </c>
      <c r="G27" s="49" t="inlineStr">
        <is>
          <t>Charles Ellsworth McCormick II</t>
        </is>
      </c>
      <c r="H27" s="49" t="n"/>
      <c r="I27" s="49" t="inlineStr">
        <is>
          <t>Anne; Philip; Charles; Gwendolyn (“Gwen”)</t>
        </is>
      </c>
      <c r="J27" s="49" t="inlineStr">
        <is>
          <t>Deceased</t>
        </is>
      </c>
      <c r="K27" s="49" t="inlineStr">
        <is>
          <t>A - Confirmed</t>
        </is>
      </c>
      <c r="L27" s="49" t="inlineStr"/>
      <c r="M27" s="49" t="inlineStr"/>
      <c r="N27" s="49" t="inlineStr">
        <is>
          <t>S1; S8; CF5</t>
        </is>
      </c>
      <c r="O27" s="49" t="inlineStr"/>
    </row>
    <row r="28" ht="68" customHeight="1">
      <c r="A28" s="48" t="inlineStr">
        <is>
          <t>P027</t>
        </is>
      </c>
      <c r="B28" s="48" t="inlineStr">
        <is>
          <t>Philip Brooks McCormick</t>
        </is>
      </c>
      <c r="C28" s="48" t="inlineStr">
        <is>
          <t>McCormick / Slaughter</t>
        </is>
      </c>
      <c r="D28" s="48" t="inlineStr">
        <is>
          <t>Anne sibling</t>
        </is>
      </c>
      <c r="E28" s="48" t="inlineStr">
        <is>
          <t>Maternal great-uncle</t>
        </is>
      </c>
      <c r="F28" s="48" t="inlineStr">
        <is>
          <t>Maternal uncle</t>
        </is>
      </c>
      <c r="G28" s="48" t="inlineStr">
        <is>
          <t>Elizabeth “Betsy” Ross McCormick</t>
        </is>
      </c>
      <c r="H28" s="48" t="inlineStr">
        <is>
          <t>Charles Ellsworth McCormick II and Eloise A. Slaughter</t>
        </is>
      </c>
      <c r="I28" s="48" t="inlineStr">
        <is>
          <t>Sandy; Ross; Tina</t>
        </is>
      </c>
      <c r="J28" s="48" t="inlineStr">
        <is>
          <t>Deceased</t>
        </is>
      </c>
      <c r="K28" s="48" t="inlineStr">
        <is>
          <t>A - Confirmed</t>
        </is>
      </c>
      <c r="L28" s="48" t="inlineStr">
        <is>
          <t>Published obituary/memorial and contemporary engagement notice support identity and marriage.</t>
        </is>
      </c>
      <c r="M28" s="48" t="inlineStr">
        <is>
          <t>Jan explicitly identifies Phil as Anne’s brother and Sandy, Ross and Tina as his children.</t>
        </is>
      </c>
      <c r="N28" s="48" t="inlineStr">
        <is>
          <t>CF6; P1; P2</t>
        </is>
      </c>
      <c r="O28" s="48" t="inlineStr"/>
    </row>
    <row r="29" ht="68" customHeight="1">
      <c r="A29" s="49" t="inlineStr">
        <is>
          <t>P028</t>
        </is>
      </c>
      <c r="B29" s="49" t="inlineStr">
        <is>
          <t>Elizabeth “Betsy” Ross McCormick</t>
        </is>
      </c>
      <c r="C29" s="49" t="inlineStr">
        <is>
          <t>McCormick / Slaughter</t>
        </is>
      </c>
      <c r="D29" s="49" t="inlineStr">
        <is>
          <t>Spouse of Anne sibling</t>
        </is>
      </c>
      <c r="E29" s="49" t="inlineStr">
        <is>
          <t>Maternal great-aunt by marriage</t>
        </is>
      </c>
      <c r="F29" s="49" t="inlineStr">
        <is>
          <t>Maternal aunt by marriage</t>
        </is>
      </c>
      <c r="G29" s="49" t="inlineStr">
        <is>
          <t>Philip Brooks McCormick</t>
        </is>
      </c>
      <c r="H29" s="49" t="n"/>
      <c r="I29" s="49" t="inlineStr">
        <is>
          <t>Sandy; Ross; Tina</t>
        </is>
      </c>
      <c r="J29" s="49" t="inlineStr">
        <is>
          <t>Deceased/status not fully researched</t>
        </is>
      </c>
      <c r="K29" s="49" t="inlineStr">
        <is>
          <t>B - Strong</t>
        </is>
      </c>
      <c r="L29" s="49" t="inlineStr">
        <is>
          <t>Contemporary engagement notice identifies Betsy Ross and Philip Brooks McCormick.</t>
        </is>
      </c>
      <c r="M29" s="49" t="inlineStr"/>
      <c r="N29" s="49" t="inlineStr">
        <is>
          <t>P2; CF6</t>
        </is>
      </c>
      <c r="O29" s="49" t="inlineStr"/>
    </row>
    <row r="30" ht="68" customHeight="1">
      <c r="A30" s="48" t="inlineStr">
        <is>
          <t>P029</t>
        </is>
      </c>
      <c r="B30" s="48" t="inlineStr">
        <is>
          <t>Sandy McCormick Hill</t>
        </is>
      </c>
      <c r="C30" s="48" t="inlineStr">
        <is>
          <t>McCormick / Slaughter</t>
        </is>
      </c>
      <c r="D30" s="48" t="inlineStr">
        <is>
          <t>Jan first cousin</t>
        </is>
      </c>
      <c r="E30" s="48" t="inlineStr">
        <is>
          <t>First cousin once removed</t>
        </is>
      </c>
      <c r="F30" s="48" t="inlineStr">
        <is>
          <t>Maternal first cousin</t>
        </is>
      </c>
      <c r="G30" s="48" t="inlineStr">
        <is>
          <t>John Hill</t>
        </is>
      </c>
      <c r="H30" s="48" t="inlineStr">
        <is>
          <t>Philip Brooks McCormick and Elizabeth “Betsy” Ross</t>
        </is>
      </c>
      <c r="I30" s="48" t="n"/>
      <c r="J30" s="48" t="inlineStr">
        <is>
          <t>Living</t>
        </is>
      </c>
      <c r="K30" s="48" t="inlineStr">
        <is>
          <t>A - Confirmed</t>
        </is>
      </c>
      <c r="L30" s="48" t="inlineStr"/>
      <c r="M30" s="48" t="inlineStr"/>
      <c r="N30" s="48" t="inlineStr">
        <is>
          <t>CF6; CF7</t>
        </is>
      </c>
      <c r="O30" s="48" t="inlineStr"/>
    </row>
    <row r="31" ht="68" customHeight="1">
      <c r="A31" s="49" t="inlineStr">
        <is>
          <t>P030</t>
        </is>
      </c>
      <c r="B31" s="49" t="inlineStr">
        <is>
          <t>John Hill</t>
        </is>
      </c>
      <c r="C31" s="49" t="inlineStr">
        <is>
          <t>McCormick / Slaughter</t>
        </is>
      </c>
      <c r="D31" s="49" t="inlineStr">
        <is>
          <t>Spouse of Jan first cousin</t>
        </is>
      </c>
      <c r="E31" s="49" t="inlineStr">
        <is>
          <t>Cousin-in-law (1C1R spouse)</t>
        </is>
      </c>
      <c r="F31" s="49" t="inlineStr">
        <is>
          <t>Husband of maternal first cousin</t>
        </is>
      </c>
      <c r="G31" s="49" t="inlineStr">
        <is>
          <t>Sandy McCormick Hill</t>
        </is>
      </c>
      <c r="H31" s="49" t="n"/>
      <c r="I31" s="49" t="n"/>
      <c r="J31" s="49" t="inlineStr">
        <is>
          <t>Living</t>
        </is>
      </c>
      <c r="K31" s="49" t="inlineStr">
        <is>
          <t>A - Confirmed</t>
        </is>
      </c>
      <c r="L31" s="49" t="inlineStr"/>
      <c r="M31" s="49" t="inlineStr"/>
      <c r="N31" s="49" t="inlineStr">
        <is>
          <t>CF7</t>
        </is>
      </c>
      <c r="O31" s="49" t="inlineStr"/>
    </row>
    <row r="32" ht="68" customHeight="1">
      <c r="A32" s="48" t="inlineStr">
        <is>
          <t>P031</t>
        </is>
      </c>
      <c r="B32" s="48" t="inlineStr">
        <is>
          <t>Ross McCormick</t>
        </is>
      </c>
      <c r="C32" s="48" t="inlineStr">
        <is>
          <t>McCormick / Slaughter</t>
        </is>
      </c>
      <c r="D32" s="48" t="inlineStr">
        <is>
          <t>Jan first cousin</t>
        </is>
      </c>
      <c r="E32" s="48" t="inlineStr">
        <is>
          <t>First cousin once removed</t>
        </is>
      </c>
      <c r="F32" s="48" t="inlineStr">
        <is>
          <t>Maternal first cousin</t>
        </is>
      </c>
      <c r="G32" s="48" t="inlineStr">
        <is>
          <t>Carrie McCormick</t>
        </is>
      </c>
      <c r="H32" s="48" t="inlineStr">
        <is>
          <t>Philip Brooks McCormick and Elizabeth “Betsy” Ross</t>
        </is>
      </c>
      <c r="I32" s="48" t="n"/>
      <c r="J32" s="48" t="inlineStr">
        <is>
          <t>Living</t>
        </is>
      </c>
      <c r="K32" s="48" t="inlineStr">
        <is>
          <t>A - Confirmed</t>
        </is>
      </c>
      <c r="L32" s="48" t="inlineStr"/>
      <c r="M32" s="48" t="inlineStr"/>
      <c r="N32" s="48" t="inlineStr">
        <is>
          <t>CF6; CF7</t>
        </is>
      </c>
      <c r="O32" s="48" t="inlineStr"/>
    </row>
    <row r="33" ht="68" customHeight="1">
      <c r="A33" s="49" t="inlineStr">
        <is>
          <t>P032</t>
        </is>
      </c>
      <c r="B33" s="49" t="inlineStr">
        <is>
          <t>Carrie McCormick</t>
        </is>
      </c>
      <c r="C33" s="49" t="inlineStr">
        <is>
          <t>McCormick / Slaughter</t>
        </is>
      </c>
      <c r="D33" s="49" t="inlineStr">
        <is>
          <t>Spouse of Jan first cousin</t>
        </is>
      </c>
      <c r="E33" s="49" t="inlineStr">
        <is>
          <t>Cousin-in-law (1C1R spouse)</t>
        </is>
      </c>
      <c r="F33" s="49" t="inlineStr">
        <is>
          <t>Wife of maternal first cousin</t>
        </is>
      </c>
      <c r="G33" s="49" t="inlineStr">
        <is>
          <t>Ross McCormick</t>
        </is>
      </c>
      <c r="H33" s="49" t="n"/>
      <c r="I33" s="49" t="n"/>
      <c r="J33" s="49" t="inlineStr">
        <is>
          <t>Living</t>
        </is>
      </c>
      <c r="K33" s="49" t="inlineStr">
        <is>
          <t>A - Confirmed</t>
        </is>
      </c>
      <c r="L33" s="49" t="inlineStr"/>
      <c r="M33" s="49" t="inlineStr"/>
      <c r="N33" s="49" t="inlineStr">
        <is>
          <t>CF7</t>
        </is>
      </c>
      <c r="O33" s="49" t="inlineStr"/>
    </row>
    <row r="34" ht="68" customHeight="1">
      <c r="A34" s="48" t="inlineStr">
        <is>
          <t>P033</t>
        </is>
      </c>
      <c r="B34" s="48" t="inlineStr">
        <is>
          <t>Tina McCormick</t>
        </is>
      </c>
      <c r="C34" s="48" t="inlineStr">
        <is>
          <t>McCormick / Slaughter</t>
        </is>
      </c>
      <c r="D34" s="48" t="inlineStr">
        <is>
          <t>Jan first cousin</t>
        </is>
      </c>
      <c r="E34" s="48" t="inlineStr">
        <is>
          <t>First cousin once removed</t>
        </is>
      </c>
      <c r="F34" s="48" t="inlineStr">
        <is>
          <t>Maternal first cousin</t>
        </is>
      </c>
      <c r="G34" s="48" t="n"/>
      <c r="H34" s="48" t="inlineStr">
        <is>
          <t>Philip Brooks McCormick and Elizabeth “Betsy” Ross</t>
        </is>
      </c>
      <c r="I34" s="48" t="n"/>
      <c r="J34" s="48" t="inlineStr">
        <is>
          <t>Living</t>
        </is>
      </c>
      <c r="K34" s="48" t="inlineStr">
        <is>
          <t>A - Confirmed</t>
        </is>
      </c>
      <c r="L34" s="48" t="inlineStr"/>
      <c r="M34" s="48" t="inlineStr"/>
      <c r="N34" s="48" t="inlineStr">
        <is>
          <t>CF6</t>
        </is>
      </c>
      <c r="O34" s="48" t="inlineStr">
        <is>
          <t>Some later correspondence uses the surname Weese; the McCormick birth surname is retained here.</t>
        </is>
      </c>
    </row>
    <row r="35" ht="68" customHeight="1">
      <c r="A35" s="49" t="inlineStr">
        <is>
          <t>P034</t>
        </is>
      </c>
      <c r="B35" s="49" t="inlineStr">
        <is>
          <t>Charles McCormick (full name not yet independently verified)</t>
        </is>
      </c>
      <c r="C35" s="49" t="inlineStr">
        <is>
          <t>McCormick / Slaughter</t>
        </is>
      </c>
      <c r="D35" s="49" t="inlineStr">
        <is>
          <t>Anne sibling</t>
        </is>
      </c>
      <c r="E35" s="49" t="inlineStr">
        <is>
          <t>Maternal great-uncle</t>
        </is>
      </c>
      <c r="F35" s="49" t="inlineStr">
        <is>
          <t>Maternal uncle</t>
        </is>
      </c>
      <c r="G35" s="49" t="inlineStr">
        <is>
          <t>Judy McCormick</t>
        </is>
      </c>
      <c r="H35" s="49" t="inlineStr">
        <is>
          <t>Charles Ellsworth McCormick II and Eloise A. Slaughter</t>
        </is>
      </c>
      <c r="I35" s="49" t="inlineStr">
        <is>
          <t>No children identified in the reviewed public and family records</t>
        </is>
      </c>
      <c r="J35" s="49" t="inlineStr">
        <is>
          <t>Deceased</t>
        </is>
      </c>
      <c r="K35" s="49" t="inlineStr">
        <is>
          <t>A - Confirmed</t>
        </is>
      </c>
      <c r="L35" s="49" t="inlineStr"/>
      <c r="M35" s="49" t="inlineStr"/>
      <c r="N35" s="49" t="inlineStr">
        <is>
          <t>CF5; CF8</t>
        </is>
      </c>
      <c r="O35" s="49" t="inlineStr">
        <is>
          <t>Do not infer “no children” from “none identified.” Exact full name and vital dates remain an open record problem.</t>
        </is>
      </c>
    </row>
    <row r="36" ht="68" customHeight="1">
      <c r="A36" s="48" t="inlineStr">
        <is>
          <t>P035</t>
        </is>
      </c>
      <c r="B36" s="48" t="inlineStr">
        <is>
          <t>Judy McCormick</t>
        </is>
      </c>
      <c r="C36" s="48" t="inlineStr">
        <is>
          <t>McCormick / Slaughter</t>
        </is>
      </c>
      <c r="D36" s="48" t="inlineStr">
        <is>
          <t>Spouse of Anne sibling</t>
        </is>
      </c>
      <c r="E36" s="48" t="inlineStr">
        <is>
          <t>Maternal great-aunt by marriage</t>
        </is>
      </c>
      <c r="F36" s="48" t="inlineStr">
        <is>
          <t>Maternal aunt by marriage</t>
        </is>
      </c>
      <c r="G36" s="48" t="inlineStr">
        <is>
          <t>Charles McCormick</t>
        </is>
      </c>
      <c r="H36" s="48" t="n"/>
      <c r="I36" s="48" t="inlineStr">
        <is>
          <t>No children identified in the reviewed records</t>
        </is>
      </c>
      <c r="J36" s="48" t="inlineStr">
        <is>
          <t>Living/status not researched</t>
        </is>
      </c>
      <c r="K36" s="48" t="inlineStr">
        <is>
          <t>A - Confirmed</t>
        </is>
      </c>
      <c r="L36" s="48" t="inlineStr"/>
      <c r="M36" s="48" t="inlineStr"/>
      <c r="N36" s="48" t="inlineStr">
        <is>
          <t>CF7; CF8</t>
        </is>
      </c>
      <c r="O36" s="48" t="inlineStr"/>
    </row>
    <row r="37" ht="68" customHeight="1">
      <c r="A37" s="49" t="inlineStr">
        <is>
          <t>P036</t>
        </is>
      </c>
      <c r="B37" s="49" t="inlineStr">
        <is>
          <t>Gwendolyn “Gwen” McCormick Hull</t>
        </is>
      </c>
      <c r="C37" s="49" t="inlineStr">
        <is>
          <t>McCormick / Slaughter</t>
        </is>
      </c>
      <c r="D37" s="49" t="inlineStr">
        <is>
          <t>Anne sibling</t>
        </is>
      </c>
      <c r="E37" s="49" t="inlineStr">
        <is>
          <t>Maternal great-aunt</t>
        </is>
      </c>
      <c r="F37" s="49" t="inlineStr">
        <is>
          <t>Maternal aunt</t>
        </is>
      </c>
      <c r="G37" s="49" t="inlineStr">
        <is>
          <t>Jim Hull</t>
        </is>
      </c>
      <c r="H37" s="49" t="inlineStr">
        <is>
          <t>Charles Ellsworth McCormick II and Eloise A. Slaughter</t>
        </is>
      </c>
      <c r="I37" s="49" t="inlineStr">
        <is>
          <t>Carey; Mark</t>
        </is>
      </c>
      <c r="J37" s="49" t="inlineStr">
        <is>
          <t>Living</t>
        </is>
      </c>
      <c r="K37" s="49" t="inlineStr">
        <is>
          <t>A - Confirmed</t>
        </is>
      </c>
      <c r="L37" s="49" t="inlineStr"/>
      <c r="M37" s="49" t="inlineStr">
        <is>
          <t>Gwen signs family material as “Aunt Gwen”; post-Philip family correspondence identifies her as the remaining original McCormick sibling.</t>
        </is>
      </c>
      <c r="N37" s="49" t="inlineStr">
        <is>
          <t>CF5; CF9; CF10</t>
        </is>
      </c>
      <c r="O37" s="49" t="inlineStr">
        <is>
          <t>This branch is a core McCormick sibling household and must be displayed coequally with Philip’s and Charles’s branches.</t>
        </is>
      </c>
    </row>
    <row r="38" ht="68" customHeight="1">
      <c r="A38" s="48" t="inlineStr">
        <is>
          <t>P037</t>
        </is>
      </c>
      <c r="B38" s="48" t="inlineStr">
        <is>
          <t>Jim Hull</t>
        </is>
      </c>
      <c r="C38" s="48" t="inlineStr">
        <is>
          <t>McCormick / Slaughter</t>
        </is>
      </c>
      <c r="D38" s="48" t="inlineStr">
        <is>
          <t>Spouse of Anne sibling</t>
        </is>
      </c>
      <c r="E38" s="48" t="inlineStr">
        <is>
          <t>Maternal great-uncle by marriage</t>
        </is>
      </c>
      <c r="F38" s="48" t="inlineStr">
        <is>
          <t>Maternal uncle by marriage</t>
        </is>
      </c>
      <c r="G38" s="48" t="inlineStr">
        <is>
          <t>Gwendolyn “Gwen” McCormick Hull</t>
        </is>
      </c>
      <c r="H38" s="48" t="n"/>
      <c r="I38" s="48" t="inlineStr">
        <is>
          <t>Carey; Mark</t>
        </is>
      </c>
      <c r="J38" s="48" t="inlineStr">
        <is>
          <t>Living</t>
        </is>
      </c>
      <c r="K38" s="48" t="inlineStr">
        <is>
          <t>A - Confirmed</t>
        </is>
      </c>
      <c r="L38" s="48" t="inlineStr"/>
      <c r="M38" s="48" t="inlineStr"/>
      <c r="N38" s="48" t="inlineStr">
        <is>
          <t>CF10; CF11</t>
        </is>
      </c>
      <c r="O38" s="48" t="inlineStr"/>
    </row>
    <row r="39" ht="68" customHeight="1">
      <c r="A39" s="49" t="inlineStr">
        <is>
          <t>P038</t>
        </is>
      </c>
      <c r="B39" s="49" t="inlineStr">
        <is>
          <t>Carey Zaura</t>
        </is>
      </c>
      <c r="C39" s="49" t="inlineStr">
        <is>
          <t>McCormick / Slaughter</t>
        </is>
      </c>
      <c r="D39" s="49" t="inlineStr">
        <is>
          <t>Jan first cousin</t>
        </is>
      </c>
      <c r="E39" s="49" t="inlineStr">
        <is>
          <t>First cousin once removed</t>
        </is>
      </c>
      <c r="F39" s="49" t="inlineStr">
        <is>
          <t>Maternal first cousin</t>
        </is>
      </c>
      <c r="G39" s="49" t="n"/>
      <c r="H39" s="49" t="inlineStr">
        <is>
          <t>Gwendolyn “Gwen” McCormick Hull and Jim Hull</t>
        </is>
      </c>
      <c r="I39" s="49" t="n"/>
      <c r="J39" s="49" t="inlineStr">
        <is>
          <t>Living</t>
        </is>
      </c>
      <c r="K39" s="49" t="inlineStr">
        <is>
          <t>A - Confirmed</t>
        </is>
      </c>
      <c r="L39" s="49" t="inlineStr"/>
      <c r="M39" s="49" t="inlineStr">
        <is>
          <t>Carey addresses Jim as Dad and explicitly calls herself his “one and only daughter,” asking him to read the message to Mom and Mark.</t>
        </is>
      </c>
      <c r="N39" s="49" t="inlineStr">
        <is>
          <t>CF11</t>
        </is>
      </c>
      <c r="O39" s="49" t="inlineStr">
        <is>
          <t>Some correspondence uses the email surname Oialucia.</t>
        </is>
      </c>
    </row>
    <row r="40" ht="68" customHeight="1">
      <c r="A40" s="48" t="inlineStr">
        <is>
          <t>P039</t>
        </is>
      </c>
      <c r="B40" s="48" t="inlineStr">
        <is>
          <t>Mark Hull</t>
        </is>
      </c>
      <c r="C40" s="48" t="inlineStr">
        <is>
          <t>McCormick / Slaughter</t>
        </is>
      </c>
      <c r="D40" s="48" t="inlineStr">
        <is>
          <t>Jan first cousin</t>
        </is>
      </c>
      <c r="E40" s="48" t="inlineStr">
        <is>
          <t>First cousin once removed</t>
        </is>
      </c>
      <c r="F40" s="48" t="inlineStr">
        <is>
          <t>Maternal first cousin</t>
        </is>
      </c>
      <c r="G40" s="48" t="n"/>
      <c r="H40" s="48" t="inlineStr">
        <is>
          <t>Gwendolyn “Gwen” McCormick Hull and Jim Hull</t>
        </is>
      </c>
      <c r="I40" s="48" t="n"/>
      <c r="J40" s="48" t="inlineStr">
        <is>
          <t>Living</t>
        </is>
      </c>
      <c r="K40" s="48" t="inlineStr">
        <is>
          <t>A - Confirmed</t>
        </is>
      </c>
      <c r="L40" s="48" t="inlineStr"/>
      <c r="M40" s="48" t="inlineStr">
        <is>
          <t>Gwen and Jim’s family letter is signed “Gwen, Jim and Mark”; Carey’s direct daughter statement distinguishes Mark as the other child in the household.</t>
        </is>
      </c>
      <c r="N40" s="48" t="inlineStr">
        <is>
          <t>CF10; CF11</t>
        </is>
      </c>
      <c r="O40" s="48" t="inlineStr"/>
    </row>
  </sheetData>
  <autoFilter ref="A1:O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45" customWidth="1" min="3" max="3"/>
    <col width="55" customWidth="1" min="4" max="4"/>
    <col width="25" customWidth="1" min="5" max="5"/>
    <col width="22" customWidth="1" min="6" max="6"/>
    <col width="65" customWidth="1" min="7" max="7"/>
  </cols>
  <sheetData>
    <row r="1" ht="34" customHeight="1">
      <c r="A1" s="47" t="inlineStr">
        <is>
          <t>Household</t>
        </is>
      </c>
      <c r="B1" s="47" t="inlineStr">
        <is>
          <t>Branch</t>
        </is>
      </c>
      <c r="C1" s="47" t="inlineStr">
        <is>
          <t>Children at bounded generation</t>
        </is>
      </c>
      <c r="D1" s="47" t="inlineStr">
        <is>
          <t>Audit result</t>
        </is>
      </c>
      <c r="E1" s="47" t="inlineStr">
        <is>
          <t>Confidence</t>
        </is>
      </c>
      <c r="F1" s="47" t="inlineStr">
        <is>
          <t>Source IDs</t>
        </is>
      </c>
      <c r="G1" s="47" t="inlineStr">
        <is>
          <t>Remaining record problem</t>
        </is>
      </c>
    </row>
    <row r="2" ht="70" customHeight="1">
      <c r="A2" s="48" t="inlineStr">
        <is>
          <t>Arthur Herman Muller + Elma Anna Lee</t>
        </is>
      </c>
      <c r="B2" s="48" t="inlineStr">
        <is>
          <t>Muller / Lee</t>
        </is>
      </c>
      <c r="C2" s="48" t="inlineStr">
        <is>
          <t>Mary Gene Muller; Jane Muller; Arthur John “Art” Muller</t>
        </is>
      </c>
      <c r="D2" s="48" t="inlineStr">
        <is>
          <t>Complete sibling set used for this bounded extension.</t>
        </is>
      </c>
      <c r="E2" s="48" t="inlineStr">
        <is>
          <t>A - Confirmed</t>
        </is>
      </c>
      <c r="F2" s="48" t="inlineStr">
        <is>
          <t>S2; S3; S24</t>
        </is>
      </c>
      <c r="G2" s="48" t="inlineStr">
        <is>
          <t>Locate original census/obituary copies for a fully record-cited household reconstruction.</t>
        </is>
      </c>
    </row>
    <row r="3" ht="70" customHeight="1">
      <c r="A3" s="49" t="inlineStr">
        <is>
          <t>Mary Gene Muller + James Chaffee</t>
        </is>
      </c>
      <c r="B3" s="49" t="inlineStr">
        <is>
          <t>Muller / Lee</t>
        </is>
      </c>
      <c r="C3" s="49" t="inlineStr">
        <is>
          <t>Linda Chaffee; Lori Chaffee Mettler; James Chaffee</t>
        </is>
      </c>
      <c r="D3" s="49" t="inlineStr">
        <is>
          <t>Corrected child set. “James,” not “Janet.”</t>
        </is>
      </c>
      <c r="E3" s="49" t="inlineStr">
        <is>
          <t>A - Confirmed / chart-led</t>
        </is>
      </c>
      <c r="F3" s="49" t="inlineStr">
        <is>
          <t>S2; CF3</t>
        </is>
      </c>
      <c r="G3" s="49" t="inlineStr">
        <is>
          <t>Obtain a public obituary or census household image to corroborate all three children independently.</t>
        </is>
      </c>
    </row>
    <row r="4" ht="70" customHeight="1">
      <c r="A4" s="48" t="inlineStr">
        <is>
          <t>Jane Muller + Howard Swick</t>
        </is>
      </c>
      <c r="B4" s="48" t="inlineStr">
        <is>
          <t>Muller / Lee</t>
        </is>
      </c>
      <c r="C4" s="48" t="inlineStr">
        <is>
          <t>Kathy; John; Susan “Sue”; Patti</t>
        </is>
      </c>
      <c r="D4" s="48" t="inlineStr">
        <is>
          <t>Complete child set at the requested generation. Their children are second cousins to Fredric and intentionally excluded.</t>
        </is>
      </c>
      <c r="E4" s="48" t="inlineStr">
        <is>
          <t>A - Confirmed / chart plus contemporary corroboration</t>
        </is>
      </c>
      <c r="F4" s="48" t="inlineStr">
        <is>
          <t>S2; CF4</t>
        </is>
      </c>
      <c r="G4" s="48" t="inlineStr">
        <is>
          <t>Verify Celeste’s surname and Patti’s later marital chronology.</t>
        </is>
      </c>
    </row>
    <row r="5" ht="70" customHeight="1">
      <c r="A5" s="49" t="inlineStr">
        <is>
          <t>Arthur John “Art” Muller + Anne Rives McCormick</t>
        </is>
      </c>
      <c r="B5" s="49" t="inlineStr">
        <is>
          <t>Immediate maternal</t>
        </is>
      </c>
      <c r="C5" s="49" t="inlineStr">
        <is>
          <t>Bruce Muller; Jan Muller Vollmer</t>
        </is>
      </c>
      <c r="D5" s="49" t="inlineStr">
        <is>
          <t>Jan has one documented sibling, Bruce. No children of Bruce were located in the reviewed sources.</t>
        </is>
      </c>
      <c r="E5" s="49" t="inlineStr">
        <is>
          <t>A - Confirmed</t>
        </is>
      </c>
      <c r="F5" s="49" t="inlineStr">
        <is>
          <t>S2; CF2</t>
        </is>
      </c>
      <c r="G5" s="49" t="inlineStr">
        <is>
          <t>A negative finding is not proof Bruce had no descendants; obituary/probate records would settle this.</t>
        </is>
      </c>
    </row>
    <row r="6" ht="70" customHeight="1">
      <c r="A6" s="48" t="inlineStr">
        <is>
          <t>Charles Ellsworth McCormick II + Eloise A. Slaughter</t>
        </is>
      </c>
      <c r="B6" s="48" t="inlineStr">
        <is>
          <t>McCormick / Slaughter</t>
        </is>
      </c>
      <c r="C6" s="48" t="inlineStr">
        <is>
          <t>Anne Rives; Philip Brooks; Charles; Gwendolyn “Gwen”</t>
        </is>
      </c>
      <c r="D6" s="48" t="inlineStr">
        <is>
          <t>Four-child sibling set. Gwen is a core sibling, not a peripheral correspondent.</t>
        </is>
      </c>
      <c r="E6" s="48" t="inlineStr">
        <is>
          <t>A - Confirmed</t>
        </is>
      </c>
      <c r="F6" s="48" t="inlineStr">
        <is>
          <t>S1; S8; S25; CF5; CF6; CF9</t>
        </is>
      </c>
      <c r="G6" s="48" t="inlineStr">
        <is>
          <t>Locate one public obituary or census source that names all four children in one record.</t>
        </is>
      </c>
    </row>
    <row r="7" ht="70" customHeight="1">
      <c r="A7" s="49" t="inlineStr">
        <is>
          <t>Philip Brooks McCormick + Elizabeth “Betsy” Ross</t>
        </is>
      </c>
      <c r="B7" s="49" t="inlineStr">
        <is>
          <t>McCormick / Slaughter</t>
        </is>
      </c>
      <c r="C7" s="49" t="inlineStr">
        <is>
          <t>Sandy McCormick Hill; Ross McCormick; Tina McCormick</t>
        </is>
      </c>
      <c r="D7" s="49" t="inlineStr">
        <is>
          <t>Complete child set at requested generation.</t>
        </is>
      </c>
      <c r="E7" s="49" t="inlineStr">
        <is>
          <t>A - Confirmed</t>
        </is>
      </c>
      <c r="F7" s="49" t="inlineStr">
        <is>
          <t>CF6; P1; P2</t>
        </is>
      </c>
      <c r="G7" s="49" t="inlineStr">
        <is>
          <t>Living descendants beyond this generation intentionally excluded.</t>
        </is>
      </c>
    </row>
    <row r="8" ht="70" customHeight="1">
      <c r="A8" s="48" t="inlineStr">
        <is>
          <t>Charles McCormick + Judy McCormick</t>
        </is>
      </c>
      <c r="B8" s="48" t="inlineStr">
        <is>
          <t>McCormick / Slaughter</t>
        </is>
      </c>
      <c r="C8" s="48" t="inlineStr">
        <is>
          <t>No children identified</t>
        </is>
      </c>
      <c r="D8" s="48" t="inlineStr">
        <is>
          <t>Couple included. No child is asserted or excluded without an obituary/probate source.</t>
        </is>
      </c>
      <c r="E8" s="48" t="inlineStr">
        <is>
          <t>A for couple; unresolved for descendants</t>
        </is>
      </c>
      <c r="F8" s="48" t="inlineStr">
        <is>
          <t>CF7; CF8</t>
        </is>
      </c>
      <c r="G8" s="48" t="inlineStr">
        <is>
          <t>Resolve Charles’s full name, vital dates, obituary and any descendants.</t>
        </is>
      </c>
    </row>
    <row r="9" ht="70" customHeight="1">
      <c r="A9" s="49" t="inlineStr">
        <is>
          <t>Gwendolyn “Gwen” McCormick + Jim Hull</t>
        </is>
      </c>
      <c r="B9" s="49" t="inlineStr">
        <is>
          <t>McCormick / Slaughter</t>
        </is>
      </c>
      <c r="C9" s="49" t="inlineStr">
        <is>
          <t>Carey Zaura; Mark Hull</t>
        </is>
      </c>
      <c r="D9" s="49" t="inlineStr">
        <is>
          <t>Complete two-child household at requested generation; Carey is the one and only daughter.</t>
        </is>
      </c>
      <c r="E9" s="49" t="inlineStr">
        <is>
          <t>A - Confirmed</t>
        </is>
      </c>
      <c r="F9" s="49" t="inlineStr">
        <is>
          <t>CF9; CF10; CF11</t>
        </is>
      </c>
      <c r="G9" s="49" t="inlineStr">
        <is>
          <t>Living dates omitted by design.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7" customWidth="1" min="2" max="2"/>
    <col width="68" customWidth="1" min="3" max="3"/>
    <col width="24" customWidth="1" min="4" max="4"/>
  </cols>
  <sheetData>
    <row r="1" ht="34" customHeight="1">
      <c r="A1" s="47" t="inlineStr">
        <is>
          <t>Topic</t>
        </is>
      </c>
      <c r="B1" s="47" t="inlineStr">
        <is>
          <t>Earlier treatment</t>
        </is>
      </c>
      <c r="C1" s="47" t="inlineStr">
        <is>
          <t>Corrected treatment</t>
        </is>
      </c>
      <c r="D1" s="47" t="inlineStr">
        <is>
          <t>Correction type</t>
        </is>
      </c>
    </row>
    <row r="2" ht="62" customHeight="1">
      <c r="A2" s="48" t="inlineStr">
        <is>
          <t>Gwen branch prominence</t>
        </is>
      </c>
      <c r="B2" s="48" t="inlineStr">
        <is>
          <t>Earlier edition treated Gwen’s household as secondary/provisional.</t>
        </is>
      </c>
      <c r="C2" s="48" t="inlineStr">
        <is>
          <t>Gwen is displayed as one of the four children of Charles II and Eloise, coequal with Anne, Philip and Charles.</t>
        </is>
      </c>
      <c r="D2" s="48" t="inlineStr">
        <is>
          <t>Structural correction</t>
        </is>
      </c>
    </row>
    <row r="3" ht="62" customHeight="1">
      <c r="A3" s="49" t="inlineStr">
        <is>
          <t>Carey and Mark parentage</t>
        </is>
      </c>
      <c r="B3" s="49" t="inlineStr">
        <is>
          <t>Earlier edition used broad family-email grouping.</t>
        </is>
      </c>
      <c r="C3" s="49" t="inlineStr">
        <is>
          <t>Carey’s direct statement that she is Jim’s one and only daughter, plus the Gwen/Jim/Mark family letter, supports Carey and Mark as the two children.</t>
        </is>
      </c>
      <c r="D3" s="49" t="inlineStr">
        <is>
          <t>Evidence upgrade</t>
        </is>
      </c>
    </row>
    <row r="4" ht="62" customHeight="1">
      <c r="A4" s="48" t="inlineStr">
        <is>
          <t>Chaffee child name</t>
        </is>
      </c>
      <c r="B4" s="48" t="inlineStr">
        <is>
          <t>Earlier edition listed “Janet Chaffee.”</t>
        </is>
      </c>
      <c r="C4" s="48" t="inlineStr">
        <is>
          <t>The chart name is James Chaffee. Janet is removed everywhere.</t>
        </is>
      </c>
      <c r="D4" s="48" t="inlineStr">
        <is>
          <t>Transcription correction</t>
        </is>
      </c>
    </row>
    <row r="5" ht="62" customHeight="1">
      <c r="A5" s="49" t="inlineStr">
        <is>
          <t>Relationship terminology</t>
        </is>
      </c>
      <c r="B5" s="49" t="inlineStr">
        <is>
          <t>Earlier narrative risked calling Jan’s cousins Fredric’s first cousins.</t>
        </is>
      </c>
      <c r="C5" s="49" t="inlineStr">
        <is>
          <t>They are Fredric’s first cousins once removed. Fredric has no identified maternal first cousins through Bruce in the reviewed evidence.</t>
        </is>
      </c>
      <c r="D5" s="49" t="inlineStr">
        <is>
          <t>Kinship correction</t>
        </is>
      </c>
    </row>
    <row r="6" ht="62" customHeight="1">
      <c r="A6" s="48" t="inlineStr">
        <is>
          <t>Negative evidence</t>
        </is>
      </c>
      <c r="B6" s="48" t="inlineStr">
        <is>
          <t>Earlier wording could be read as saying Bruce or Charles had no children.</t>
        </is>
      </c>
      <c r="C6" s="48" t="inlineStr">
        <is>
          <t>Now says “no children identified/located,” explicitly distinguishing absence of evidence from evidence of absence.</t>
        </is>
      </c>
      <c r="D6" s="48" t="inlineStr">
        <is>
          <t>Method correction</t>
        </is>
      </c>
    </row>
    <row r="7" ht="62" customHeight="1">
      <c r="A7" s="49" t="inlineStr">
        <is>
          <t>Email weighting</t>
        </is>
      </c>
      <c r="B7" s="49" t="inlineStr">
        <is>
          <t>Earlier extension discovered and inferred relationships mainly through email frequency and recipient lists.</t>
        </is>
      </c>
      <c r="C7" s="49" t="inlineStr">
        <is>
          <t>Households are reconstructed from parent couples downward; the 1998 chart, public records and direct statements outrank recipient-list inference.</t>
        </is>
      </c>
      <c r="D7" s="49" t="inlineStr">
        <is>
          <t>Method correction</t>
        </is>
      </c>
    </row>
    <row r="8" ht="62" customHeight="1">
      <c r="A8" s="48" t="inlineStr">
        <is>
          <t>Scope/cardinality</t>
        </is>
      </c>
      <c r="B8" s="48" t="inlineStr">
        <is>
          <t>Earlier scope was not explicit enough.</t>
        </is>
      </c>
      <c r="C8" s="48" t="inlineStr">
        <is>
          <t>Includes Fredric’s immediate maternal collateral family and Jan’s aunts/uncles and first cousins on both parental branches. Descendants of Jan’s cousins are excluded.</t>
        </is>
      </c>
      <c r="D8" s="48" t="inlineStr">
        <is>
          <t>Scope correction</t>
        </is>
      </c>
    </row>
  </sheetData>
  <autoFilter ref="A1:D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55" customWidth="1" min="4" max="4"/>
    <col width="42" customWidth="1" min="5" max="5"/>
  </cols>
  <sheetData>
    <row r="1">
      <c r="A1" s="50" t="inlineStr">
        <is>
          <t>Priority</t>
        </is>
      </c>
      <c r="B1" s="50" t="inlineStr">
        <is>
          <t>Branch / person</t>
        </is>
      </c>
      <c r="C1" s="50" t="inlineStr">
        <is>
          <t>Open question</t>
        </is>
      </c>
      <c r="D1" s="50" t="inlineStr">
        <is>
          <t>Best next record or action</t>
        </is>
      </c>
      <c r="E1" s="50" t="inlineStr">
        <is>
          <t>Why it matters</t>
        </is>
      </c>
    </row>
    <row r="2">
      <c r="A2" s="39" t="inlineStr">
        <is>
          <t>High</t>
        </is>
      </c>
      <c r="B2" s="39" t="inlineStr">
        <is>
          <t>Christian August Vollrath Muller</t>
        </is>
      </c>
      <c r="C2" s="39" t="inlineStr">
        <is>
          <t>Prove parents Lorenz Muller and Pauline Vollrath</t>
        </is>
      </c>
      <c r="D2" s="39" t="inlineStr">
        <is>
          <t>Naturalization, marriage, German civil/church records</t>
        </is>
      </c>
      <c r="E2" s="39" t="inlineStr">
        <is>
          <t>Converts the 1998 family chart into a documented immigrant chain</t>
        </is>
      </c>
    </row>
    <row r="3">
      <c r="A3" s="39" t="inlineStr">
        <is>
          <t>High</t>
        </is>
      </c>
      <c r="B3" s="39" t="inlineStr">
        <is>
          <t>Mary Wilhelmina Ohmer</t>
        </is>
      </c>
      <c r="C3" s="39" t="inlineStr">
        <is>
          <t>Identify her parents</t>
        </is>
      </c>
      <c r="D3" s="39" t="inlineStr">
        <is>
          <t>Elma’s birth record; Mary’s marriage/death records; Michigan church records</t>
        </is>
      </c>
      <c r="E3" s="39" t="inlineStr">
        <is>
          <t>Opens an entirely untraced maternal great-great-grandmother line</t>
        </is>
      </c>
    </row>
    <row r="4">
      <c r="A4" s="39" t="inlineStr">
        <is>
          <t>High</t>
        </is>
      </c>
      <c r="B4" s="39" t="inlineStr">
        <is>
          <t>Mary P. “Mollie” Moore</t>
        </is>
      </c>
      <c r="C4" s="39" t="inlineStr">
        <is>
          <t>Identify the Moore family at Mound Grove</t>
        </is>
      </c>
      <c r="D4" s="39" t="inlineStr">
        <is>
          <t>Arkansas Post land, probate, census, church, and plantation papers</t>
        </is>
      </c>
      <c r="E4" s="39" t="inlineStr">
        <is>
          <t>Her parentage is the largest recent-generation gap on the Brooks branch</t>
        </is>
      </c>
    </row>
    <row r="5">
      <c r="A5" s="39" t="inlineStr">
        <is>
          <t>High</t>
        </is>
      </c>
      <c r="B5" s="39" t="inlineStr">
        <is>
          <t>Solomon Neal Brooks</t>
        </is>
      </c>
      <c r="C5" s="39" t="inlineStr">
        <is>
          <t>Resolve his mother’s identity</t>
        </is>
      </c>
      <c r="D5" s="39" t="inlineStr">
        <is>
          <t>Compare Joseph A. Brooks marriage chronology, will, guardianships, and county biography</t>
        </is>
      </c>
      <c r="E5" s="39" t="inlineStr">
        <is>
          <t>Current sources conflict among Rebecca, “Miss Miles,” and Cordelia Standiford</t>
        </is>
      </c>
    </row>
    <row r="6">
      <c r="A6" s="39" t="inlineStr">
        <is>
          <t>High</t>
        </is>
      </c>
      <c r="B6" s="39" t="inlineStr">
        <is>
          <t>Rives immigrant generation</t>
        </is>
      </c>
      <c r="C6" s="39" t="inlineStr">
        <is>
          <t>Test c.1636 Oxfordshire claim</t>
        </is>
      </c>
      <c r="D6" s="39" t="inlineStr">
        <is>
          <t>Virginia headrights, land, probate, court records, and English parish work</t>
        </is>
      </c>
      <c r="E6" s="39" t="inlineStr">
        <is>
          <t>Prevents a traditional lineage from being presented as proved</t>
        </is>
      </c>
    </row>
    <row r="7">
      <c r="A7" s="39" t="inlineStr">
        <is>
          <t>High</t>
        </is>
      </c>
      <c r="B7" s="39" t="inlineStr">
        <is>
          <t>Mathieu Agee</t>
        </is>
      </c>
      <c r="C7" s="39" t="inlineStr">
        <is>
          <t>Test Anthony Agee/Judith Chastain parentage</t>
        </is>
      </c>
      <c r="D7" s="39" t="inlineStr">
        <is>
          <t>French Protestant registers and contemporary migration/land records</t>
        </is>
      </c>
      <c r="E7" s="39" t="inlineStr">
        <is>
          <t>The claimed French parentage is traditional, not demonstrated</t>
        </is>
      </c>
    </row>
    <row r="8">
      <c r="A8" s="39" t="inlineStr">
        <is>
          <t>Medium</t>
        </is>
      </c>
      <c r="B8" s="39" t="inlineStr">
        <is>
          <t>Charles and Elizabeth McCormick</t>
        </is>
      </c>
      <c r="C8" s="39" t="inlineStr">
        <is>
          <t>Identify their parents and Elizabeth’s maiden name</t>
        </is>
      </c>
      <c r="D8" s="39" t="inlineStr">
        <is>
          <t>Bullitt County marriage, probate, tax, land, and forge records</t>
        </is>
      </c>
      <c r="E8" s="39" t="inlineStr">
        <is>
          <t>Extends the core McCormick surname branch</t>
        </is>
      </c>
    </row>
    <row r="9">
      <c r="A9" s="39" t="inlineStr">
        <is>
          <t>Medium</t>
        </is>
      </c>
      <c r="B9" s="39" t="inlineStr">
        <is>
          <t>Sophronia Simmons</t>
        </is>
      </c>
      <c r="C9" s="39" t="inlineStr">
        <is>
          <t>Identify parents</t>
        </is>
      </c>
      <c r="D9" s="39" t="inlineStr">
        <is>
          <t>Marriage bond, probate, land adjacency, and Simmons household reconstruction</t>
        </is>
      </c>
      <c r="E9" s="39" t="inlineStr">
        <is>
          <t>Nearby households are suggestive but unproved</t>
        </is>
      </c>
    </row>
    <row r="10">
      <c r="A10" s="39" t="inlineStr">
        <is>
          <t>Medium</t>
        </is>
      </c>
      <c r="B10" s="39" t="inlineStr">
        <is>
          <t>Sarah M. Willitts</t>
        </is>
      </c>
      <c r="C10" s="39" t="inlineStr">
        <is>
          <t>Identify parents</t>
        </is>
      </c>
      <c r="D10" s="39" t="inlineStr">
        <is>
          <t>1849 marriage record, cemetery and death records, Oakland County histories</t>
        </is>
      </c>
      <c r="E10" s="39" t="inlineStr">
        <is>
          <t>The Lee pedigree currently stops on her side</t>
        </is>
      </c>
    </row>
    <row r="11">
      <c r="A11" s="39" t="inlineStr">
        <is>
          <t>Medium</t>
        </is>
      </c>
      <c r="B11" s="39" t="inlineStr">
        <is>
          <t>John Wesley Slaughter / Sarah C. Bush</t>
        </is>
      </c>
      <c r="C11" s="39" t="inlineStr">
        <is>
          <t>Extend both parents</t>
        </is>
      </c>
      <c r="D11" s="39" t="inlineStr">
        <is>
          <t>Alabama census, marriage, probate, cemetery, and land records</t>
        </is>
      </c>
      <c r="E11" s="39" t="inlineStr">
        <is>
          <t>Would deepen the Slaughter and Bush surname lines</t>
        </is>
      </c>
    </row>
    <row r="12">
      <c r="A12" s="39" t="inlineStr">
        <is>
          <t>Medium</t>
        </is>
      </c>
      <c r="B12" s="39" t="inlineStr">
        <is>
          <t>Lee English generations</t>
        </is>
      </c>
      <c r="C12" s="39" t="inlineStr">
        <is>
          <t>Validate 1500s parish links</t>
        </is>
      </c>
      <c r="D12" s="39" t="inlineStr">
        <is>
          <t>Review the individual citations behind the FamousKin family-group pages</t>
        </is>
      </c>
      <c r="E12" s="39" t="inlineStr">
        <is>
          <t>Needed before lineage-society or publication use</t>
        </is>
      </c>
    </row>
    <row r="13">
      <c r="A13" s="39" t="inlineStr">
        <is>
          <t>Low</t>
        </is>
      </c>
      <c r="B13" s="39" t="inlineStr">
        <is>
          <t>DNA evidence</t>
        </is>
      </c>
      <c r="C13" s="39" t="inlineStr">
        <is>
          <t>Target unresolved female lines</t>
        </is>
      </c>
      <c r="D13" s="39" t="inlineStr">
        <is>
          <t>Autosomal clustering with documented cousins from Ohmer, Willitts, Moore, and Simmons lines</t>
        </is>
      </c>
      <c r="E13" s="39" t="inlineStr">
        <is>
          <t>Can prioritize documentary searches without replacing records</t>
        </is>
      </c>
    </row>
    <row r="14">
      <c r="A14" s="39" t="inlineStr">
        <is>
          <t>Collateral: Bruce Muller descendants</t>
        </is>
      </c>
      <c r="B14" s="39" t="inlineStr">
        <is>
          <t>No spouse or children located in the reviewed chart/records.</t>
        </is>
      </c>
      <c r="C14" s="39" t="inlineStr">
        <is>
          <t>Obituary, probate, cemetery record, family confirmation.</t>
        </is>
      </c>
      <c r="D14" s="39" t="inlineStr">
        <is>
          <t>High</t>
        </is>
      </c>
      <c r="E14" s="39" t="inlineStr">
        <is>
          <t>Do not convert this negative search result into “no children.”</t>
        </is>
      </c>
    </row>
    <row r="15">
      <c r="A15" s="39" t="inlineStr">
        <is>
          <t>Collateral: Charles McCormick identity/descendants</t>
        </is>
      </c>
      <c r="B15" s="39" t="inlineStr">
        <is>
          <t>Full name, vital dates and any children remain unresolved.</t>
        </is>
      </c>
      <c r="C15" s="39" t="inlineStr">
        <is>
          <t>Obituary, probate/trust documents, Navy service record, California vital indexes.</t>
        </is>
      </c>
      <c r="D15" s="39" t="inlineStr">
        <is>
          <t>High</t>
        </is>
      </c>
      <c r="E15" s="39" t="inlineStr">
        <is>
          <t>Couple with Judy is confirmed; descendant question remains open.</t>
        </is>
      </c>
    </row>
    <row r="16">
      <c r="A16" s="39" t="inlineStr">
        <is>
          <t>Collateral: Mary Gene Chaffee household corroboration</t>
        </is>
      </c>
      <c r="B16" s="39" t="inlineStr">
        <is>
          <t>1998 chart supplies Linda, Lori and James.</t>
        </is>
      </c>
      <c r="C16" s="39" t="inlineStr">
        <is>
          <t>Census/obituary copies for Mary Gene or James Chaffee.</t>
        </is>
      </c>
      <c r="D16" s="39" t="inlineStr">
        <is>
          <t>Medium</t>
        </is>
      </c>
      <c r="E16" s="39" t="inlineStr">
        <is>
          <t>Earlier “Janet” transcription corrected to James.</t>
        </is>
      </c>
    </row>
    <row r="17">
      <c r="A17" s="39" t="inlineStr">
        <is>
          <t>Collateral: Celeste surname</t>
        </is>
      </c>
      <c r="B17" s="39" t="inlineStr">
        <is>
          <t>Only first name available on 1998 chart.</t>
        </is>
      </c>
      <c r="C17" s="39" t="inlineStr">
        <is>
          <t>Marriage notice or family confirmation for John Swick.</t>
        </is>
      </c>
      <c r="D17" s="39" t="inlineStr">
        <is>
          <t>Low</t>
        </is>
      </c>
      <c r="E17" s="39" t="inlineStr">
        <is>
          <t>Keep surname blank until sourced.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30" customWidth="1" min="3" max="3"/>
    <col width="60" customWidth="1" min="4" max="4"/>
    <col width="62" customWidth="1" min="5" max="5"/>
  </cols>
  <sheetData>
    <row r="1">
      <c r="A1" s="50" t="inlineStr">
        <is>
          <t>Source ID</t>
        </is>
      </c>
      <c r="B1" s="50" t="inlineStr">
        <is>
          <t>Title</t>
        </is>
      </c>
      <c r="C1" s="50" t="inlineStr">
        <is>
          <t>Type</t>
        </is>
      </c>
      <c r="D1" s="50" t="inlineStr">
        <is>
          <t>URL</t>
        </is>
      </c>
      <c r="E1" s="50" t="inlineStr">
        <is>
          <t>Use / caution</t>
        </is>
      </c>
    </row>
    <row r="2">
      <c r="A2" s="39" t="inlineStr">
        <is>
          <t>S1</t>
        </is>
      </c>
      <c r="B2" s="39" t="inlineStr">
        <is>
          <t>Statement supplied by Fredric Muller Vollmer</t>
        </is>
      </c>
      <c r="C2" s="39" t="inlineStr">
        <is>
          <t>Private family statement</t>
        </is>
      </c>
      <c r="D2" s="39" t="str"/>
      <c r="E2" s="39" t="inlineStr">
        <is>
          <t>Anchors Fredric, Jan Muller Vollmer, Anne Muller/McCormick, Eloise McCormick, and Charles Ellsworth McCormick II.</t>
        </is>
      </c>
    </row>
    <row r="3">
      <c r="A3" s="39" t="inlineStr">
        <is>
          <t>S2</t>
        </is>
      </c>
      <c r="B3" s="39" t="inlineStr">
        <is>
          <t>1998 Muller Family Tree by Arthur John "Art" Muller</t>
        </is>
      </c>
      <c r="C3" s="39" t="inlineStr">
        <is>
          <t>Private family chart, forwarded by Jan Muller Vollmer in 2023</t>
        </is>
      </c>
      <c r="D3" s="39" t="str"/>
      <c r="E3" s="39" t="inlineStr">
        <is>
          <t>Primary roadmap for the Muller, Vollrath, Kleitz, Wüst, and Lee relationships. Jan described it as "pretty accurate" but noted omissions.</t>
        </is>
      </c>
    </row>
    <row r="4">
      <c r="A4" s="39" t="inlineStr">
        <is>
          <t>S3</t>
        </is>
      </c>
      <c r="B4" s="39" t="inlineStr">
        <is>
          <t>Jan Muller Vollmer family correspondence about the Lee family</t>
        </is>
      </c>
      <c r="C4" s="39" t="inlineStr">
        <is>
          <t>Private family correspondence</t>
        </is>
      </c>
      <c r="D4" s="39" t="str"/>
      <c r="E4" s="39" t="inlineStr">
        <is>
          <t>Identifies Elma Lee Muller as Arthur John Muller’s mother, her brother Elmer, and family locations in Michigan.</t>
        </is>
      </c>
    </row>
    <row r="5">
      <c r="A5" s="39" t="inlineStr">
        <is>
          <t>S4</t>
        </is>
      </c>
      <c r="B5" s="39" t="inlineStr">
        <is>
          <t>Irene Slaughter Cooke DAR lineage worksheet</t>
        </is>
      </c>
      <c r="C5" s="39" t="inlineStr">
        <is>
          <t>Private lineage worksheet, forwarded by Jan Muller Vollmer</t>
        </is>
      </c>
      <c r="D5" s="39" t="str"/>
      <c r="E5" s="39" t="inlineStr">
        <is>
          <t>Documents the Rives descent from Lula Rives through Green Rives and records the traditional line to William Rives of Oxfordshire.</t>
        </is>
      </c>
    </row>
    <row r="6">
      <c r="A6" s="39" t="inlineStr">
        <is>
          <t>S5</t>
        </is>
      </c>
      <c r="B6" s="39" t="inlineStr">
        <is>
          <t>Arthur John Muller Collection, Veterans History Project</t>
        </is>
      </c>
      <c r="C6" s="39" t="inlineStr">
        <is>
          <t>Library of Congress collection record</t>
        </is>
      </c>
      <c r="D6" s="39" t="inlineStr">
        <is>
          <t>https://www.loc.gov/item/afc2001001.95688/</t>
        </is>
      </c>
      <c r="E6" s="39" t="inlineStr">
        <is>
          <t>Confirms Arthur John Muller’s Army service dates, 1943-1945, and preserves his first-person materials.</t>
        </is>
      </c>
    </row>
    <row r="7">
      <c r="A7" s="39" t="inlineStr">
        <is>
          <t>S6</t>
        </is>
      </c>
      <c r="B7" s="39" t="inlineStr">
        <is>
          <t>Hubbard Stone Lee family group</t>
        </is>
      </c>
      <c r="C7" s="39" t="inlineStr">
        <is>
          <t>Sourced compiled genealogy</t>
        </is>
      </c>
      <c r="D7" s="39" t="inlineStr">
        <is>
          <t>https://famouskin.com/family-group.php?ahnum=4&amp;name=181960+harry+pearl+lee</t>
        </is>
      </c>
      <c r="E7" s="39" t="inlineStr">
        <is>
          <t>Names Hubbard’s parents, wife, and children, including Elmer Ellsworth Lee; cites Michigan vital records and NEHGR.</t>
        </is>
      </c>
    </row>
    <row r="8">
      <c r="A8" s="39" t="inlineStr">
        <is>
          <t>S7</t>
        </is>
      </c>
      <c r="B8" s="39" t="inlineStr">
        <is>
          <t>Harry Pearl Lee Ahnentafel ancestor chart</t>
        </is>
      </c>
      <c r="C8" s="39" t="inlineStr">
        <is>
          <t>Sourced compiled genealogy</t>
        </is>
      </c>
      <c r="D8" s="39" t="inlineStr">
        <is>
          <t>https://famouskin.com/ahnentafel.php?name=181960+harry+pearl+lee</t>
        </is>
      </c>
      <c r="E8" s="39" t="inlineStr">
        <is>
          <t>Provides the colonial Connecticut and English-parish ancestry behind Hubbard Stone Lee. Individual family-group pages cite record sets and publications.</t>
        </is>
      </c>
    </row>
    <row r="9">
      <c r="A9" s="39" t="inlineStr">
        <is>
          <t>S8</t>
        </is>
      </c>
      <c r="B9" s="39" t="inlineStr">
        <is>
          <t>A Record of the Agee Family, P. M. Agee</t>
        </is>
      </c>
      <c r="C9" s="39" t="inlineStr">
        <is>
          <t>Published family history (1937)</t>
        </is>
      </c>
      <c r="D9" s="39" t="inlineStr">
        <is>
          <t>https://archive.org/stream/recordofageefami00agee_0/recordofageefami00agee_0_djvu.txt</t>
        </is>
      </c>
      <c r="E9" s="39" t="inlineStr">
        <is>
          <t>Connects Elvie A. Slaughter, Lula Rives, Florence Estelle Agee, and the Agee line to Mathieu Agee; the compiler expressly acknowledges possible errors.</t>
        </is>
      </c>
    </row>
    <row r="10">
      <c r="A10" s="39" t="inlineStr">
        <is>
          <t>S9</t>
        </is>
      </c>
      <c r="B10" s="39" t="inlineStr">
        <is>
          <t>Robert Calhoun Rives profile</t>
        </is>
      </c>
      <c r="C10" s="39" t="inlineStr">
        <is>
          <t>The Reeves Project, sourced collaborative genealogy</t>
        </is>
      </c>
      <c r="D10" s="39" t="inlineStr">
        <is>
          <t>https://thereevesproject.org/data/tiki-index.php?page=Rives_Robert_Calhoun_RR128ID314</t>
        </is>
      </c>
      <c r="E10" s="39" t="inlineStr">
        <is>
          <t>Uses pension, census, and published Rives materials for Robert Calhoun Rives and his family.</t>
        </is>
      </c>
    </row>
    <row r="11">
      <c r="A11" s="39" t="inlineStr">
        <is>
          <t>S10</t>
        </is>
      </c>
      <c r="B11" s="39" t="inlineStr">
        <is>
          <t>Green Rives profile</t>
        </is>
      </c>
      <c r="C11" s="39" t="inlineStr">
        <is>
          <t>The Reeves Project, sourced collaborative genealogy</t>
        </is>
      </c>
      <c r="D11" s="39" t="inlineStr">
        <is>
          <t>https://thereevesproject.org/data/tiki-index.php?page=Rives_Green_RR94ID24&amp;page_ref_id=8919&amp;structure=FamilyOf_Ryves_Robert_RR1ID1</t>
        </is>
      </c>
      <c r="E11" s="39" t="inlineStr">
        <is>
          <t>Documents Green Rives, Mary Ridley Jones, and Green’s parents William Rives and Lucy Wyche.</t>
        </is>
      </c>
    </row>
    <row r="12">
      <c r="A12" s="39" t="inlineStr">
        <is>
          <t>S11</t>
        </is>
      </c>
      <c r="B12" s="39" t="inlineStr">
        <is>
          <t>William Rives profile</t>
        </is>
      </c>
      <c r="C12" s="39" t="inlineStr">
        <is>
          <t>The Reeves Project, sourced collaborative genealogy</t>
        </is>
      </c>
      <c r="D12" s="39" t="inlineStr">
        <is>
          <t>https://thereevesproject.org/data/tiki-index.php?page=Rives_William_RR88ID19</t>
        </is>
      </c>
      <c r="E12" s="39" t="inlineStr">
        <is>
          <t>Documents William Rives, Lucy Wyche, and the relationship to Timothy Rives.</t>
        </is>
      </c>
    </row>
    <row r="13">
      <c r="A13" s="39" t="inlineStr">
        <is>
          <t>S12</t>
        </is>
      </c>
      <c r="B13" s="39" t="inlineStr">
        <is>
          <t>Timothy Rives profile</t>
        </is>
      </c>
      <c r="C13" s="39" t="inlineStr">
        <is>
          <t>The Reeves Project, sourced collaborative genealogy</t>
        </is>
      </c>
      <c r="D13" s="39" t="inlineStr">
        <is>
          <t>https://thereevesproject.org/data/tiki-index.php?page=Rives_Timothy_RR85ID12</t>
        </is>
      </c>
      <c r="E13" s="39" t="inlineStr">
        <is>
          <t>Documents Timothy Rives and discusses the uncertain identity of his wife Hester and earlier Rives generations.</t>
        </is>
      </c>
    </row>
    <row r="14">
      <c r="A14" s="39" t="inlineStr">
        <is>
          <t>S13</t>
        </is>
      </c>
      <c r="B14" s="39" t="inlineStr">
        <is>
          <t>William Ryves immigrant profile and lineage discussion</t>
        </is>
      </c>
      <c r="C14" s="39" t="inlineStr">
        <is>
          <t>Collaborative genealogy with source discussion</t>
        </is>
      </c>
      <c r="D14" s="39" t="inlineStr">
        <is>
          <t>https://www.werelate.org/wiki/Person:William_Ryves_(1)</t>
        </is>
      </c>
      <c r="E14" s="39" t="inlineStr">
        <is>
          <t>Explains disagreement over whether William or Timothy was the earliest immigrant and why the c.1636 English connection remains disputed.</t>
        </is>
      </c>
    </row>
    <row r="15">
      <c r="A15" s="39" t="inlineStr">
        <is>
          <t>S14</t>
        </is>
      </c>
      <c r="B15" s="39" t="inlineStr">
        <is>
          <t>Christopher O’Brien lineage</t>
        </is>
      </c>
      <c r="C15" s="39" t="inlineStr">
        <is>
          <t>Bullitt County History research article</t>
        </is>
      </c>
      <c r="D15" s="39" t="inlineStr">
        <is>
          <t>https://bullittcountyhistory.org/bchistory/christopher_obrien.html</t>
        </is>
      </c>
      <c r="E15" s="39" t="inlineStr">
        <is>
          <t>Connects Martha Ann O’Brien McCormick to Christopher O’Brien and Sophronia Simmons.</t>
        </is>
      </c>
    </row>
    <row r="16">
      <c r="A16" s="39" t="inlineStr">
        <is>
          <t>S15</t>
        </is>
      </c>
      <c r="B16" s="39" t="inlineStr">
        <is>
          <t>Annotated Bullitt County 1850 census</t>
        </is>
      </c>
      <c r="C16" s="39" t="inlineStr">
        <is>
          <t>Census transcription and annotation</t>
        </is>
      </c>
      <c r="D16" s="39" t="inlineStr">
        <is>
          <t>https://bullittcountyhistory.org/bchistory/bd/50-06-09.html</t>
        </is>
      </c>
      <c r="E16" s="39" t="inlineStr">
        <is>
          <t>Shows Charles and Elizabeth McCormick with son Edward in Bullitt County in 1850.</t>
        </is>
      </c>
    </row>
    <row r="17">
      <c r="A17" s="39" t="inlineStr">
        <is>
          <t>S16</t>
        </is>
      </c>
      <c r="B17" s="39" t="inlineStr">
        <is>
          <t>Shepherdsville Pioneer Graveyard historical marker inventory</t>
        </is>
      </c>
      <c r="C17" s="39" t="inlineStr">
        <is>
          <t>Cemetery and local-history record</t>
        </is>
      </c>
      <c r="D17" s="39" t="inlineStr">
        <is>
          <t>https://bullittcountyhistory.org/hmarkers/sheppioneergraveyard.html</t>
        </is>
      </c>
      <c r="E17" s="39" t="inlineStr">
        <is>
          <t>Supports the dates and marriage of Edward H. McCormick and Martha Ann O’Brien.</t>
        </is>
      </c>
    </row>
    <row r="18">
      <c r="A18" s="39" t="inlineStr">
        <is>
          <t>S17</t>
        </is>
      </c>
      <c r="B18" s="39" t="inlineStr">
        <is>
          <t>David Franklin Brooks / Brooks family biography</t>
        </is>
      </c>
      <c r="C18" s="39" t="inlineStr">
        <is>
          <t>Bullitt County History transcription of county biography</t>
        </is>
      </c>
      <c r="D18" s="39" t="inlineStr">
        <is>
          <t>https://bullittcountyhistory.org/bchistory/dfbrooks.html</t>
        </is>
      </c>
      <c r="E18" s="39" t="inlineStr">
        <is>
          <t>Documents Solomon Neal Brooks, Elizabeth Field, and their parentage; conflicts with other records about Solomon’s mother.</t>
        </is>
      </c>
    </row>
    <row r="19">
      <c r="A19" s="39" t="inlineStr">
        <is>
          <t>S18</t>
        </is>
      </c>
      <c r="B19" s="39" t="inlineStr">
        <is>
          <t>Joseph A. Brooks 1845 will</t>
        </is>
      </c>
      <c r="C19" s="39" t="inlineStr">
        <is>
          <t>Bullitt County will transcription</t>
        </is>
      </c>
      <c r="D19" s="39" t="inlineStr">
        <is>
          <t>https://bullittcountyhistory.org/bchistory/josephabrooks-will.html</t>
        </is>
      </c>
      <c r="E19" s="39" t="inlineStr">
        <is>
          <t>Names wife Rebecca and children including Solomon N. Brooks. The will also documents enslaved people held by the estate.</t>
        </is>
      </c>
    </row>
    <row r="20">
      <c r="A20" s="39" t="inlineStr">
        <is>
          <t>S19</t>
        </is>
      </c>
      <c r="B20" s="39" t="inlineStr">
        <is>
          <t>Joseph Brooks 1818 will</t>
        </is>
      </c>
      <c r="C20" s="39" t="inlineStr">
        <is>
          <t>Bullitt County will transcription</t>
        </is>
      </c>
      <c r="D20" s="39" t="inlineStr">
        <is>
          <t>https://bullittcountyhistory.org/bchistory/joseph-brooks-will.html</t>
        </is>
      </c>
      <c r="E20" s="39" t="inlineStr">
        <is>
          <t>Names wife Nancy and son Joseph Anderson Brooks. The will also documents enslaved people held by the estate.</t>
        </is>
      </c>
    </row>
    <row r="21">
      <c r="A21" s="39" t="inlineStr">
        <is>
          <t>S20</t>
        </is>
      </c>
      <c r="B21" s="39" t="inlineStr">
        <is>
          <t>Fairfield County Harrison research and equity-court abstracts</t>
        </is>
      </c>
      <c r="C21" s="39" t="inlineStr">
        <is>
          <t>Genealogical society research PDF using court records</t>
        </is>
      </c>
      <c r="D21" s="39" t="inlineStr">
        <is>
          <t>https://fairfieldgenealogysociety.org/Members_Only/Families/Harrison/Documents/Harrison%20Finding%20Your%20Roots%20T.V.%20Show%20Research.pdf</t>
        </is>
      </c>
      <c r="E21" s="39" t="inlineStr">
        <is>
          <t>Equity records identify Amelia Harrison as daughter of William Harrison and Ann Perry, granddaughter of Reuben Harrison, and granddaughter of James Perry on her mother’s side.</t>
        </is>
      </c>
    </row>
    <row r="22">
      <c r="A22" s="39" t="inlineStr">
        <is>
          <t>S21</t>
        </is>
      </c>
      <c r="B22" s="39" t="inlineStr">
        <is>
          <t>Kastler Families database: Lambert Kleitz and Elizabeth Wüst family</t>
        </is>
      </c>
      <c r="C22" s="39" t="inlineStr">
        <is>
          <t>Compiled family database</t>
        </is>
      </c>
      <c r="D22" s="39" t="inlineStr">
        <is>
          <t>https://kastler.net/wp-content/plugins/genealone-wp/pdf.php?gnln_id=161&amp;gnln_page=place</t>
        </is>
      </c>
      <c r="E22" s="39" t="inlineStr">
        <is>
          <t>Lists Lambert Kleitz, Elizabeth Wüst, their children including Henrietta, and Elizabeth’s father Jacob Wüst.</t>
        </is>
      </c>
    </row>
    <row r="23">
      <c r="A23" s="39" t="inlineStr">
        <is>
          <t>S22</t>
        </is>
      </c>
      <c r="B23" s="39" t="inlineStr">
        <is>
          <t>Charles Ellsworth McCormick (1862-1911)</t>
        </is>
      </c>
      <c r="C23" s="39" t="inlineStr">
        <is>
          <t>FamilySearch compiled profile referencing vital records</t>
        </is>
      </c>
      <c r="D23" s="39" t="inlineStr">
        <is>
          <t>https://ancestors.familysearch.org/en/L2X2-7HQ/charles-ellsworth-mccormick-1862-1911</t>
        </is>
      </c>
      <c r="E23" s="39" t="inlineStr">
        <is>
          <t>Supports birth, death, and marriage details for Charles Ellsworth McCormick I.</t>
        </is>
      </c>
    </row>
    <row r="24">
      <c r="A24" s="39" t="inlineStr">
        <is>
          <t>S23</t>
        </is>
      </c>
      <c r="B24" s="39" t="inlineStr">
        <is>
          <t>Isaac Bush Slaughter Sr. profile</t>
        </is>
      </c>
      <c r="C24" s="39" t="inlineStr">
        <is>
          <t>FamilySearch compiled profile</t>
        </is>
      </c>
      <c r="D24" s="39" t="inlineStr">
        <is>
          <t>https://ancestors.familysearch.org/en/LBPF-BPB/isaac-bush-slaughter-sr-1857-1937</t>
        </is>
      </c>
      <c r="E24" s="39" t="inlineStr">
        <is>
          <t>Supports dates and parents for Isaac Bush Slaughter Sr.; used with the DAR worksheet and Agee family history.</t>
        </is>
      </c>
    </row>
    <row r="25">
      <c r="A25" s="39" t="inlineStr">
        <is>
          <t>S24</t>
        </is>
      </c>
      <c r="B25" s="39" t="inlineStr">
        <is>
          <t>Modern Muller/Lee vital-record indexes</t>
        </is>
      </c>
      <c r="C25" s="39" t="inlineStr">
        <is>
          <t>Ancestry public index snippets and Michigan death-record references</t>
        </is>
      </c>
      <c r="D25" s="39" t="inlineStr">
        <is>
          <t>https://www.ancestry.com/genealogy/records/results?firstName=elms&amp;geo-lang=de-DE&amp;lastName=lee</t>
        </is>
      </c>
      <c r="E25" s="39" t="inlineStr">
        <is>
          <t>Supports Elma Anna Lee’s dates and identifies Elmer Ellsworth Lee and Mary Wilhelmina Ohmer as her parents.</t>
        </is>
      </c>
    </row>
    <row r="26">
      <c r="A26" s="39" t="inlineStr">
        <is>
          <t>S25</t>
        </is>
      </c>
      <c r="B26" s="39" t="inlineStr">
        <is>
          <t>Charles Ellsworth McCormick II public index</t>
        </is>
      </c>
      <c r="C26" s="39" t="inlineStr">
        <is>
          <t>Ancestry public index snippet</t>
        </is>
      </c>
      <c r="D26" s="39" t="inlineStr">
        <is>
          <t>https://www.ancestry.com/genealogy/records/results?firstName=charles&amp;lastName=mccormick&amp;page=2</t>
        </is>
      </c>
      <c r="E26" s="39" t="inlineStr">
        <is>
          <t>Supports Charles Ellsworth McCormick II’s birth and death dates.</t>
        </is>
      </c>
    </row>
    <row r="27">
      <c r="A27" s="39" t="inlineStr">
        <is>
          <t>CF1</t>
        </is>
      </c>
      <c r="B27" s="39" t="inlineStr">
        <is>
          <t>Immediate-family correspondence and family-authored documents</t>
        </is>
      </c>
      <c r="C27" s="39" t="inlineStr">
        <is>
          <t>Private family evidence</t>
        </is>
      </c>
      <c r="D27" s="39" t="inlineStr"/>
      <c r="E27" s="39" t="inlineStr">
        <is>
          <t>Anchors Jan, Dick, Fredric and Annie; living dates omitted.</t>
        </is>
      </c>
    </row>
    <row r="28">
      <c r="A28" s="39" t="inlineStr">
        <is>
          <t>CF2</t>
        </is>
      </c>
      <c r="B28" s="39" t="inlineStr">
        <is>
          <t>1998 Art Muller chart plus Jan’s recollections of Bruce</t>
        </is>
      </c>
      <c r="C28" s="39" t="inlineStr">
        <is>
          <t>Family-authored chart and direct testimony</t>
        </is>
      </c>
      <c r="D28" s="39" t="inlineStr"/>
      <c r="E28" s="39" t="inlineStr">
        <is>
          <t>Supports Art/Anne children Bruce and Jan; chart does not show descendants for Bruce.</t>
        </is>
      </c>
    </row>
    <row r="29">
      <c r="A29" s="39" t="inlineStr">
        <is>
          <t>CF3</t>
        </is>
      </c>
      <c r="B29" s="39" t="inlineStr">
        <is>
          <t>1998 chart and 2023 Muller reunion correspondence</t>
        </is>
      </c>
      <c r="C29" s="39" t="inlineStr">
        <is>
          <t>Family-authored chart and contemporary correspondence</t>
        </is>
      </c>
      <c r="D29" s="39" t="inlineStr"/>
      <c r="E29" s="39" t="inlineStr">
        <is>
          <t>Supports Mary Gene/James Chaffee household; later network corroborates Lori and Jim/James. Correct chart transcription is James.</t>
        </is>
      </c>
    </row>
    <row r="30">
      <c r="A30" s="39" t="inlineStr">
        <is>
          <t>CF4</t>
        </is>
      </c>
      <c r="B30" s="39" t="inlineStr">
        <is>
          <t>Kathy Werblo–Jan Muller correspondence, 1955 photo label, 2022 cousin update</t>
        </is>
      </c>
      <c r="C30" s="39" t="inlineStr">
        <is>
          <t>Direct cousin testimony and family image</t>
        </is>
      </c>
      <c r="D30" s="39" t="inlineStr"/>
      <c r="E30" s="39" t="inlineStr">
        <is>
          <t>Independently corroborates Jane/Howard Swick branch and Jan–Kathy cousin relationship.</t>
        </is>
      </c>
    </row>
    <row r="31">
      <c r="A31" s="39" t="inlineStr">
        <is>
          <t>CF5</t>
        </is>
      </c>
      <c r="B31" s="39" t="inlineStr">
        <is>
          <t>McCormick sibling-family correspondence and inherited family documents</t>
        </is>
      </c>
      <c r="C31" s="39" t="inlineStr">
        <is>
          <t>Direct family evidence</t>
        </is>
      </c>
      <c r="D31" s="39" t="inlineStr"/>
      <c r="E31" s="39" t="inlineStr">
        <is>
          <t>Reconstructs children of Charles II and Eloise as Anne, Philip, Charles and Gwen; used with public records where available.</t>
        </is>
      </c>
    </row>
    <row r="32">
      <c r="A32" s="39" t="inlineStr">
        <is>
          <t>CF6</t>
        </is>
      </c>
      <c r="B32" s="39" t="inlineStr">
        <is>
          <t>Jan Muller Vollmer email “Phil” (21 Feb 2021)</t>
        </is>
      </c>
      <c r="C32" s="39" t="inlineStr">
        <is>
          <t>Direct family statement</t>
        </is>
      </c>
      <c r="D32" s="39" t="inlineStr"/>
      <c r="E32" s="39" t="inlineStr">
        <is>
          <t>Explicitly states Philip is Anne/Nana’s brother and Sandy, Ross and Tina are his children.</t>
        </is>
      </c>
    </row>
    <row r="33">
      <c r="A33" s="39" t="inlineStr">
        <is>
          <t>CF7</t>
        </is>
      </c>
      <c r="B33" s="39" t="inlineStr">
        <is>
          <t>McCormick family correspondence, 2018–2026</t>
        </is>
      </c>
      <c r="C33" s="39" t="inlineStr">
        <is>
          <t>Contemporary direct family evidence</t>
        </is>
      </c>
      <c r="D33" s="39" t="inlineStr"/>
      <c r="E33" s="39" t="inlineStr">
        <is>
          <t>Corroborates spouses Judy, John Hill and Carrie and maintains the sibling-family network.</t>
        </is>
      </c>
    </row>
    <row r="34">
      <c r="A34" s="39" t="inlineStr">
        <is>
          <t>CF8</t>
        </is>
      </c>
      <c r="B34" s="39" t="inlineStr">
        <is>
          <t>Jan correspondence concerning Charles’s Navy memorial and Judy’s trust</t>
        </is>
      </c>
      <c r="C34" s="39" t="inlineStr">
        <is>
          <t>Direct family evidence</t>
        </is>
      </c>
      <c r="D34" s="39" t="inlineStr"/>
      <c r="E34" s="39" t="inlineStr">
        <is>
          <t>Supports Charles/Judy couple; exact full name and descendants remain unresolved.</t>
        </is>
      </c>
    </row>
    <row r="35">
      <c r="A35" s="39" t="inlineStr">
        <is>
          <t>CF9</t>
        </is>
      </c>
      <c r="B35" s="39" t="inlineStr">
        <is>
          <t>Gwendolyn Hull message signed “Aunt Gwen” and sibling-family correspondence</t>
        </is>
      </c>
      <c r="C35" s="39" t="inlineStr">
        <is>
          <t>Direct family evidence</t>
        </is>
      </c>
      <c r="D35" s="39" t="inlineStr"/>
      <c r="E35" s="39" t="inlineStr">
        <is>
          <t>Supports Gwen’s aunt role and placement in the McCormick sibling generation.</t>
        </is>
      </c>
    </row>
    <row r="36">
      <c r="A36" s="39" t="inlineStr">
        <is>
          <t>CF10</t>
        </is>
      </c>
      <c r="B36" s="39" t="inlineStr">
        <is>
          <t>Gwen and Jim Hull 2022 family letter</t>
        </is>
      </c>
      <c r="C36" s="39" t="inlineStr">
        <is>
          <t>Family-authored household letter</t>
        </is>
      </c>
      <c r="D36" s="39" t="inlineStr"/>
      <c r="E36" s="39" t="inlineStr">
        <is>
          <t>Signed “Gwen, Jim and Mark” and discusses Carey nearby; household corroboration.</t>
        </is>
      </c>
    </row>
    <row r="37">
      <c r="A37" s="39" t="inlineStr">
        <is>
          <t>CF11</t>
        </is>
      </c>
      <c r="B37" s="39" t="inlineStr">
        <is>
          <t>Carey Zaura message to her father, 11 Jul 2025</t>
        </is>
      </c>
      <c r="C37" s="39" t="inlineStr">
        <is>
          <t>Direct child-to-parent statement</t>
        </is>
      </c>
      <c r="D37" s="39" t="inlineStr"/>
      <c r="E37" s="39" t="inlineStr">
        <is>
          <t>Carey calls herself his “one and only daughter” and asks him to read it to Mom and Mark.</t>
        </is>
      </c>
    </row>
    <row r="38">
      <c r="A38" s="39" t="inlineStr">
        <is>
          <t>P1</t>
        </is>
      </c>
      <c r="B38" s="39" t="inlineStr">
        <is>
          <t>Philip Brooks McCormick obituary/memorial</t>
        </is>
      </c>
      <c r="C38" s="39" t="inlineStr">
        <is>
          <t>Public obituary</t>
        </is>
      </c>
      <c r="D38" s="39" t="inlineStr">
        <is>
          <t>https://www.legacy.com/us/obituaries/latimes/name/philip-mccormick-obituary?id=6809282</t>
        </is>
      </c>
      <c r="E38" s="39" t="inlineStr">
        <is>
          <t>Public identity/death corroboration for Philip Brooks McCormick.</t>
        </is>
      </c>
    </row>
    <row r="39">
      <c r="A39" s="39" t="inlineStr">
        <is>
          <t>P2</t>
        </is>
      </c>
      <c r="B39" s="39" t="inlineStr">
        <is>
          <t>Betsy Ross–Philip Brooks McCormick engagement notice</t>
        </is>
      </c>
      <c r="C39" s="39" t="inlineStr">
        <is>
          <t>Contemporary newspaper notice</t>
        </is>
      </c>
      <c r="D39" s="39" t="inlineStr">
        <is>
          <t>https://www.newspapers.com/article/the-daily-breeze-betsy-ross-and-philip-b/165847296/</t>
        </is>
      </c>
      <c r="E39" s="39" t="inlineStr">
        <is>
          <t>Public marriage/parental context for Philip and Betsy.</t>
        </is>
      </c>
    </row>
    <row r="40">
      <c r="A40" s="39" t="inlineStr">
        <is>
          <t>P3</t>
        </is>
      </c>
      <c r="B40" s="39" t="inlineStr">
        <is>
          <t>Arthur John Muller Collection, Veterans History Project</t>
        </is>
      </c>
      <c r="C40" s="39" t="inlineStr">
        <is>
          <t>Library of Congress record</t>
        </is>
      </c>
      <c r="D40" s="39" t="inlineStr">
        <is>
          <t>https://www.loc.gov/item/afc2001001.95688/</t>
        </is>
      </c>
      <c r="E40" s="39" t="inlineStr">
        <is>
          <t>Public identity and military-service anchor for Art Muller.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2026-08-30T12:13:01Z</dcterms:created>
  <dcterms:modified xmlns:dcterms="http://purl.org/dc/terms/" xmlns:xsi="http://www.w3.org/2001/XMLSchema-instance" xsi:type="dcterms:W3CDTF">2026-08-30T12:13:01Z</dcterms:modified>
</cp:coreProperties>
</file>