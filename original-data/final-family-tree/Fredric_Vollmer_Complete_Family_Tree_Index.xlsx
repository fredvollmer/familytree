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ac9e6dbc314b80" /></Relationships>
</file>

<file path=xl/workbook.xml><?xml version="1.0" encoding="utf-8"?>
<x:workbook xmlns:x="http://schemas.openxmlformats.org/spreadsheetml/2006/main">
  <x:sheets>
    <x:sheet xmlns:r="http://schemas.openxmlformats.org/officeDocument/2006/relationships" name="Read Me" sheetId="1" r:id="R313a684ad754461d"/>
    <x:sheet xmlns:r="http://schemas.openxmlformats.org/officeDocument/2006/relationships" name="Ancestor Index" sheetId="2" r:id="R2eb0ab1114804406"/>
    <x:sheet xmlns:r="http://schemas.openxmlformats.org/officeDocument/2006/relationships" name="Relationships" sheetId="3" r:id="R5173f70a21e14852"/>
    <x:sheet xmlns:r="http://schemas.openxmlformats.org/officeDocument/2006/relationships" name="Extended Family" sheetId="4" r:id="R28d380c825bd4366"/>
    <x:sheet xmlns:r="http://schemas.openxmlformats.org/officeDocument/2006/relationships" name="Household Audit" sheetId="5" r:id="R0ad3fe7585344163"/>
    <x:sheet xmlns:r="http://schemas.openxmlformats.org/officeDocument/2006/relationships" name="Correction Log" sheetId="6" r:id="R2f9211f8ce7a4ca0"/>
    <x:sheet xmlns:r="http://schemas.openxmlformats.org/officeDocument/2006/relationships" name="Research Gaps" sheetId="7" r:id="R348649b970b547a9"/>
    <x:sheet xmlns:r="http://schemas.openxmlformats.org/officeDocument/2006/relationships" name="Source Key" sheetId="8" r:id="R0ec899dba3ba421d"/>
    <x:sheet xmlns:r="http://schemas.openxmlformats.org/officeDocument/2006/relationships" name="Consolidated People" sheetId="9" r:id="R38bc328353c741b7"/>
    <x:sheet xmlns:r="http://schemas.openxmlformats.org/officeDocument/2006/relationships" name="Consolidated Families" sheetId="10" r:id="R823654161d254f64"/>
    <x:sheet xmlns:r="http://schemas.openxmlformats.org/officeDocument/2006/relationships" name="Consolidated Sources" sheetId="11" r:id="Rf58ac1acd71c4bc5"/>
    <x:sheet xmlns:r="http://schemas.openxmlformats.org/officeDocument/2006/relationships" name="Consolidated Overview" sheetId="12" r:id="Rf07c277ad4b146b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5">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2f89ed346543bc" /><Relationship Type="http://schemas.openxmlformats.org/officeDocument/2006/relationships/theme" Target="/xl/theme/theme1.xml" Id="R150d634bff864660" /><Relationship Type="http://schemas.openxmlformats.org/officeDocument/2006/relationships/sharedStrings" Target="/xl/sharedStrings.xml" Id="R67bf03bec6404619" /><Relationship Type="http://schemas.openxmlformats.org/officeDocument/2006/relationships/worksheet" Target="/xl/worksheets/sheet1.xml" Id="R313a684ad754461d" /><Relationship Type="http://schemas.openxmlformats.org/officeDocument/2006/relationships/worksheet" Target="/xl/worksheets/sheet2.xml" Id="R2eb0ab1114804406" /><Relationship Type="http://schemas.openxmlformats.org/officeDocument/2006/relationships/worksheet" Target="/xl/worksheets/sheet3.xml" Id="R5173f70a21e14852" /><Relationship Type="http://schemas.openxmlformats.org/officeDocument/2006/relationships/worksheet" Target="/xl/worksheets/sheet4.xml" Id="R28d380c825bd4366" /><Relationship Type="http://schemas.openxmlformats.org/officeDocument/2006/relationships/worksheet" Target="/xl/worksheets/sheet5.xml" Id="R0ad3fe7585344163" /><Relationship Type="http://schemas.openxmlformats.org/officeDocument/2006/relationships/worksheet" Target="/xl/worksheets/sheet6.xml" Id="R2f9211f8ce7a4ca0" /><Relationship Type="http://schemas.openxmlformats.org/officeDocument/2006/relationships/worksheet" Target="/xl/worksheets/sheet7.xml" Id="R348649b970b547a9" /><Relationship Type="http://schemas.openxmlformats.org/officeDocument/2006/relationships/worksheet" Target="/xl/worksheets/sheet8.xml" Id="R0ec899dba3ba421d" /><Relationship Type="http://schemas.openxmlformats.org/officeDocument/2006/relationships/worksheet" Target="/xl/worksheets/sheet9.xml" Id="R38bc328353c741b7" /><Relationship Type="http://schemas.openxmlformats.org/officeDocument/2006/relationships/worksheet" Target="/xl/worksheets/sheet10.xml" Id="R823654161d254f64" /><Relationship Type="http://schemas.openxmlformats.org/officeDocument/2006/relationships/worksheet" Target="/xl/worksheets/sheet11.xml" Id="Rf58ac1acd71c4bc5" /><Relationship Type="http://schemas.openxmlformats.org/officeDocument/2006/relationships/worksheet" Target="/xl/worksheets/sheet12.xml" Id="Rf07c277ad4b146bf" /></Relationships>
</file>

<file path=xl/drawings/_rels/drawing1.xml.rels>&#65279;<?xml version="1.0" encoding="utf-8"?><Relationships xmlns="http://schemas.openxmlformats.org/package/2006/relationships"><Relationship Type="http://schemas.openxmlformats.org/officeDocument/2006/relationships/chart" Target="/xl/drawings/charts/chart1.xml" Id="R6c26b32e712e4f6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c26b32e712e4f68"/>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J309" headerRowCount="1" totalsRowCount="0" totalsRowShown="0">
  <x:autoFilter ref="A1:J309"/>
  <x:tableColumns count="10">
    <x:tableColumn id="1" name="individual_id"/>
    <x:tableColumn id="2" name="name"/>
    <x:tableColumn id="3" name="sex"/>
    <x:tableColumn id="4" name="birth"/>
    <x:tableColumn id="5" name="death"/>
    <x:tableColumn id="6" name="local_ids"/>
    <x:tableColumn id="7" name="source_refs"/>
    <x:tableColumn id="8" name="notes"/>
    <x:tableColumn id="9" name="family_as_child"/>
    <x:tableColumn id="10"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F145" headerRowCount="1" totalsRowCount="0" totalsRowShown="0">
  <x:autoFilter ref="A1:F145"/>
  <x:tableColumns count="6">
    <x:tableColumn id="1" name="family_id"/>
    <x:tableColumn id="2" name="husband_id"/>
    <x:tableColumn id="3" name="wife_id"/>
    <x:tableColumn id="4" name="children_ids"/>
    <x:tableColumn id="5" name="notes"/>
    <x:tableColumn id="6"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73" headerRowCount="1" totalsRowCount="0" totalsRowShown="0">
  <x:autoFilter ref="A1:F73"/>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65b9ecbf1a84250" /></Relationships>
</file>

<file path=xl/worksheets/_rels/sheet2.xml.rels>&#65279;<?xml version="1.0" encoding="utf-8"?><Relationships xmlns="http://schemas.openxmlformats.org/package/2006/relationships"><Relationship Type="http://schemas.openxmlformats.org/officeDocument/2006/relationships/table" Target="/xl/tables/table1.xml" Id="R50aa5daa162d4221" /></Relationships>
</file>

<file path=xl/worksheets/_rels/sheet3.xml.rels>&#65279;<?xml version="1.0" encoding="utf-8"?><Relationships xmlns="http://schemas.openxmlformats.org/package/2006/relationships"><Relationship Type="http://schemas.openxmlformats.org/officeDocument/2006/relationships/table" Target="/xl/tables/table2.xml" Id="Re8ab1230449c4aef" /></Relationships>
</file>

<file path=xl/worksheets/_rels/sheet4.xml.rels>&#65279;<?xml version="1.0" encoding="utf-8"?><Relationships xmlns="http://schemas.openxmlformats.org/package/2006/relationships"><Relationship Type="http://schemas.openxmlformats.org/officeDocument/2006/relationships/table" Target="/xl/tables/table3.xml" Id="R7d563b8085d04a28" /></Relationships>
</file>

<file path=xl/worksheets/_rels/sheet5.xml.rels>&#65279;<?xml version="1.0" encoding="utf-8"?><Relationships xmlns="http://schemas.openxmlformats.org/package/2006/relationships"><Relationship Type="http://schemas.openxmlformats.org/officeDocument/2006/relationships/table" Target="/xl/tables/table4.xml" Id="R007b493cf1594025" /></Relationships>
</file>

<file path=xl/worksheets/_rels/sheet6.xml.rels>&#65279;<?xml version="1.0" encoding="utf-8"?><Relationships xmlns="http://schemas.openxmlformats.org/package/2006/relationships"><Relationship Type="http://schemas.openxmlformats.org/officeDocument/2006/relationships/table" Target="/xl/tables/table5.xml" Id="Reb8617a96a2148f8" /></Relationships>
</file>

<file path=xl/worksheets/_rels/sheet7.xml.rels>&#65279;<?xml version="1.0" encoding="utf-8"?><Relationships xmlns="http://schemas.openxmlformats.org/package/2006/relationships"><Relationship Type="http://schemas.openxmlformats.org/officeDocument/2006/relationships/table" Target="/xl/tables/table6.xml" Id="Rced9314e320846e0" /></Relationships>
</file>

<file path=xl/worksheets/_rels/sheet8.xml.rels>&#65279;<?xml version="1.0" encoding="utf-8"?><Relationships xmlns="http://schemas.openxmlformats.org/package/2006/relationships"><Relationship Type="http://schemas.openxmlformats.org/officeDocument/2006/relationships/table" Target="/xl/tables/table7.xml" Id="Rf1d8b07f49fa4f1f" /></Relationships>
</file>

<file path=xl/worksheets/_rels/sheet9.xml.rels>&#65279;<?xml version="1.0" encoding="utf-8"?><Relationships xmlns="http://schemas.openxmlformats.org/package/2006/relationships"><Relationship Type="http://schemas.openxmlformats.org/officeDocument/2006/relationships/table" Target="/xl/tables/table8.xml" Id="R075838eae354468e" /></Relationships>
</file>

<file path=xl/worksheets/_rels/sheet10.xml.rels>&#65279;<?xml version="1.0" encoding="utf-8"?><Relationships xmlns="http://schemas.openxmlformats.org/package/2006/relationships"><Relationship Type="http://schemas.openxmlformats.org/officeDocument/2006/relationships/table" Target="/xl/tables/table9.xml" Id="R814fb72d9ad448e9" /></Relationships>
</file>

<file path=xl/worksheets/_rels/sheet11.xml.rels>&#65279;<?xml version="1.0" encoding="utf-8"?><Relationships xmlns="http://schemas.openxmlformats.org/package/2006/relationships"><Relationship Type="http://schemas.openxmlformats.org/officeDocument/2006/relationships/table" Target="/xl/tables/table10.xml" Id="Ra3fdbc4ba24a4d46"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665b9ecbf1a84250"/>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50aa5daa162d4221"/>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e8ab1230449c4aef"/>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7d563b8085d04a28"/>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007b493cf1594025"/>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eb8617a96a2148f8"/>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ced9314e320846e0"/>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f1d8b07f49fa4f1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30" hidden="0" customWidth="1"/>
    <x:col min="7" max="7" width="26" hidden="0" customWidth="1"/>
    <x:col min="8" max="8" width="72" hidden="0" customWidth="1"/>
    <x:col min="9" max="9" width="18" hidden="0" customWidth="1"/>
    <x:col min="10" max="10" width="24" hidden="0" customWidth="1"/>
  </x:cols>
  <x:sheetData>
    <x:row r="1" ht="30" customHeight="1">
      <x:c r="A1" s="102" t="str">
        <x:v>individual_id</x:v>
      </x:c>
      <x:c r="B1" s="102" t="str">
        <x:v>name</x:v>
      </x:c>
      <x:c r="C1" s="102" t="str">
        <x:v>sex</x:v>
      </x:c>
      <x:c r="D1" s="102" t="str">
        <x:v>birth</x:v>
      </x:c>
      <x:c r="E1" s="102" t="str">
        <x:v>death</x:v>
      </x:c>
      <x:c r="F1" s="102" t="str">
        <x:v>local_ids</x:v>
      </x:c>
      <x:c r="G1" s="102" t="str">
        <x:v>source_refs</x:v>
      </x:c>
      <x:c r="H1" s="102" t="str">
        <x:v>notes</x:v>
      </x:c>
      <x:c r="I1" s="102" t="str">
        <x:v>family_as_child</x:v>
      </x:c>
      <x:c r="J1" s="102" t="str">
        <x:v>families_as_spouse</x:v>
      </x:c>
    </x:row>
    <x:row r="2">
      <x:c r="A2" s="97" t="str">
        <x:v>I001</x:v>
      </x:c>
      <x:c r="B2" s="97" t="str">
        <x:v>Fredric Muller Vollmer</x:v>
      </x:c>
      <x:c r="C2" s="97" t="str">
        <x:v>M</x:v>
      </x:c>
      <x:c r="D2" s="97" t="str"/>
      <x:c r="E2" s="97" t="str"/>
      <x:c r="F2" s="97" t="str">
        <x:v>EXISTING-FREDRIC-MULLER-VOLLMER</x:v>
      </x:c>
      <x:c r="G2" s="97" t="str">
        <x:v>S1</x:v>
      </x:c>
      <x:c r="H2" s="97" t="str">
        <x:v>Confidence A (Confirmed). Branch: Root. Living person; dates intentionally omitted.</x:v>
      </x:c>
      <x:c r="I2" s="97" t="str">
        <x:v>F095</x:v>
      </x:c>
      <x:c r="J2" s="97" t="str"/>
    </x:row>
    <x:row r="3">
      <x:c r="A3" s="97" t="str">
        <x:v>I002</x:v>
      </x:c>
      <x:c r="B3" s="97" t="str">
        <x:v>Jan Muller Vollmer</x:v>
      </x:c>
      <x:c r="C3" s="97" t="str">
        <x:v>F</x:v>
      </x:c>
      <x:c r="D3" s="97" t="str"/>
      <x:c r="E3" s="97" t="str"/>
      <x:c r="F3" s="97" t="str">
        <x:v>JAN-MULLER</x:v>
      </x:c>
      <x:c r="G3" s="97" t="str">
        <x:v>S1;S2;S27;S28</x:v>
      </x:c>
      <x:c r="H3" s="97" t="str">
        <x:v>Confidence A (Confirmed). Branch: Root. Living person; dates intentionally omitted. | Owner-confirmed: Jan is Fredric's biological mother, not his stepmother. | Owner-confirmed: Jan is Chris Vollmer's stepmother, not his biological mother.</x:v>
      </x:c>
      <x:c r="I3" s="97" t="str">
        <x:v>F001</x:v>
      </x:c>
      <x:c r="J3" s="97" t="str">
        <x:v>F095</x:v>
      </x:c>
    </x:row>
    <x:row r="4">
      <x:c r="A4" s="97" t="str">
        <x:v>I003</x:v>
      </x:c>
      <x:c r="B4" s="97" t="str">
        <x:v>Arthur John Muller</x:v>
      </x:c>
      <x:c r="C4" s="97" t="str">
        <x:v>M</x:v>
      </x:c>
      <x:c r="D4" s="97" t="str">
        <x:v>12 MAY 1925; Detroit, Michigan</x:v>
      </x:c>
      <x:c r="E4" s="97" t="str">
        <x:v>9 JAN 2005; Bellingham, Washington</x:v>
      </x:c>
      <x:c r="F4" s="97" t="str">
        <x:v>AJMUL-1925</x:v>
      </x:c>
      <x:c r="G4" s="97" t="str">
        <x:v>S2;S5;S27</x:v>
      </x:c>
      <x:c r="H4" s="97" t="str">
        <x:v>Confidence A (Confirmed). Branch: Muller / Kleitz. U.S. Army, 1943-1945; Company B, 134th Infantry, 35th Division. Family members called him Art or Opa.</x:v>
      </x:c>
      <x:c r="I4" s="97" t="str">
        <x:v>F002</x:v>
      </x:c>
      <x:c r="J4" s="97" t="str">
        <x:v>F001</x:v>
      </x:c>
    </x:row>
    <x:row r="5">
      <x:c r="A5" s="97" t="str">
        <x:v>I004</x:v>
      </x:c>
      <x:c r="B5" s="97" t="str">
        <x:v>Anne Rives McCormick Muller</x:v>
      </x:c>
      <x:c r="C5" s="97" t="str">
        <x:v>F</x:v>
      </x:c>
      <x:c r="D5" s="97" t="str">
        <x:v>30 MAY 1927</x:v>
      </x:c>
      <x:c r="E5" s="97" t="str">
        <x:v>2016</x:v>
      </x:c>
      <x:c r="F5" s="97" t="str">
        <x:v>ARMC-1927</x:v>
      </x:c>
      <x:c r="G5" s="97" t="str">
        <x:v>S1;S8;S27</x:v>
      </x:c>
      <x:c r="H5" s="97" t="str">
        <x:v>Confidence A (Confirmed). Branch: Root. The 1937 Agee history spells her given name Ann; family usage is Anne.</x:v>
      </x:c>
      <x:c r="I5" s="97" t="str">
        <x:v>F003</x:v>
      </x:c>
      <x:c r="J5" s="97" t="str">
        <x:v>F001</x:v>
      </x:c>
    </x:row>
    <x:row r="6">
      <x:c r="A6" s="97" t="str">
        <x:v>I005</x:v>
      </x:c>
      <x:c r="B6" s="97" t="str">
        <x:v>Arthur Herman Muller</x:v>
      </x:c>
      <x:c r="C6" s="97" t="str">
        <x:v>M</x:v>
      </x:c>
      <x:c r="D6" s="97" t="str">
        <x:v>28 NOV 1896; Highland Falls, Orange, New York</x:v>
      </x:c>
      <x:c r="E6" s="97" t="str">
        <x:v>NOV 1966; Detroit, Wayne, Michigan</x:v>
      </x:c>
      <x:c r="F6" s="97" t="str">
        <x:v>AHMUL-1896</x:v>
      </x:c>
      <x:c r="G6" s="97" t="str">
        <x:v>S2;S27</x:v>
      </x:c>
      <x:c r="H6" s="97" t="str">
        <x:v>Confidence B (Strong). Branch: Muller / Kleitz.</x:v>
      </x:c>
      <x:c r="I6" s="97" t="str">
        <x:v>F004</x:v>
      </x:c>
      <x:c r="J6" s="97" t="str">
        <x:v>F002</x:v>
      </x:c>
    </x:row>
    <x:row r="7">
      <x:c r="A7" s="97" t="str">
        <x:v>I006</x:v>
      </x:c>
      <x:c r="B7" s="97" t="str">
        <x:v>Elma Anna Lee Muller</x:v>
      </x:c>
      <x:c r="C7" s="97" t="str">
        <x:v>F</x:v>
      </x:c>
      <x:c r="D7" s="97" t="str">
        <x:v>14 JAN 1897; Michigan</x:v>
      </x:c>
      <x:c r="E7" s="97" t="str">
        <x:v>26 DEC 1972; Detroit, Wayne, Michigan</x:v>
      </x:c>
      <x:c r="F7" s="97" t="str">
        <x:v>EAL-1897</x:v>
      </x:c>
      <x:c r="G7" s="97" t="str">
        <x:v>S2;S3;S24;S27</x:v>
      </x:c>
      <x:c r="H7" s="97" t="str">
        <x:v>Confidence A (Confirmed). Branch: Lee / New England. Called Gramma Muller in family correspondence. | Birth conflict retained: adult/death records support 14 Jan 1897, while 1900 and 1910 childhood censuses imply Jan 1894.</x:v>
      </x:c>
      <x:c r="I7" s="97" t="str">
        <x:v>F005</x:v>
      </x:c>
      <x:c r="J7" s="97" t="str">
        <x:v>F002</x:v>
      </x:c>
    </x:row>
    <x:row r="8">
      <x:c r="A8" s="97" t="str">
        <x:v>I007</x:v>
      </x:c>
      <x:c r="B8" s="97" t="str">
        <x:v>Charles Ellsworth McCormick II</x:v>
      </x:c>
      <x:c r="C8" s="97" t="str">
        <x:v>M</x:v>
      </x:c>
      <x:c r="D8" s="97" t="str">
        <x:v>12 JUL 1896; Kentucky</x:v>
      </x:c>
      <x:c r="E8" s="97" t="str">
        <x:v>9 SEP 1978; Asheville, North Carolina</x:v>
      </x:c>
      <x:c r="F8" s="97" t="str">
        <x:v>CEMCC-1896</x:v>
      </x:c>
      <x:c r="G8" s="97" t="str">
        <x:v>S1;S25;S27</x:v>
      </x:c>
      <x:c r="H8" s="97" t="str">
        <x:v>Confidence A (Confirmed). Branch: McCormick / O’Brien. Known in family correspondence as Daddy Mac.</x:v>
      </x:c>
      <x:c r="I8" s="97" t="str">
        <x:v>F060</x:v>
      </x:c>
      <x:c r="J8" s="97" t="str">
        <x:v>F003</x:v>
      </x:c>
    </x:row>
    <x:row r="9">
      <x:c r="A9" s="97" t="str">
        <x:v>I008</x:v>
      </x:c>
      <x:c r="B9" s="97" t="str">
        <x:v>Eloise Alcyone Slaughter McCormick</x:v>
      </x:c>
      <x:c r="C9" s="97" t="str">
        <x:v>F</x:v>
      </x:c>
      <x:c r="D9" s="97" t="str">
        <x:v>25 AUG 1903; Alabama</x:v>
      </x:c>
      <x:c r="E9" s="97" t="str">
        <x:v>10 FEB 1994; Los Angeles County, California</x:v>
      </x:c>
      <x:c r="F9" s="97" t="str">
        <x:v>ESMCC-1903</x:v>
      </x:c>
      <x:c r="G9" s="97" t="str">
        <x:v>S1;S8;S27</x:v>
      </x:c>
      <x:c r="H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I9" s="97" t="str">
        <x:v>F069</x:v>
      </x:c>
      <x:c r="J9" s="97" t="str">
        <x:v>F003</x:v>
      </x:c>
    </x:row>
    <x:row r="10">
      <x:c r="A10" s="97" t="str">
        <x:v>I009</x:v>
      </x:c>
      <x:c r="B10" s="97" t="str">
        <x:v>Christian August Vollrath Muller</x:v>
      </x:c>
      <x:c r="C10" s="97" t="str">
        <x:v>M</x:v>
      </x:c>
      <x:c r="D10" s="97" t="str">
        <x:v>ABOUT 1866</x:v>
      </x:c>
      <x:c r="E10" s="97" t="str">
        <x:v>1922</x:v>
      </x:c>
      <x:c r="F10" s="97" t="str">
        <x:v>CAM-1866</x:v>
      </x:c>
      <x:c r="G10" s="97" t="str">
        <x:v>S2;S27</x:v>
      </x:c>
      <x:c r="H10" s="97" t="str">
        <x:v>Confidence C (Provisional). Branch: Muller / Kleitz. Name and parentage are from the 1998 family chart; exact dates need original civil/church records.</x:v>
      </x:c>
      <x:c r="I10" s="97" t="str">
        <x:v>F006</x:v>
      </x:c>
      <x:c r="J10" s="97" t="str">
        <x:v>F004</x:v>
      </x:c>
    </x:row>
    <x:row r="11">
      <x:c r="A11" s="97" t="str">
        <x:v>I010</x:v>
      </x:c>
      <x:c r="B11" s="97" t="str">
        <x:v>Henrietta Kleitz</x:v>
      </x:c>
      <x:c r="C11" s="97" t="str">
        <x:v>F</x:v>
      </x:c>
      <x:c r="D11" s="97" t="str">
        <x:v>1871; New York, New York</x:v>
      </x:c>
      <x:c r="E11" s="97" t="str"/>
      <x:c r="F11" s="97" t="str">
        <x:v>HKM-1870</x:v>
      </x:c>
      <x:c r="G11" s="97" t="str">
        <x:v>S2;S21;S27</x:v>
      </x:c>
      <x:c r="H11" s="97" t="str">
        <x:v>Confidence B (Strong). Branch: Muller / Kleitz.</x:v>
      </x:c>
      <x:c r="I11" s="97" t="str">
        <x:v>F007</x:v>
      </x:c>
      <x:c r="J11" s="97" t="str">
        <x:v>F004</x:v>
      </x:c>
    </x:row>
    <x:row r="12">
      <x:c r="A12" s="97" t="str">
        <x:v>I013</x:v>
      </x:c>
      <x:c r="B12" s="97" t="str">
        <x:v>Elmer Ellsworth Lee</x:v>
      </x:c>
      <x:c r="C12" s="97" t="str">
        <x:v>M</x:v>
      </x:c>
      <x:c r="D12" s="97" t="str">
        <x:v>ABOUT 1863; Michigan</x:v>
      </x:c>
      <x:c r="E12" s="97" t="str">
        <x:v>8 JUL 1941; Detroit, Michigan</x:v>
      </x:c>
      <x:c r="F12" s="97" t="str">
        <x:v>EEL-1863</x:v>
      </x:c>
      <x:c r="G12" s="97" t="str">
        <x:v>S2;S3;S6;S24;S27</x:v>
      </x:c>
      <x:c r="H12" s="97" t="str">
        <x:v>Confidence B (Strong). Branch: Lee / New England. A same-name Michigan man causes index confusion; the Hubbard Stone Lee family group cites Elmer’s death certificate and names him as Hubbard’s son.</x:v>
      </x:c>
      <x:c r="I12" s="97" t="str">
        <x:v>F009</x:v>
      </x:c>
      <x:c r="J12" s="97" t="str">
        <x:v>F005</x:v>
      </x:c>
    </x:row>
    <x:row r="13">
      <x:c r="A13" s="97" t="str">
        <x:v>I014</x:v>
      </x:c>
      <x:c r="B13" s="97" t="str">
        <x:v>Mary Wilhelmina Ohmer</x:v>
      </x:c>
      <x:c r="C13" s="97" t="str">
        <x:v>F</x:v>
      </x:c>
      <x:c r="D13" s="97" t="str"/>
      <x:c r="E13" s="97" t="str"/>
      <x:c r="F13" s="97" t="str">
        <x:v>MOL-1865</x:v>
      </x:c>
      <x:c r="G13" s="97" t="str">
        <x:v>S2;S24;S27</x:v>
      </x:c>
      <x:c r="H13" s="97" t="str">
        <x:v>Confidence B (Strong). Branch: Lee / New England. Identified as Elma Anna Lee’s mother. Her own parentage remains unresolved.</x:v>
      </x:c>
      <x:c r="I13" s="97" t="str"/>
      <x:c r="J13" s="97" t="str">
        <x:v>F005</x:v>
      </x:c>
    </x:row>
    <x:row r="14">
      <x:c r="A14" s="97" t="str">
        <x:v>I017</x:v>
      </x:c>
      <x:c r="B14" s="97" t="str">
        <x:v>Lorenz Muller</x:v>
      </x:c>
      <x:c r="C14" s="97" t="str">
        <x:v>M</x:v>
      </x:c>
      <x:c r="D14" s="97" t="str"/>
      <x:c r="E14" s="97" t="str"/>
      <x:c r="F14" s="97" t="str"/>
      <x:c r="G14" s="97" t="str">
        <x:v>S2</x:v>
      </x:c>
      <x:c r="H14" s="97" t="str">
        <x:v>Confidence C (Provisional). Branch: Muller / Kleitz. Named on the 1998 family chart; no independent record located in this research pass.</x:v>
      </x:c>
      <x:c r="I14" s="97" t="str"/>
      <x:c r="J14" s="97" t="str">
        <x:v>F006</x:v>
      </x:c>
    </x:row>
    <x:row r="15">
      <x:c r="A15" s="97" t="str">
        <x:v>I018</x:v>
      </x:c>
      <x:c r="B15" s="97" t="str">
        <x:v>Pauline Vollrath</x:v>
      </x:c>
      <x:c r="C15" s="97" t="str">
        <x:v>F</x:v>
      </x:c>
      <x:c r="D15" s="97" t="str"/>
      <x:c r="E15" s="97" t="str"/>
      <x:c r="F15" s="97" t="str"/>
      <x:c r="G15" s="97" t="str">
        <x:v>S2</x:v>
      </x:c>
      <x:c r="H15" s="97" t="str">
        <x:v>Confidence C (Provisional). Branch: Muller / Kleitz. Named on the 1998 family chart; no independent record located in this research pass.</x:v>
      </x:c>
      <x:c r="I15" s="97" t="str"/>
      <x:c r="J15" s="97" t="str">
        <x:v>F006</x:v>
      </x:c>
    </x:row>
    <x:row r="16">
      <x:c r="A16" s="97" t="str">
        <x:v>I019</x:v>
      </x:c>
      <x:c r="B16" s="97" t="str">
        <x:v>Lambert Kleitz</x:v>
      </x:c>
      <x:c r="C16" s="97" t="str">
        <x:v>M</x:v>
      </x:c>
      <x:c r="D16" s="97" t="str">
        <x:v>1840; Alsace, France</x:v>
      </x:c>
      <x:c r="E16" s="97" t="str"/>
      <x:c r="F16" s="97" t="str"/>
      <x:c r="G16" s="97" t="str">
        <x:v>S2;S21</x:v>
      </x:c>
      <x:c r="H16" s="97" t="str">
        <x:v>Confidence B (Strong). Branch: Muller / Kleitz. Married Elizabeth Wüst in New York in 1860; listed as a builder/carpenter.</x:v>
      </x:c>
      <x:c r="I16" s="97" t="str"/>
      <x:c r="J16" s="97" t="str">
        <x:v>F007</x:v>
      </x:c>
    </x:row>
    <x:row r="17">
      <x:c r="A17" s="97" t="str">
        <x:v>I020</x:v>
      </x:c>
      <x:c r="B17" s="97" t="str">
        <x:v>Elizabeth Wüst</x:v>
      </x:c>
      <x:c r="C17" s="97" t="str">
        <x:v>F</x:v>
      </x:c>
      <x:c r="D17" s="97" t="str">
        <x:v>1837; Bavaria</x:v>
      </x:c>
      <x:c r="E17" s="97" t="str">
        <x:v>ABOUT 1907</x:v>
      </x:c>
      <x:c r="F17" s="97" t="str"/>
      <x:c r="G17" s="97" t="str">
        <x:v>S2;S21</x:v>
      </x:c>
      <x:c r="H17" s="97" t="str">
        <x:v>Confidence B (Strong). Branch: Muller / Kleitz. Surname also rendered Wust/Wuest in indexes.</x:v>
      </x:c>
      <x:c r="I17" s="97" t="str">
        <x:v>F008</x:v>
      </x:c>
      <x:c r="J17" s="97" t="str">
        <x:v>F007</x:v>
      </x:c>
    </x:row>
    <x:row r="18">
      <x:c r="A18" s="97" t="str">
        <x:v>I021</x:v>
      </x:c>
      <x:c r="B18" s="97" t="str">
        <x:v>Jacob Wüst</x:v>
      </x:c>
      <x:c r="C18" s="97" t="str">
        <x:v>M</x:v>
      </x:c>
      <x:c r="D18" s="97" t="str">
        <x:v>Bavaria</x:v>
      </x:c>
      <x:c r="E18" s="97" t="str"/>
      <x:c r="F18" s="97" t="str"/>
      <x:c r="G18" s="97" t="str">
        <x:v>S21</x:v>
      </x:c>
      <x:c r="H18" s="97" t="str">
        <x:v>Confidence C (Provisional). Branch: Muller / Kleitz. Named as Elizabeth Wüst’s father in the Kastler family database; mother remains unknown.</x:v>
      </x:c>
      <x:c r="I18" s="97" t="str"/>
      <x:c r="J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v>S6;S7</x:v>
      </x:c>
      <x:c r="H19" s="97" t="str">
        <x:v>Confidence B (Strong). Branch: Lee / New England.</x:v>
      </x:c>
      <x:c r="I19" s="97" t="str">
        <x:v>F010</x:v>
      </x:c>
      <x:c r="J19" s="97" t="str">
        <x:v>F009</x:v>
      </x:c>
    </x:row>
    <x:row r="20">
      <x:c r="A20" s="97" t="str">
        <x:v>I023</x:v>
      </x:c>
      <x:c r="B20" s="97" t="str">
        <x:v>Sarah M. Willitts</x:v>
      </x:c>
      <x:c r="C20" s="97" t="str">
        <x:v>F</x:v>
      </x:c>
      <x:c r="D20" s="97" t="str">
        <x:v>1831; Birmingham, Oakland County, Michigan</x:v>
      </x:c>
      <x:c r="E20" s="97" t="str">
        <x:v>1913</x:v>
      </x:c>
      <x:c r="F20" s="97" t="str"/>
      <x:c r="G20" s="97" t="str">
        <x:v>S6;S7</x:v>
      </x:c>
      <x:c r="H20" s="97" t="str">
        <x:v>Confidence B (Strong). Branch: Lee / New England. Her parents remain unresolved in this research pass.</x:v>
      </x:c>
      <x:c r="I20" s="97" t="str"/>
      <x:c r="J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v>S7</x:v>
      </x:c>
      <x:c r="H21" s="97" t="str">
        <x:v>Confidence B (Strong). Branch: Lee / New England.</x:v>
      </x:c>
      <x:c r="I21" s="97" t="str">
        <x:v>F011</x:v>
      </x:c>
      <x:c r="J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v>S7</x:v>
      </x:c>
      <x:c r="H22" s="97" t="str">
        <x:v>Confidence B (Strong). Branch: Lee / New England.</x:v>
      </x:c>
      <x:c r="I22" s="97" t="str">
        <x:v>F012</x:v>
      </x:c>
      <x:c r="J22" s="97" t="str">
        <x:v>F010</x:v>
      </x:c>
    </x:row>
    <x:row r="23">
      <x:c r="A23" s="97" t="str">
        <x:v>I026</x:v>
      </x:c>
      <x:c r="B23" s="97" t="str">
        <x:v>William Lee</x:v>
      </x:c>
      <x:c r="C23" s="97" t="str">
        <x:v>M</x:v>
      </x:c>
      <x:c r="D23" s="97" t="str">
        <x:v>ABOUT 1741</x:v>
      </x:c>
      <x:c r="E23" s="97" t="str">
        <x:v>29 APR 1795; Guilford, New Haven County, Connecticut</x:v>
      </x:c>
      <x:c r="F23" s="97" t="str"/>
      <x:c r="G23" s="97" t="str">
        <x:v>S7</x:v>
      </x:c>
      <x:c r="H23" s="97" t="str">
        <x:v>Confidence B (Strong). Branch: Lee / New England.</x:v>
      </x:c>
      <x:c r="I23" s="97" t="str">
        <x:v>F013</x:v>
      </x:c>
      <x:c r="J23" s="97" t="str">
        <x:v>F011</x:v>
      </x:c>
    </x:row>
    <x:row r="24">
      <x:c r="A24" s="97" t="str">
        <x:v>I027</x:v>
      </x:c>
      <x:c r="B24" s="97" t="str">
        <x:v>Eunice Hotchkiss</x:v>
      </x:c>
      <x:c r="C24" s="97" t="str">
        <x:v>F</x:v>
      </x:c>
      <x:c r="D24" s="97" t="str">
        <x:v>ABOUT 1754</x:v>
      </x:c>
      <x:c r="E24" s="97" t="str">
        <x:v>27 FEB 1827</x:v>
      </x:c>
      <x:c r="F24" s="97" t="str"/>
      <x:c r="G24" s="97" t="str">
        <x:v>S7</x:v>
      </x:c>
      <x:c r="H24" s="97" t="str">
        <x:v>Confidence B (Strong). Branch: Lee / New England.</x:v>
      </x:c>
      <x:c r="I24" s="97" t="str">
        <x:v>F014</x:v>
      </x:c>
      <x:c r="J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v>S7</x:v>
      </x:c>
      <x:c r="H25" s="97" t="str">
        <x:v>Confidence B (Strong). Branch: Lee / New England.</x:v>
      </x:c>
      <x:c r="I25" s="97" t="str">
        <x:v>F015</x:v>
      </x:c>
      <x:c r="J25" s="97" t="str">
        <x:v>F012</x:v>
      </x:c>
    </x:row>
    <x:row r="26">
      <x:c r="A26" s="97" t="str">
        <x:v>I029</x:v>
      </x:c>
      <x:c r="B26" s="97" t="str">
        <x:v>Eunice Goldsmith</x:v>
      </x:c>
      <x:c r="C26" s="97" t="str">
        <x:v>F</x:v>
      </x:c>
      <x:c r="D26" s="97" t="str">
        <x:v>28 MAY 1764</x:v>
      </x:c>
      <x:c r="E26" s="97" t="str">
        <x:v>28 APR 1852</x:v>
      </x:c>
      <x:c r="F26" s="97" t="str"/>
      <x:c r="G26" s="97" t="str">
        <x:v>S7</x:v>
      </x:c>
      <x:c r="H26" s="97" t="str">
        <x:v>Confidence B (Strong). Branch: Lee / New England. Parents were not supplied on the consulted Ahnentafel page.</x:v>
      </x:c>
      <x:c r="I26" s="97" t="str"/>
      <x:c r="J26" s="97" t="str">
        <x:v>F012</x:v>
      </x:c>
    </x:row>
    <x:row r="27">
      <x:c r="A27" s="97" t="str">
        <x:v>I030</x:v>
      </x:c>
      <x:c r="B27" s="97" t="str">
        <x:v>Ebenezer Lee</x:v>
      </x:c>
      <x:c r="C27" s="97" t="str">
        <x:v>M</x:v>
      </x:c>
      <x:c r="D27" s="97" t="str">
        <x:v>25 FEB 1698/99</x:v>
      </x:c>
      <x:c r="E27" s="97" t="str">
        <x:v>24 SEP 1751</x:v>
      </x:c>
      <x:c r="F27" s="97" t="str"/>
      <x:c r="G27" s="97" t="str">
        <x:v>S7</x:v>
      </x:c>
      <x:c r="H27" s="97" t="str">
        <x:v>Confidence B (Strong). Branch: Lee / New England.</x:v>
      </x:c>
      <x:c r="I27" s="97" t="str">
        <x:v>F016</x:v>
      </x:c>
      <x:c r="J27" s="97" t="str">
        <x:v>F013</x:v>
      </x:c>
    </x:row>
    <x:row r="28">
      <x:c r="A28" s="97" t="str">
        <x:v>I031</x:v>
      </x:c>
      <x:c r="B28" s="97" t="str">
        <x:v>Sarah Chidsey</x:v>
      </x:c>
      <x:c r="C28" s="97" t="str">
        <x:v>F</x:v>
      </x:c>
      <x:c r="D28" s="97" t="str"/>
      <x:c r="E28" s="97" t="str">
        <x:v>7 MAR 1778</x:v>
      </x:c>
      <x:c r="F28" s="97" t="str"/>
      <x:c r="G28" s="97" t="str">
        <x:v>S7</x:v>
      </x:c>
      <x:c r="H28" s="97" t="str">
        <x:v>Confidence B (Strong). Branch: Lee / New England.</x:v>
      </x:c>
      <x:c r="I28" s="97" t="str">
        <x:v>F017</x:v>
      </x:c>
      <x:c r="J28" s="97" t="str">
        <x:v>F013</x:v>
      </x:c>
    </x:row>
    <x:row r="29">
      <x:c r="A29" s="97" t="str">
        <x:v>I032</x:v>
      </x:c>
      <x:c r="B29" s="97" t="str">
        <x:v>Mark Hotchkiss</x:v>
      </x:c>
      <x:c r="C29" s="97" t="str">
        <x:v>M</x:v>
      </x:c>
      <x:c r="D29" s="97" t="str">
        <x:v>1 JUL 1714</x:v>
      </x:c>
      <x:c r="E29" s="97" t="str">
        <x:v>19 NOV 1775</x:v>
      </x:c>
      <x:c r="F29" s="97" t="str"/>
      <x:c r="G29" s="97" t="str">
        <x:v>S7</x:v>
      </x:c>
      <x:c r="H29" s="97" t="str">
        <x:v>Confidence B (Strong). Branch: Lee / New England.</x:v>
      </x:c>
      <x:c r="I29" s="97" t="str">
        <x:v>F018</x:v>
      </x:c>
      <x:c r="J29" s="97" t="str">
        <x:v>F014</x:v>
      </x:c>
    </x:row>
    <x:row r="30">
      <x:c r="A30" s="97" t="str">
        <x:v>I033</x:v>
      </x:c>
      <x:c r="B30" s="97" t="str">
        <x:v>Miriam Lee</x:v>
      </x:c>
      <x:c r="C30" s="97" t="str">
        <x:v>F</x:v>
      </x:c>
      <x:c r="D30" s="97" t="str"/>
      <x:c r="E30" s="97" t="str">
        <x:v>31 MAR 1788</x:v>
      </x:c>
      <x:c r="F30" s="97" t="str"/>
      <x:c r="G30" s="97" t="str">
        <x:v>S7</x:v>
      </x:c>
      <x:c r="H30" s="97" t="str">
        <x:v>Confidence B (Strong). Branch: Lee / New England. Parents not shown in the consulted Ahnentafel.</x:v>
      </x:c>
      <x:c r="I30" s="97" t="str"/>
      <x:c r="J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v>S7</x:v>
      </x:c>
      <x:c r="H31" s="97" t="str">
        <x:v>Confidence B (Strong). Branch: Lee / New England.</x:v>
      </x:c>
      <x:c r="I31" s="97" t="str">
        <x:v>F019</x:v>
      </x:c>
      <x:c r="J31" s="97" t="str">
        <x:v>F015</x:v>
      </x:c>
    </x:row>
    <x:row r="32">
      <x:c r="A32" s="97" t="str">
        <x:v>I035</x:v>
      </x:c>
      <x:c r="B32" s="97" t="str">
        <x:v>Carine Ward</x:v>
      </x:c>
      <x:c r="C32" s="97" t="str">
        <x:v>F</x:v>
      </x:c>
      <x:c r="D32" s="97" t="str">
        <x:v>31 MAY 1740</x:v>
      </x:c>
      <x:c r="E32" s="97" t="str">
        <x:v>27 OCT 1818</x:v>
      </x:c>
      <x:c r="F32" s="97" t="str"/>
      <x:c r="G32" s="97" t="str">
        <x:v>S7</x:v>
      </x:c>
      <x:c r="H32" s="97" t="str">
        <x:v>Confidence B (Strong). Branch: Lee / New England.</x:v>
      </x:c>
      <x:c r="I32" s="97" t="str">
        <x:v>F020</x:v>
      </x:c>
      <x:c r="J32" s="97" t="str">
        <x:v>F015</x:v>
      </x:c>
    </x:row>
    <x:row r="33">
      <x:c r="A33" s="97" t="str">
        <x:v>I036</x:v>
      </x:c>
      <x:c r="B33" s="97" t="str">
        <x:v>Edward Lee</x:v>
      </x:c>
      <x:c r="C33" s="97" t="str">
        <x:v>M</x:v>
      </x:c>
      <x:c r="D33" s="97" t="str">
        <x:v>ABOUT 1656</x:v>
      </x:c>
      <x:c r="E33" s="97" t="str"/>
      <x:c r="F33" s="97" t="str"/>
      <x:c r="G33" s="97" t="str">
        <x:v>S7</x:v>
      </x:c>
      <x:c r="H33" s="97" t="str">
        <x:v>Confidence B (Strong). Branch: Lee / New England. Earlier parentage not supplied in the consulted Ahnentafel.</x:v>
      </x:c>
      <x:c r="I33" s="97" t="str"/>
      <x:c r="J33" s="97" t="str">
        <x:v>F016</x:v>
      </x:c>
    </x:row>
    <x:row r="34">
      <x:c r="A34" s="97" t="str">
        <x:v>I037</x:v>
      </x:c>
      <x:c r="B34" s="97" t="str">
        <x:v>Abigail Stevens</x:v>
      </x:c>
      <x:c r="C34" s="97" t="str">
        <x:v>F</x:v>
      </x:c>
      <x:c r="D34" s="97" t="str"/>
      <x:c r="E34" s="97" t="str">
        <x:v>AUG 1727</x:v>
      </x:c>
      <x:c r="F34" s="97" t="str"/>
      <x:c r="G34" s="97" t="str">
        <x:v>S7</x:v>
      </x:c>
      <x:c r="H34" s="97" t="str">
        <x:v>Confidence B (Strong). Branch: Lee / New England.</x:v>
      </x:c>
      <x:c r="I34" s="97" t="str">
        <x:v>F021</x:v>
      </x:c>
      <x:c r="J34" s="97" t="str">
        <x:v>F016</x:v>
      </x:c>
    </x:row>
    <x:row r="35">
      <x:c r="A35" s="97" t="str">
        <x:v>I038</x:v>
      </x:c>
      <x:c r="B35" s="97" t="str">
        <x:v>Joseph Chidsey</x:v>
      </x:c>
      <x:c r="C35" s="97" t="str">
        <x:v>M</x:v>
      </x:c>
      <x:c r="D35" s="97" t="str"/>
      <x:c r="E35" s="97" t="str"/>
      <x:c r="F35" s="97" t="str"/>
      <x:c r="G35" s="97" t="str">
        <x:v>S7</x:v>
      </x:c>
      <x:c r="H35" s="97" t="str">
        <x:v>Confidence B (Strong). Branch: Lee / New England. Earlier parentage not supplied in the consulted Ahnentafel.</x:v>
      </x:c>
      <x:c r="I35" s="97" t="str"/>
      <x:c r="J35" s="97" t="str">
        <x:v>F017</x:v>
      </x:c>
    </x:row>
    <x:row r="36">
      <x:c r="A36" s="97" t="str">
        <x:v>I039</x:v>
      </x:c>
      <x:c r="B36" s="97" t="str">
        <x:v>Joseph Hotchkiss</x:v>
      </x:c>
      <x:c r="C36" s="97" t="str">
        <x:v>M</x:v>
      </x:c>
      <x:c r="D36" s="97" t="str">
        <x:v>3 JUN 1678</x:v>
      </x:c>
      <x:c r="E36" s="97" t="str">
        <x:v>31 JAN 1740</x:v>
      </x:c>
      <x:c r="F36" s="97" t="str"/>
      <x:c r="G36" s="97" t="str">
        <x:v>S7</x:v>
      </x:c>
      <x:c r="H36" s="97" t="str">
        <x:v>Confidence B (Strong). Branch: Lee / New England.</x:v>
      </x:c>
      <x:c r="I36" s="97" t="str">
        <x:v>F022</x:v>
      </x:c>
      <x:c r="J36" s="97" t="str">
        <x:v>F018</x:v>
      </x:c>
    </x:row>
    <x:row r="37">
      <x:c r="A37" s="97" t="str">
        <x:v>I040</x:v>
      </x:c>
      <x:c r="B37" s="97" t="str">
        <x:v>Hannah Cruttenden</x:v>
      </x:c>
      <x:c r="C37" s="97" t="str">
        <x:v>F</x:v>
      </x:c>
      <x:c r="D37" s="97" t="str">
        <x:v>ABOUT 1679</x:v>
      </x:c>
      <x:c r="E37" s="97" t="str">
        <x:v>28 MAR 1756</x:v>
      </x:c>
      <x:c r="F37" s="97" t="str"/>
      <x:c r="G37" s="97" t="str">
        <x:v>S7</x:v>
      </x:c>
      <x:c r="H37" s="97" t="str">
        <x:v>Confidence B (Strong). Branch: Lee / New England.</x:v>
      </x:c>
      <x:c r="I37" s="97" t="str">
        <x:v>F023</x:v>
      </x:c>
      <x:c r="J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v>S7</x:v>
      </x:c>
      <x:c r="H38" s="97" t="str">
        <x:v>Confidence B (Strong). Branch: Lee / New England.</x:v>
      </x:c>
      <x:c r="I38" s="97" t="str">
        <x:v>F024</x:v>
      </x:c>
      <x:c r="J38" s="97" t="str">
        <x:v>F019</x:v>
      </x:c>
    </x:row>
    <x:row r="39">
      <x:c r="A39" s="97" t="str">
        <x:v>I042</x:v>
      </x:c>
      <x:c r="B39" s="97" t="str">
        <x:v>Rebecca Evarts</x:v>
      </x:c>
      <x:c r="C39" s="97" t="str">
        <x:v>F</x:v>
      </x:c>
      <x:c r="D39" s="97" t="str">
        <x:v>ABOUT 1715</x:v>
      </x:c>
      <x:c r="E39" s="97" t="str">
        <x:v>5 SEP 1795</x:v>
      </x:c>
      <x:c r="F39" s="97" t="str"/>
      <x:c r="G39" s="97" t="str">
        <x:v>S7</x:v>
      </x:c>
      <x:c r="H39" s="97" t="str">
        <x:v>Confidence B (Strong). Branch: Lee / New England.</x:v>
      </x:c>
      <x:c r="I39" s="97" t="str">
        <x:v>F025</x:v>
      </x:c>
      <x:c r="J39" s="97" t="str">
        <x:v>F019</x:v>
      </x:c>
    </x:row>
    <x:row r="40">
      <x:c r="A40" s="97" t="str">
        <x:v>I043</x:v>
      </x:c>
      <x:c r="B40" s="97" t="str">
        <x:v>William Ward</x:v>
      </x:c>
      <x:c r="C40" s="97" t="str">
        <x:v>M</x:v>
      </x:c>
      <x:c r="D40" s="97" t="str">
        <x:v>7 JAN 1705; Wallingford, New Haven County, Connecticut</x:v>
      </x:c>
      <x:c r="E40" s="97" t="str">
        <x:v>19 DEC 1761</x:v>
      </x:c>
      <x:c r="F40" s="97" t="str"/>
      <x:c r="G40" s="97" t="str">
        <x:v>S7</x:v>
      </x:c>
      <x:c r="H40" s="97" t="str">
        <x:v>Confidence B (Strong). Branch: Lee / New England.</x:v>
      </x:c>
      <x:c r="I40" s="97" t="str">
        <x:v>F026</x:v>
      </x:c>
      <x:c r="J40" s="97" t="str">
        <x:v>F020</x:v>
      </x:c>
    </x:row>
    <x:row r="41">
      <x:c r="A41" s="97" t="str">
        <x:v>I044</x:v>
      </x:c>
      <x:c r="B41" s="97" t="str">
        <x:v>Abigail Crampton</x:v>
      </x:c>
      <x:c r="C41" s="97" t="str">
        <x:v>F</x:v>
      </x:c>
      <x:c r="D41" s="97" t="str">
        <x:v>17 OCT 1704</x:v>
      </x:c>
      <x:c r="E41" s="97" t="str">
        <x:v>4 NOV 1757</x:v>
      </x:c>
      <x:c r="F41" s="97" t="str"/>
      <x:c r="G41" s="97" t="str">
        <x:v>S7</x:v>
      </x:c>
      <x:c r="H41" s="97" t="str">
        <x:v>Confidence B (Strong). Branch: Lee / New England.</x:v>
      </x:c>
      <x:c r="I41" s="97" t="str">
        <x:v>F027</x:v>
      </x:c>
      <x:c r="J41" s="97" t="str">
        <x:v>F020</x:v>
      </x:c>
    </x:row>
    <x:row r="42">
      <x:c r="A42" s="97" t="str">
        <x:v>I045</x:v>
      </x:c>
      <x:c r="B42" s="97" t="str">
        <x:v>Thomas Stevens</x:v>
      </x:c>
      <x:c r="C42" s="97" t="str">
        <x:v>M</x:v>
      </x:c>
      <x:c r="D42" s="97" t="str"/>
      <x:c r="E42" s="97" t="str"/>
      <x:c r="F42" s="97" t="str"/>
      <x:c r="G42" s="97" t="str">
        <x:v>S7</x:v>
      </x:c>
      <x:c r="H42" s="97" t="str">
        <x:v>Confidence B (Strong). Branch: Lee / New England.</x:v>
      </x:c>
      <x:c r="I42" s="97" t="str"/>
      <x:c r="J42" s="97" t="str">
        <x:v>F021</x:v>
      </x:c>
    </x:row>
    <x:row r="43">
      <x:c r="A43" s="97" t="str">
        <x:v>I046</x:v>
      </x:c>
      <x:c r="B43" s="97" t="str">
        <x:v>John Hotchkiss</x:v>
      </x:c>
      <x:c r="C43" s="97" t="str">
        <x:v>M</x:v>
      </x:c>
      <x:c r="D43" s="97" t="str">
        <x:v>ABOUT 1643</x:v>
      </x:c>
      <x:c r="E43" s="97" t="str">
        <x:v>BY 23 SEP 1689</x:v>
      </x:c>
      <x:c r="F43" s="97" t="str"/>
      <x:c r="G43" s="97" t="str">
        <x:v>S7</x:v>
      </x:c>
      <x:c r="H43" s="97" t="str">
        <x:v>Confidence B (Strong). Branch: Lee / New England.</x:v>
      </x:c>
      <x:c r="I43" s="97" t="str">
        <x:v>F028</x:v>
      </x:c>
      <x:c r="J43" s="97" t="str">
        <x:v>F022</x:v>
      </x:c>
    </x:row>
    <x:row r="44">
      <x:c r="A44" s="97" t="str">
        <x:v>I047</x:v>
      </x:c>
      <x:c r="B44" s="97" t="str">
        <x:v>Elizabeth Peck</x:v>
      </x:c>
      <x:c r="C44" s="97" t="str">
        <x:v>F</x:v>
      </x:c>
      <x:c r="D44" s="97" t="str"/>
      <x:c r="E44" s="97" t="str"/>
      <x:c r="F44" s="97" t="str"/>
      <x:c r="G44" s="97" t="str">
        <x:v>S7</x:v>
      </x:c>
      <x:c r="H44" s="97" t="str">
        <x:v>Confidence B (Strong). Branch: Lee / New England. Earlier parentage not supplied in the consulted Ahnentafel.</x:v>
      </x:c>
      <x:c r="I44" s="97" t="str"/>
      <x:c r="J44" s="97" t="str">
        <x:v>F022</x:v>
      </x:c>
    </x:row>
    <x:row r="45">
      <x:c r="A45" s="97" t="str">
        <x:v>I048</x:v>
      </x:c>
      <x:c r="B45" s="97" t="str">
        <x:v>Isaac Cruttenden</x:v>
      </x:c>
      <x:c r="C45" s="97" t="str">
        <x:v>M</x:v>
      </x:c>
      <x:c r="D45" s="97" t="str">
        <x:v>ABOUT 1643</x:v>
      </x:c>
      <x:c r="E45" s="97" t="str">
        <x:v>13 JUL 1685</x:v>
      </x:c>
      <x:c r="F45" s="97" t="str"/>
      <x:c r="G45" s="97" t="str">
        <x:v>S7</x:v>
      </x:c>
      <x:c r="H45" s="97" t="str">
        <x:v>Confidence B (Strong). Branch: Lee / New England.</x:v>
      </x:c>
      <x:c r="I45" s="97" t="str">
        <x:v>F029</x:v>
      </x:c>
      <x:c r="J45" s="97" t="str">
        <x:v>F023</x:v>
      </x:c>
    </x:row>
    <x:row r="46">
      <x:c r="A46" s="97" t="str">
        <x:v>I049</x:v>
      </x:c>
      <x:c r="B46" s="97" t="str">
        <x:v>Lydia Thompson</x:v>
      </x:c>
      <x:c r="C46" s="97" t="str">
        <x:v>F</x:v>
      </x:c>
      <x:c r="D46" s="97" t="str">
        <x:v>BAPTIZED 24 JUL 1647; New Haven, Connecticut</x:v>
      </x:c>
      <x:c r="E46" s="97" t="str">
        <x:v>DEC 1729</x:v>
      </x:c>
      <x:c r="F46" s="97" t="str"/>
      <x:c r="G46" s="97" t="str">
        <x:v>S7</x:v>
      </x:c>
      <x:c r="H46" s="97" t="str">
        <x:v>Confidence B (Strong). Branch: Lee / New England.</x:v>
      </x:c>
      <x:c r="I46" s="97" t="str">
        <x:v>F030</x:v>
      </x:c>
      <x:c r="J46" s="97" t="str">
        <x:v>F023</x:v>
      </x:c>
    </x:row>
    <x:row r="47">
      <x:c r="A47" s="97" t="str">
        <x:v>I050</x:v>
      </x:c>
      <x:c r="B47" s="97" t="str">
        <x:v>Caleb Stone</x:v>
      </x:c>
      <x:c r="C47" s="97" t="str">
        <x:v>M</x:v>
      </x:c>
      <x:c r="D47" s="97" t="str">
        <x:v>10 NOV 1685</x:v>
      </x:c>
      <x:c r="E47" s="97" t="str">
        <x:v>25 MAY 1765</x:v>
      </x:c>
      <x:c r="F47" s="97" t="str"/>
      <x:c r="G47" s="97" t="str">
        <x:v>S7</x:v>
      </x:c>
      <x:c r="H47" s="97" t="str">
        <x:v>Confidence B (Strong). Branch: Lee / New England.</x:v>
      </x:c>
      <x:c r="I47" s="97" t="str">
        <x:v>F031</x:v>
      </x:c>
      <x:c r="J47" s="97" t="str">
        <x:v>F024</x:v>
      </x:c>
    </x:row>
    <x:row r="48">
      <x:c r="A48" s="97" t="str">
        <x:v>I051</x:v>
      </x:c>
      <x:c r="B48" s="97" t="str">
        <x:v>Sarah Meigs</x:v>
      </x:c>
      <x:c r="C48" s="97" t="str">
        <x:v>F</x:v>
      </x:c>
      <x:c r="D48" s="97" t="str">
        <x:v>ABOUT 1691</x:v>
      </x:c>
      <x:c r="E48" s="97" t="str">
        <x:v>4 MAY 1775</x:v>
      </x:c>
      <x:c r="F48" s="97" t="str"/>
      <x:c r="G48" s="97" t="str">
        <x:v>S7</x:v>
      </x:c>
      <x:c r="H48" s="97" t="str">
        <x:v>Confidence B (Strong). Branch: Lee / New England.</x:v>
      </x:c>
      <x:c r="I48" s="97" t="str">
        <x:v>F032</x:v>
      </x:c>
      <x:c r="J48" s="97" t="str">
        <x:v>F024</x:v>
      </x:c>
    </x:row>
    <x:row r="49">
      <x:c r="A49" s="97" t="str">
        <x:v>I052</x:v>
      </x:c>
      <x:c r="B49" s="97" t="str">
        <x:v>James Evarts</x:v>
      </x:c>
      <x:c r="C49" s="97" t="str">
        <x:v>M</x:v>
      </x:c>
      <x:c r="D49" s="97" t="str">
        <x:v>18 FEB 1672</x:v>
      </x:c>
      <x:c r="E49" s="97" t="str">
        <x:v>6 APR 1751</x:v>
      </x:c>
      <x:c r="F49" s="97" t="str"/>
      <x:c r="G49" s="97" t="str">
        <x:v>S7</x:v>
      </x:c>
      <x:c r="H49" s="97" t="str">
        <x:v>Confidence B (Strong). Branch: Lee / New England.</x:v>
      </x:c>
      <x:c r="I49" s="97" t="str">
        <x:v>F034</x:v>
      </x:c>
      <x:c r="J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v>S7</x:v>
      </x:c>
      <x:c r="H50" s="97" t="str">
        <x:v>Confidence B (Strong). Branch: Lee / New England.</x:v>
      </x:c>
      <x:c r="I50" s="97" t="str">
        <x:v>F035</x:v>
      </x:c>
      <x:c r="J50" s="97" t="str">
        <x:v>F026</x:v>
      </x:c>
    </x:row>
    <x:row r="51">
      <x:c r="A51" s="97" t="str">
        <x:v>I054</x:v>
      </x:c>
      <x:c r="B51" s="97" t="str">
        <x:v>Lettice Beach</x:v>
      </x:c>
      <x:c r="C51" s="97" t="str">
        <x:v>F</x:v>
      </x:c>
      <x:c r="D51" s="97" t="str">
        <x:v>24 DEC 1679; Wallingford, New Haven County, Connecticut</x:v>
      </x:c>
      <x:c r="E51" s="97" t="str"/>
      <x:c r="F51" s="97" t="str"/>
      <x:c r="G51" s="97" t="str">
        <x:v>S7</x:v>
      </x:c>
      <x:c r="H51" s="97" t="str">
        <x:v>Confidence B (Strong). Branch: Lee / New England.</x:v>
      </x:c>
      <x:c r="I51" s="97" t="str">
        <x:v>F036</x:v>
      </x:c>
      <x:c r="J51" s="97" t="str">
        <x:v>F026</x:v>
      </x:c>
    </x:row>
    <x:row r="52">
      <x:c r="A52" s="97" t="str">
        <x:v>I055</x:v>
      </x:c>
      <x:c r="B52" s="97" t="str">
        <x:v>John Crampton</x:v>
      </x:c>
      <x:c r="C52" s="97" t="str">
        <x:v>M</x:v>
      </x:c>
      <x:c r="D52" s="97" t="str"/>
      <x:c r="E52" s="97" t="str"/>
      <x:c r="F52" s="97" t="str"/>
      <x:c r="G52" s="97" t="str">
        <x:v>S7</x:v>
      </x:c>
      <x:c r="H52" s="97" t="str">
        <x:v>Confidence B (Strong). Branch: Lee / New England.</x:v>
      </x:c>
      <x:c r="I52" s="97" t="str"/>
      <x:c r="J52" s="97" t="str">
        <x:v>F027</x:v>
      </x:c>
    </x:row>
    <x:row r="53">
      <x:c r="A53" s="97" t="str">
        <x:v>I056</x:v>
      </x:c>
      <x:c r="B53" s="97" t="str">
        <x:v>Hannah Evarts</x:v>
      </x:c>
      <x:c r="C53" s="97" t="str">
        <x:v>F</x:v>
      </x:c>
      <x:c r="D53" s="97" t="str"/>
      <x:c r="E53" s="97" t="str"/>
      <x:c r="F53" s="97" t="str"/>
      <x:c r="G53" s="97" t="str">
        <x:v>S7</x:v>
      </x:c>
      <x:c r="H53" s="97" t="str">
        <x:v>Confidence B (Strong). Branch: Lee / New England.</x:v>
      </x:c>
      <x:c r="I53" s="97" t="str"/>
      <x:c r="J53" s="97" t="str">
        <x:v>F027</x:v>
      </x:c>
    </x:row>
    <x:row r="54">
      <x:c r="A54" s="97" t="str">
        <x:v>I057</x:v>
      </x:c>
      <x:c r="B54" s="97" t="str">
        <x:v>Samuel Hotchkiss</x:v>
      </x:c>
      <x:c r="C54" s="97" t="str">
        <x:v>M</x:v>
      </x:c>
      <x:c r="D54" s="97" t="str"/>
      <x:c r="E54" s="97" t="str">
        <x:v>28 DEC 1663; New Haven, Connecticut</x:v>
      </x:c>
      <x:c r="F54" s="97" t="str"/>
      <x:c r="G54" s="97" t="str">
        <x:v>S7</x:v>
      </x:c>
      <x:c r="H54" s="97" t="str">
        <x:v>Confidence B (Strong). Branch: Lee / New England.</x:v>
      </x:c>
      <x:c r="I54" s="97" t="str"/>
      <x:c r="J54" s="97" t="str">
        <x:v>F028</x:v>
      </x:c>
    </x:row>
    <x:row r="55">
      <x:c r="A55" s="97" t="str">
        <x:v>I058</x:v>
      </x:c>
      <x:c r="B55" s="97" t="str">
        <x:v>Elizabeth Cleverly</x:v>
      </x:c>
      <x:c r="C55" s="97" t="str">
        <x:v>F</x:v>
      </x:c>
      <x:c r="D55" s="97" t="str"/>
      <x:c r="E55" s="97" t="str">
        <x:v>ABOUT 1681</x:v>
      </x:c>
      <x:c r="F55" s="97" t="str"/>
      <x:c r="G55" s="97" t="str">
        <x:v>S7</x:v>
      </x:c>
      <x:c r="H55" s="97" t="str">
        <x:v>Confidence B (Strong). Branch: Lee / New England.</x:v>
      </x:c>
      <x:c r="I55" s="97" t="str"/>
      <x:c r="J55" s="97" t="str">
        <x:v>F028</x:v>
      </x:c>
    </x:row>
    <x:row r="56">
      <x:c r="A56" s="97" t="str">
        <x:v>I059</x:v>
      </x:c>
      <x:c r="B56" s="97" t="str">
        <x:v>Abraham Cruttenden</x:v>
      </x:c>
      <x:c r="C56" s="97" t="str">
        <x:v>M</x:v>
      </x:c>
      <x:c r="D56" s="97" t="str"/>
      <x:c r="E56" s="97" t="str">
        <x:v>JAN 1683</x:v>
      </x:c>
      <x:c r="F56" s="97" t="str"/>
      <x:c r="G56" s="97" t="str">
        <x:v>S7</x:v>
      </x:c>
      <x:c r="H56" s="97" t="str">
        <x:v>Confidence B (Strong). Branch: Lee / New England.</x:v>
      </x:c>
      <x:c r="I56" s="97" t="str"/>
      <x:c r="J56" s="97" t="str">
        <x:v>F029</x:v>
      </x:c>
    </x:row>
    <x:row r="57">
      <x:c r="A57" s="97" t="str">
        <x:v>I060</x:v>
      </x:c>
      <x:c r="B57" s="97" t="str">
        <x:v>Mary</x:v>
      </x:c>
      <x:c r="C57" s="97" t="str">
        <x:v>F</x:v>
      </x:c>
      <x:c r="D57" s="97" t="str"/>
      <x:c r="E57" s="97" t="str">
        <x:v>ABOUT 1664</x:v>
      </x:c>
      <x:c r="F57" s="97" t="str"/>
      <x:c r="G57" s="97" t="str">
        <x:v>S7</x:v>
      </x:c>
      <x:c r="H57" s="97" t="str">
        <x:v>Confidence B (Strong). Branch: Lee / New England.</x:v>
      </x:c>
      <x:c r="I57" s="97" t="str"/>
      <x:c r="J57" s="97" t="str">
        <x:v>F029</x:v>
      </x:c>
    </x:row>
    <x:row r="58">
      <x:c r="A58" s="97" t="str">
        <x:v>I061</x:v>
      </x:c>
      <x:c r="B58" s="97" t="str">
        <x:v>Anthony Thompson</x:v>
      </x:c>
      <x:c r="C58" s="97" t="str">
        <x:v>M</x:v>
      </x:c>
      <x:c r="D58" s="97" t="str">
        <x:v>ABOUT 1612</x:v>
      </x:c>
      <x:c r="E58" s="97" t="str">
        <x:v>SEP 1648</x:v>
      </x:c>
      <x:c r="F58" s="97" t="str"/>
      <x:c r="G58" s="97" t="str">
        <x:v>S7</x:v>
      </x:c>
      <x:c r="H58" s="97" t="str">
        <x:v>Confidence B (Strong). Branch: Lee / New England.</x:v>
      </x:c>
      <x:c r="I58" s="97" t="str"/>
      <x:c r="J58" s="97" t="str">
        <x:v>F030</x:v>
      </x:c>
    </x:row>
    <x:row r="59">
      <x:c r="A59" s="97" t="str">
        <x:v>I062</x:v>
      </x:c>
      <x:c r="B59" s="97" t="str">
        <x:v>Katherine</x:v>
      </x:c>
      <x:c r="C59" s="97" t="str">
        <x:v>F</x:v>
      </x:c>
      <x:c r="D59" s="97" t="str"/>
      <x:c r="E59" s="97" t="str"/>
      <x:c r="F59" s="97" t="str"/>
      <x:c r="G59" s="97" t="str">
        <x:v>S7</x:v>
      </x:c>
      <x:c r="H59" s="97" t="str">
        <x:v>Confidence B (Strong). Branch: Lee / New England.</x:v>
      </x:c>
      <x:c r="I59" s="97" t="str"/>
      <x:c r="J59" s="97" t="str">
        <x:v>F030</x:v>
      </x:c>
    </x:row>
    <x:row r="60">
      <x:c r="A60" s="97" t="str">
        <x:v>I063</x:v>
      </x:c>
      <x:c r="B60" s="97" t="str">
        <x:v>Nathaniel Stone</x:v>
      </x:c>
      <x:c r="C60" s="97" t="str">
        <x:v>M</x:v>
      </x:c>
      <x:c r="D60" s="97" t="str">
        <x:v>2 FEB 1648; Guilford, New Haven County, Connecticut</x:v>
      </x:c>
      <x:c r="E60" s="97" t="str">
        <x:v>11 AUG 1709</x:v>
      </x:c>
      <x:c r="F60" s="97" t="str"/>
      <x:c r="G60" s="97" t="str">
        <x:v>S7</x:v>
      </x:c>
      <x:c r="H60" s="97" t="str">
        <x:v>Confidence B (Strong). Branch: Lee / New England.</x:v>
      </x:c>
      <x:c r="I60" s="97" t="str">
        <x:v>F037</x:v>
      </x:c>
      <x:c r="J60" s="97" t="str">
        <x:v>F031</x:v>
      </x:c>
    </x:row>
    <x:row r="61">
      <x:c r="A61" s="97" t="str">
        <x:v>I064</x:v>
      </x:c>
      <x:c r="B61" s="97" t="str">
        <x:v>Mary Bartlett</x:v>
      </x:c>
      <x:c r="C61" s="97" t="str">
        <x:v>F</x:v>
      </x:c>
      <x:c r="D61" s="97" t="str">
        <x:v>1 FEB 1655</x:v>
      </x:c>
      <x:c r="E61" s="97" t="str">
        <x:v>5 NOV 1724</x:v>
      </x:c>
      <x:c r="F61" s="97" t="str"/>
      <x:c r="G61" s="97" t="str">
        <x:v>S7</x:v>
      </x:c>
      <x:c r="H61" s="97" t="str">
        <x:v>Confidence B (Strong). Branch: Lee / New England. Her parents were not supplied on the consulted Ahnentafel page.</x:v>
      </x:c>
      <x:c r="I61" s="97" t="str"/>
      <x:c r="J61" s="97" t="str">
        <x:v>F031</x:v>
      </x:c>
    </x:row>
    <x:row r="62">
      <x:c r="A62" s="97" t="str">
        <x:v>I065</x:v>
      </x:c>
      <x:c r="B62" s="97" t="str">
        <x:v>John Meigs</x:v>
      </x:c>
      <x:c r="C62" s="97" t="str">
        <x:v>M</x:v>
      </x:c>
      <x:c r="D62" s="97" t="str">
        <x:v>28 FEB 1641</x:v>
      </x:c>
      <x:c r="E62" s="97" t="str">
        <x:v>9 NOV 1713</x:v>
      </x:c>
      <x:c r="F62" s="97" t="str"/>
      <x:c r="G62" s="97" t="str">
        <x:v>S7</x:v>
      </x:c>
      <x:c r="H62" s="97" t="str">
        <x:v>Confidence B (Strong). Branch: Lee / New England.</x:v>
      </x:c>
      <x:c r="I62" s="97" t="str">
        <x:v>F038</x:v>
      </x:c>
      <x:c r="J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v>S7</x:v>
      </x:c>
      <x:c r="H63" s="97" t="str">
        <x:v>Confidence B (Strong). Branch: Lee / New England.</x:v>
      </x:c>
      <x:c r="I63" s="97" t="str">
        <x:v>F039</x:v>
      </x:c>
      <x:c r="J63" s="97" t="str">
        <x:v>F032</x:v>
      </x:c>
    </x:row>
    <x:row r="64">
      <x:c r="A64" s="97" t="str">
        <x:v>I067</x:v>
      </x:c>
      <x:c r="B64" s="97" t="str">
        <x:v>Daniel Evarts</x:v>
      </x:c>
      <x:c r="C64" s="97" t="str">
        <x:v>M</x:v>
      </x:c>
      <x:c r="D64" s="97" t="str">
        <x:v>ABOUT 1645</x:v>
      </x:c>
      <x:c r="E64" s="97" t="str">
        <x:v>5 DEC 1692</x:v>
      </x:c>
      <x:c r="F64" s="97" t="str"/>
      <x:c r="G64" s="97" t="str">
        <x:v>S7</x:v>
      </x:c>
      <x:c r="H64" s="97" t="str">
        <x:v>Confidence B (Strong). Branch: Lee / New England.</x:v>
      </x:c>
      <x:c r="I64" s="97" t="str">
        <x:v>F040</x:v>
      </x:c>
      <x:c r="J64" s="97" t="str">
        <x:v>F034</x:v>
      </x:c>
    </x:row>
    <x:row r="65">
      <x:c r="A65" s="97" t="str">
        <x:v>I068</x:v>
      </x:c>
      <x:c r="B65" s="97" t="str">
        <x:v>Rebecca Dowd</x:v>
      </x:c>
      <x:c r="C65" s="97" t="str">
        <x:v>F</x:v>
      </x:c>
      <x:c r="D65" s="97" t="str"/>
      <x:c r="E65" s="97" t="str">
        <x:v>16 OCT 1703</x:v>
      </x:c>
      <x:c r="F65" s="97" t="str"/>
      <x:c r="G65" s="97" t="str">
        <x:v>S7</x:v>
      </x:c>
      <x:c r="H65" s="97" t="str">
        <x:v>Confidence B (Strong). Branch: Lee / New England.</x:v>
      </x:c>
      <x:c r="I65" s="97" t="str">
        <x:v>F041</x:v>
      </x:c>
      <x:c r="J65" s="97" t="str">
        <x:v>F034</x:v>
      </x:c>
    </x:row>
    <x:row r="66">
      <x:c r="A66" s="97" t="str">
        <x:v>I069</x:v>
      </x:c>
      <x:c r="B66" s="97" t="str">
        <x:v>Andrew Ward Jr.</x:v>
      </x:c>
      <x:c r="C66" s="97" t="str">
        <x:v>M</x:v>
      </x:c>
      <x:c r="D66" s="97" t="str">
        <x:v>ABOUT 1644</x:v>
      </x:c>
      <x:c r="E66" s="97" t="str">
        <x:v>ABOUT 1690</x:v>
      </x:c>
      <x:c r="F66" s="97" t="str"/>
      <x:c r="G66" s="97" t="str">
        <x:v>S7</x:v>
      </x:c>
      <x:c r="H66" s="97" t="str">
        <x:v>Confidence B (Strong). Branch: Lee / New England.</x:v>
      </x:c>
      <x:c r="I66" s="97" t="str">
        <x:v>F042</x:v>
      </x:c>
      <x:c r="J66" s="97" t="str">
        <x:v>F035</x:v>
      </x:c>
    </x:row>
    <x:row r="67">
      <x:c r="A67" s="97" t="str">
        <x:v>I070</x:v>
      </x:c>
      <x:c r="B67" s="97" t="str">
        <x:v>Trial Meigs</x:v>
      </x:c>
      <x:c r="C67" s="97" t="str">
        <x:v>F</x:v>
      </x:c>
      <x:c r="D67" s="97" t="str">
        <x:v>ABOUT 1646; probably New Haven, Connecticut</x:v>
      </x:c>
      <x:c r="E67" s="97" t="str">
        <x:v>ABOUT 1690</x:v>
      </x:c>
      <x:c r="F67" s="97" t="str"/>
      <x:c r="G67" s="97" t="str">
        <x:v>S7</x:v>
      </x:c>
      <x:c r="H67" s="97" t="str">
        <x:v>Confidence B (Strong). Branch: Lee / New England. Pedigree collapse: the same John Meigs and Tamasin Fry are also ancestors through Sarah Meigs.</x:v>
      </x:c>
      <x:c r="I67" s="97" t="str">
        <x:v>F033</x:v>
      </x:c>
      <x:c r="J67" s="97" t="str">
        <x:v>F035</x:v>
      </x:c>
    </x:row>
    <x:row r="68">
      <x:c r="A68" s="97" t="str">
        <x:v>I071</x:v>
      </x:c>
      <x:c r="B68" s="97" t="str">
        <x:v>John Beach</x:v>
      </x:c>
      <x:c r="C68" s="97" t="str">
        <x:v>M</x:v>
      </x:c>
      <x:c r="D68" s="97" t="str">
        <x:v>19 OCT 1655; Milford, New Haven County, Connecticut</x:v>
      </x:c>
      <x:c r="E68" s="97" t="str">
        <x:v>ABOUT 1709</x:v>
      </x:c>
      <x:c r="F68" s="97" t="str"/>
      <x:c r="G68" s="97" t="str">
        <x:v>S7</x:v>
      </x:c>
      <x:c r="H68" s="97" t="str">
        <x:v>Confidence B (Strong). Branch: Lee / New England.</x:v>
      </x:c>
      <x:c r="I68" s="97" t="str">
        <x:v>F043</x:v>
      </x:c>
      <x:c r="J68" s="97" t="str">
        <x:v>F036</x:v>
      </x:c>
    </x:row>
    <x:row r="69">
      <x:c r="A69" s="97" t="str">
        <x:v>I072</x:v>
      </x:c>
      <x:c r="B69" s="97" t="str">
        <x:v>Mary Royce</x:v>
      </x:c>
      <x:c r="C69" s="97" t="str">
        <x:v>F</x:v>
      </x:c>
      <x:c r="D69" s="97" t="str">
        <x:v>ABOUT 1658</x:v>
      </x:c>
      <x:c r="E69" s="97" t="str"/>
      <x:c r="F69" s="97" t="str"/>
      <x:c r="G69" s="97" t="str">
        <x:v>S7</x:v>
      </x:c>
      <x:c r="H69" s="97" t="str">
        <x:v>Confidence B (Strong). Branch: Lee / New England.</x:v>
      </x:c>
      <x:c r="I69" s="97" t="str">
        <x:v>F044</x:v>
      </x:c>
      <x:c r="J69" s="97" t="str">
        <x:v>F036</x:v>
      </x:c>
    </x:row>
    <x:row r="70">
      <x:c r="A70" s="97" t="str">
        <x:v>I073</x:v>
      </x:c>
      <x:c r="B70" s="97" t="str">
        <x:v>John Stone</x:v>
      </x:c>
      <x:c r="C70" s="97" t="str">
        <x:v>M</x:v>
      </x:c>
      <x:c r="D70" s="97" t="str">
        <x:v>ABOUT 1610</x:v>
      </x:c>
      <x:c r="E70" s="97" t="str">
        <x:v>FEB 1687; Guilford, New Haven County, Connecticut</x:v>
      </x:c>
      <x:c r="F70" s="97" t="str"/>
      <x:c r="G70" s="97" t="str">
        <x:v>S7</x:v>
      </x:c>
      <x:c r="H70" s="97" t="str">
        <x:v>Confidence B (Strong). Branch: Lee / New England.</x:v>
      </x:c>
      <x:c r="I70" s="97" t="str"/>
      <x:c r="J70" s="97" t="str">
        <x:v>F037</x:v>
      </x:c>
    </x:row>
    <x:row r="71">
      <x:c r="A71" s="97" t="str">
        <x:v>I074</x:v>
      </x:c>
      <x:c r="B71" s="97" t="str">
        <x:v>Mary</x:v>
      </x:c>
      <x:c r="C71" s="97" t="str">
        <x:v>F</x:v>
      </x:c>
      <x:c r="D71" s="97" t="str"/>
      <x:c r="E71" s="97" t="str">
        <x:v>FEB 1687; Guilford, New Haven County, Connecticut</x:v>
      </x:c>
      <x:c r="F71" s="97" t="str"/>
      <x:c r="G71" s="97" t="str">
        <x:v>S7</x:v>
      </x:c>
      <x:c r="H71" s="97" t="str">
        <x:v>Confidence B (Strong). Branch: Lee / New England.</x:v>
      </x:c>
      <x:c r="I71" s="97" t="str"/>
      <x:c r="J71" s="97" t="str">
        <x:v>F037</x:v>
      </x:c>
    </x:row>
    <x:row r="72">
      <x:c r="A72" s="97" t="str">
        <x:v>I075</x:v>
      </x:c>
      <x:c r="B72" s="97" t="str">
        <x:v>Vincent Meigs</x:v>
      </x:c>
      <x:c r="C72" s="97" t="str">
        <x:v>M</x:v>
      </x:c>
      <x:c r="D72" s="97" t="str">
        <x:v>ABOUT 1583</x:v>
      </x:c>
      <x:c r="E72" s="97" t="str">
        <x:v>DEC 1658; Killingworth, Middlesex County, Connecticut</x:v>
      </x:c>
      <x:c r="F72" s="97" t="str"/>
      <x:c r="G72" s="97" t="str">
        <x:v>S7</x:v>
      </x:c>
      <x:c r="H72" s="97" t="str">
        <x:v>Confidence C (Provisional). Branch: Lee / New England.</x:v>
      </x:c>
      <x:c r="I72" s="97" t="str"/>
      <x:c r="J72" s="97" t="str">
        <x:v>F038</x:v>
      </x:c>
    </x:row>
    <x:row r="73">
      <x:c r="A73" s="97" t="str">
        <x:v>I076</x:v>
      </x:c>
      <x:c r="B73" s="97" t="str">
        <x:v>Tamasin Fry</x:v>
      </x:c>
      <x:c r="C73" s="97" t="str">
        <x:v>F</x:v>
      </x:c>
      <x:c r="D73" s="97" t="str"/>
      <x:c r="E73" s="97" t="str">
        <x:v>AFTER 28 AUG 1671</x:v>
      </x:c>
      <x:c r="F73" s="97" t="str"/>
      <x:c r="G73" s="97" t="str">
        <x:v>S7</x:v>
      </x:c>
      <x:c r="H73" s="97" t="str">
        <x:v>Confidence B (Strong). Branch: Lee / New England.</x:v>
      </x:c>
      <x:c r="I73" s="97" t="str"/>
      <x:c r="J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v>S7</x:v>
      </x:c>
      <x:c r="H74" s="97" t="str">
        <x:v>Confidence B (Strong). Branch: Lee / New England.</x:v>
      </x:c>
      <x:c r="I74" s="97" t="str"/>
      <x:c r="J74" s="97" t="str">
        <x:v>F039</x:v>
      </x:c>
    </x:row>
    <x:row r="75">
      <x:c r="A75" s="97" t="str">
        <x:v>I078</x:v>
      </x:c>
      <x:c r="B75" s="97" t="str">
        <x:v>Margaret Harvey</x:v>
      </x:c>
      <x:c r="C75" s="97" t="str">
        <x:v>F</x:v>
      </x:c>
      <x:c r="D75" s="97" t="str"/>
      <x:c r="E75" s="97" t="str"/>
      <x:c r="F75" s="97" t="str"/>
      <x:c r="G75" s="97" t="str">
        <x:v>S7</x:v>
      </x:c>
      <x:c r="H75" s="97" t="str">
        <x:v>Confidence B (Strong). Branch: Lee / New England.</x:v>
      </x:c>
      <x:c r="I75" s="97" t="str">
        <x:v>F045</x:v>
      </x:c>
      <x:c r="J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v>S7</x:v>
      </x:c>
      <x:c r="H76" s="97" t="str">
        <x:v>Confidence B (Strong). Branch: Lee / New England.</x:v>
      </x:c>
      <x:c r="I76" s="97" t="str"/>
      <x:c r="J76" s="97" t="str">
        <x:v>F040</x:v>
      </x:c>
    </x:row>
    <x:row r="77">
      <x:c r="A77" s="97" t="str">
        <x:v>I080</x:v>
      </x:c>
      <x:c r="B77" s="97" t="str">
        <x:v>Elizabeth</x:v>
      </x:c>
      <x:c r="C77" s="97" t="str">
        <x:v>F</x:v>
      </x:c>
      <x:c r="D77" s="97" t="str"/>
      <x:c r="E77" s="97" t="str"/>
      <x:c r="F77" s="97" t="str"/>
      <x:c r="G77" s="97" t="str">
        <x:v>S7</x:v>
      </x:c>
      <x:c r="H77" s="97" t="str">
        <x:v>Confidence B (Strong). Branch: Lee / New England.</x:v>
      </x:c>
      <x:c r="I77" s="97" t="str"/>
      <x:c r="J77" s="97" t="str">
        <x:v>F040</x:v>
      </x:c>
    </x:row>
    <x:row r="78">
      <x:c r="A78" s="97" t="str">
        <x:v>I081</x:v>
      </x:c>
      <x:c r="B78" s="97" t="str">
        <x:v>Henry Dowd</x:v>
      </x:c>
      <x:c r="C78" s="97" t="str">
        <x:v>M</x:v>
      </x:c>
      <x:c r="D78" s="97" t="str"/>
      <x:c r="E78" s="97" t="str"/>
      <x:c r="F78" s="97" t="str"/>
      <x:c r="G78" s="97" t="str">
        <x:v>S7</x:v>
      </x:c>
      <x:c r="H78" s="97" t="str">
        <x:v>Confidence B (Strong). Branch: Lee / New England.</x:v>
      </x:c>
      <x:c r="I78" s="97" t="str"/>
      <x:c r="J78" s="97" t="str">
        <x:v>F041</x:v>
      </x:c>
    </x:row>
    <x:row r="79">
      <x:c r="A79" s="97" t="str">
        <x:v>I082</x:v>
      </x:c>
      <x:c r="B79" s="97" t="str">
        <x:v>Andrew Ward</x:v>
      </x:c>
      <x:c r="C79" s="97" t="str">
        <x:v>M</x:v>
      </x:c>
      <x:c r="D79" s="97" t="str">
        <x:v>ABOUT 1603</x:v>
      </x:c>
      <x:c r="E79" s="97" t="str">
        <x:v>1659</x:v>
      </x:c>
      <x:c r="F79" s="97" t="str"/>
      <x:c r="G79" s="97" t="str">
        <x:v>S7</x:v>
      </x:c>
      <x:c r="H79" s="97" t="str">
        <x:v>Confidence B (Strong). Branch: Lee / New England.</x:v>
      </x:c>
      <x:c r="I79" s="97" t="str"/>
      <x:c r="J79" s="97" t="str">
        <x:v>F042</x:v>
      </x:c>
    </x:row>
    <x:row r="80">
      <x:c r="A80" s="97" t="str">
        <x:v>I083</x:v>
      </x:c>
      <x:c r="B80" s="97" t="str">
        <x:v>Hester Sherman</x:v>
      </x:c>
      <x:c r="C80" s="97" t="str">
        <x:v>F</x:v>
      </x:c>
      <x:c r="D80" s="97" t="str">
        <x:v>BAPTIZED 1 APR 1606; Dedham, Essex, England</x:v>
      </x:c>
      <x:c r="E80" s="97" t="str">
        <x:v>1665/66</x:v>
      </x:c>
      <x:c r="F80" s="97" t="str"/>
      <x:c r="G80" s="97" t="str">
        <x:v>S7</x:v>
      </x:c>
      <x:c r="H80" s="97" t="str">
        <x:v>Confidence B (Strong). Branch: Lee / New England.</x:v>
      </x:c>
      <x:c r="I80" s="97" t="str">
        <x:v>F046</x:v>
      </x:c>
      <x:c r="J80" s="97" t="str">
        <x:v>F042</x:v>
      </x:c>
    </x:row>
    <x:row r="81">
      <x:c r="A81" s="97" t="str">
        <x:v>I084</x:v>
      </x:c>
      <x:c r="B81" s="97" t="str">
        <x:v>Thomas Beach</x:v>
      </x:c>
      <x:c r="C81" s="97" t="str">
        <x:v>M</x:v>
      </x:c>
      <x:c r="D81" s="97" t="str"/>
      <x:c r="E81" s="97" t="str">
        <x:v>BY 31 MAY 1662; Milford, New Haven County, Connecticut</x:v>
      </x:c>
      <x:c r="F81" s="97" t="str"/>
      <x:c r="G81" s="97" t="str">
        <x:v>S7</x:v>
      </x:c>
      <x:c r="H81" s="97" t="str">
        <x:v>Confidence B (Strong). Branch: Lee / New England.</x:v>
      </x:c>
      <x:c r="I81" s="97" t="str">
        <x:v>F047</x:v>
      </x:c>
      <x:c r="J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v>S7</x:v>
      </x:c>
      <x:c r="H82" s="97" t="str">
        <x:v>Confidence B (Strong). Branch: Lee / New England.</x:v>
      </x:c>
      <x:c r="I82" s="97" t="str">
        <x:v>F048</x:v>
      </x:c>
      <x:c r="J82" s="97" t="str">
        <x:v>F043</x:v>
      </x:c>
    </x:row>
    <x:row r="83">
      <x:c r="A83" s="97" t="str">
        <x:v>I086</x:v>
      </x:c>
      <x:c r="B83" s="97" t="str">
        <x:v>Jonathan Royce</x:v>
      </x:c>
      <x:c r="C83" s="97" t="str">
        <x:v>M</x:v>
      </x:c>
      <x:c r="D83" s="97" t="str"/>
      <x:c r="E83" s="97" t="str">
        <x:v>ABOUT 1690</x:v>
      </x:c>
      <x:c r="F83" s="97" t="str"/>
      <x:c r="G83" s="97" t="str">
        <x:v>S7</x:v>
      </x:c>
      <x:c r="H83" s="97" t="str">
        <x:v>Confidence B (Strong). Branch: Lee / New England.</x:v>
      </x:c>
      <x:c r="I83" s="97" t="str">
        <x:v>F049</x:v>
      </x:c>
      <x:c r="J83" s="97" t="str">
        <x:v>F044</x:v>
      </x:c>
    </x:row>
    <x:row r="84">
      <x:c r="A84" s="97" t="str">
        <x:v>I087</x:v>
      </x:c>
      <x:c r="B84" s="97" t="str">
        <x:v>Ann Spinning</x:v>
      </x:c>
      <x:c r="C84" s="97" t="str">
        <x:v>F</x:v>
      </x:c>
      <x:c r="D84" s="97" t="str"/>
      <x:c r="E84" s="97" t="str">
        <x:v>ABOUT 1658</x:v>
      </x:c>
      <x:c r="F84" s="97" t="str"/>
      <x:c r="G84" s="97" t="str">
        <x:v>S7</x:v>
      </x:c>
      <x:c r="H84" s="97" t="str">
        <x:v>Confidence B (Strong). Branch: Lee / New England.</x:v>
      </x:c>
      <x:c r="I84" s="97" t="str">
        <x:v>F050</x:v>
      </x:c>
      <x:c r="J84" s="97" t="str">
        <x:v>F044</x:v>
      </x:c>
    </x:row>
    <x:row r="85">
      <x:c r="A85" s="97" t="str">
        <x:v>I088</x:v>
      </x:c>
      <x:c r="B85" s="97" t="str">
        <x:v>James Harvey</x:v>
      </x:c>
      <x:c r="C85" s="97" t="str">
        <x:v>M</x:v>
      </x:c>
      <x:c r="D85" s="97" t="str"/>
      <x:c r="E85" s="97" t="str"/>
      <x:c r="F85" s="97" t="str"/>
      <x:c r="G85" s="97" t="str">
        <x:v>S7</x:v>
      </x:c>
      <x:c r="H85" s="97" t="str">
        <x:v>Confidence C (Provisional). Branch: Lee / New England.</x:v>
      </x:c>
      <x:c r="I85" s="97" t="str"/>
      <x:c r="J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v>S7</x:v>
      </x:c>
      <x:c r="H86" s="97" t="str">
        <x:v>Confidence C (Provisional). Branch: Lee / New England.</x:v>
      </x:c>
      <x:c r="I86" s="97" t="str">
        <x:v>F051</x:v>
      </x:c>
      <x:c r="J86" s="97" t="str">
        <x:v>F046</x:v>
      </x:c>
    </x:row>
    <x:row r="87">
      <x:c r="A87" s="97" t="str">
        <x:v>I090</x:v>
      </x:c>
      <x:c r="B87" s="97" t="str">
        <x:v>Grace Makin</x:v>
      </x:c>
      <x:c r="C87" s="97" t="str">
        <x:v>F</x:v>
      </x:c>
      <x:c r="D87" s="97" t="str">
        <x:v>ABOUT 1578</x:v>
      </x:c>
      <x:c r="E87" s="97" t="str">
        <x:v>AFTER 14 JUN 1643</x:v>
      </x:c>
      <x:c r="F87" s="97" t="str"/>
      <x:c r="G87" s="97" t="str">
        <x:v>S7</x:v>
      </x:c>
      <x:c r="H87" s="97" t="str">
        <x:v>Confidence C (Provisional). Branch: Lee / New England.</x:v>
      </x:c>
      <x:c r="I87" s="97" t="str">
        <x:v>F052</x:v>
      </x:c>
      <x:c r="J87" s="97" t="str">
        <x:v>F046</x:v>
      </x:c>
    </x:row>
    <x:row r="88">
      <x:c r="A88" s="97" t="str">
        <x:v>I091</x:v>
      </x:c>
      <x:c r="B88" s="97" t="str">
        <x:v>Unknown Beach</x:v>
      </x:c>
      <x:c r="C88" s="97" t="str">
        <x:v>M</x:v>
      </x:c>
      <x:c r="D88" s="97" t="str"/>
      <x:c r="E88" s="97" t="str"/>
      <x:c r="F88" s="97" t="str"/>
      <x:c r="G88" s="97" t="str">
        <x:v>S7</x:v>
      </x:c>
      <x:c r="H88" s="97" t="str">
        <x:v>Confidence C (Provisional). Branch: Lee / New England. Only the surname is supplied in the consulted Ahnentafel.</x:v>
      </x:c>
      <x:c r="I88" s="97" t="str"/>
      <x:c r="J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v>S7</x:v>
      </x:c>
      <x:c r="H89" s="97" t="str">
        <x:v>Confidence B (Strong). Branch: Lee / New England.</x:v>
      </x:c>
      <x:c r="I89" s="97" t="str">
        <x:v>F053</x:v>
      </x:c>
      <x:c r="J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v>S7</x:v>
      </x:c>
      <x:c r="H90" s="97" t="str">
        <x:v>Confidence B (Strong). Branch: Lee / New England.</x:v>
      </x:c>
      <x:c r="I90" s="97" t="str">
        <x:v>F054</x:v>
      </x:c>
      <x:c r="J90" s="97" t="str">
        <x:v>F048</x:v>
      </x:c>
    </x:row>
    <x:row r="91">
      <x:c r="A91" s="97" t="str">
        <x:v>I094</x:v>
      </x:c>
      <x:c r="B91" s="97" t="str">
        <x:v>Robert Royce</x:v>
      </x:c>
      <x:c r="C91" s="97" t="str">
        <x:v>M</x:v>
      </x:c>
      <x:c r="D91" s="97" t="str"/>
      <x:c r="E91" s="97" t="str">
        <x:v>ABOUT 1676; New London, Connecticut</x:v>
      </x:c>
      <x:c r="F91" s="97" t="str"/>
      <x:c r="G91" s="97" t="str">
        <x:v>S7</x:v>
      </x:c>
      <x:c r="H91" s="97" t="str">
        <x:v>Confidence B (Strong). Branch: Lee / New England.</x:v>
      </x:c>
      <x:c r="I91" s="97" t="str"/>
      <x:c r="J91" s="97" t="str">
        <x:v>F049</x:v>
      </x:c>
    </x:row>
    <x:row r="92">
      <x:c r="A92" s="97" t="str">
        <x:v>I095</x:v>
      </x:c>
      <x:c r="B92" s="97" t="str">
        <x:v>Mary</x:v>
      </x:c>
      <x:c r="C92" s="97" t="str">
        <x:v>F</x:v>
      </x:c>
      <x:c r="D92" s="97" t="str">
        <x:v>ABOUT 1609</x:v>
      </x:c>
      <x:c r="E92" s="97" t="str">
        <x:v>ABOUT 1696; Wallingford, Connecticut</x:v>
      </x:c>
      <x:c r="F92" s="97" t="str"/>
      <x:c r="G92" s="97" t="str">
        <x:v>S7</x:v>
      </x:c>
      <x:c r="H92" s="97" t="str">
        <x:v>Confidence B (Strong). Branch: Lee / New England.</x:v>
      </x:c>
      <x:c r="I92" s="97" t="str"/>
      <x:c r="J92" s="97" t="str">
        <x:v>F049</x:v>
      </x:c>
    </x:row>
    <x:row r="93">
      <x:c r="A93" s="97" t="str">
        <x:v>I096</x:v>
      </x:c>
      <x:c r="B93" s="97" t="str">
        <x:v>Humphrey Spinning</x:v>
      </x:c>
      <x:c r="C93" s="97" t="str">
        <x:v>M</x:v>
      </x:c>
      <x:c r="D93" s="97" t="str"/>
      <x:c r="E93" s="97" t="str"/>
      <x:c r="F93" s="97" t="str"/>
      <x:c r="G93" s="97" t="str">
        <x:v>S7</x:v>
      </x:c>
      <x:c r="H93" s="97" t="str">
        <x:v>Confidence C (Provisional). Branch: Lee / New England.</x:v>
      </x:c>
      <x:c r="I93" s="97" t="str"/>
      <x:c r="J93" s="97" t="str">
        <x:v>F050</x:v>
      </x:c>
    </x:row>
    <x:row r="94">
      <x:c r="A94" s="97" t="str">
        <x:v>I097</x:v>
      </x:c>
      <x:c r="B94" s="97" t="str">
        <x:v>Edmund Sherman</x:v>
      </x:c>
      <x:c r="C94" s="97" t="str">
        <x:v>M</x:v>
      </x:c>
      <x:c r="D94" s="97" t="str">
        <x:v>ABOUT 1548</x:v>
      </x:c>
      <x:c r="E94" s="97" t="str">
        <x:v>BURIED 22 DEC 1600; Dedham, Essex, England</x:v>
      </x:c>
      <x:c r="F94" s="97" t="str"/>
      <x:c r="G94" s="97" t="str">
        <x:v>S7</x:v>
      </x:c>
      <x:c r="H94" s="97" t="str">
        <x:v>Confidence C (Provisional). Branch: Lee / New England.</x:v>
      </x:c>
      <x:c r="I94" s="97" t="str">
        <x:v>F055</x:v>
      </x:c>
      <x:c r="J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v>S7</x:v>
      </x:c>
      <x:c r="H95" s="97" t="str">
        <x:v>Confidence C (Provisional). Branch: Lee / New England.</x:v>
      </x:c>
      <x:c r="I95" s="97" t="str">
        <x:v>F056</x:v>
      </x:c>
      <x:c r="J95" s="97" t="str">
        <x:v>F051</x:v>
      </x:c>
    </x:row>
    <x:row r="96">
      <x:c r="A96" s="97" t="str">
        <x:v>I099</x:v>
      </x:c>
      <x:c r="B96" s="97" t="str">
        <x:v>Tobias Makin</x:v>
      </x:c>
      <x:c r="C96" s="97" t="str">
        <x:v>M</x:v>
      </x:c>
      <x:c r="D96" s="97" t="str"/>
      <x:c r="E96" s="97" t="str">
        <x:v>1610; probably Fingringhoe, Essex, England</x:v>
      </x:c>
      <x:c r="F96" s="97" t="str"/>
      <x:c r="G96" s="97" t="str">
        <x:v>S7</x:v>
      </x:c>
      <x:c r="H96" s="97" t="str">
        <x:v>Confidence C (Provisional). Branch: Lee / New England.</x:v>
      </x:c>
      <x:c r="I96" s="97" t="str">
        <x:v>F057</x:v>
      </x:c>
      <x:c r="J96" s="97" t="str">
        <x:v>F052</x:v>
      </x:c>
    </x:row>
    <x:row r="97">
      <x:c r="A97" s="97" t="str">
        <x:v>I100</x:v>
      </x:c>
      <x:c r="B97" s="97" t="str">
        <x:v>Katherine Westbrome</x:v>
      </x:c>
      <x:c r="C97" s="97" t="str">
        <x:v>F</x:v>
      </x:c>
      <x:c r="D97" s="97" t="str"/>
      <x:c r="E97" s="97" t="str"/>
      <x:c r="F97" s="97" t="str"/>
      <x:c r="G97" s="97" t="str">
        <x:v>S7</x:v>
      </x:c>
      <x:c r="H97" s="97" t="str">
        <x:v>Confidence C (Provisional). Branch: Lee / New England.</x:v>
      </x:c>
      <x:c r="I97" s="97" t="str">
        <x:v>F058</x:v>
      </x:c>
      <x:c r="J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v>S7</x:v>
      </x:c>
      <x:c r="H98" s="97" t="str">
        <x:v>Confidence C (Provisional). Branch: Lee / New England.</x:v>
      </x:c>
      <x:c r="I98" s="97" t="str">
        <x:v>F059</x:v>
      </x:c>
      <x:c r="J98" s="97" t="str">
        <x:v>F053</x:v>
      </x:c>
    </x:row>
    <x:row r="99">
      <x:c r="A99" s="97" t="str">
        <x:v>I102</x:v>
      </x:c>
      <x:c r="B99" s="97" t="str">
        <x:v>Mary</x:v>
      </x:c>
      <x:c r="C99" s="97" t="str">
        <x:v>F</x:v>
      </x:c>
      <x:c r="D99" s="97" t="str"/>
      <x:c r="E99" s="97" t="str"/>
      <x:c r="F99" s="97" t="str"/>
      <x:c r="G99" s="97" t="str">
        <x:v>S7</x:v>
      </x:c>
      <x:c r="H99" s="97" t="str">
        <x:v>Confidence C (Provisional). Branch: Lee / New England.</x:v>
      </x:c>
      <x:c r="I99" s="97" t="str"/>
      <x:c r="J99" s="97" t="str">
        <x:v>F053</x:v>
      </x:c>
    </x:row>
    <x:row r="100">
      <x:c r="A100" s="97" t="str">
        <x:v>I103</x:v>
      </x:c>
      <x:c r="B100" s="97" t="str">
        <x:v>John Wood</x:v>
      </x:c>
      <x:c r="C100" s="97" t="str">
        <x:v>M</x:v>
      </x:c>
      <x:c r="D100" s="97" t="str"/>
      <x:c r="E100" s="97" t="str"/>
      <x:c r="F100" s="97" t="str"/>
      <x:c r="G100" s="97" t="str">
        <x:v>S7</x:v>
      </x:c>
      <x:c r="H100" s="97" t="str">
        <x:v>Confidence C (Provisional). Branch: Lee / New England.</x:v>
      </x:c>
      <x:c r="I100" s="97" t="str"/>
      <x:c r="J100" s="97" t="str">
        <x:v>F054</x:v>
      </x:c>
    </x:row>
    <x:row r="101">
      <x:c r="A101" s="97" t="str">
        <x:v>I104</x:v>
      </x:c>
      <x:c r="B101" s="97" t="str">
        <x:v>Jane</x:v>
      </x:c>
      <x:c r="C101" s="97" t="str">
        <x:v>F</x:v>
      </x:c>
      <x:c r="D101" s="97" t="str"/>
      <x:c r="E101" s="97" t="str"/>
      <x:c r="F101" s="97" t="str"/>
      <x:c r="G101" s="97" t="str">
        <x:v>S7</x:v>
      </x:c>
      <x:c r="H101" s="97" t="str">
        <x:v>Confidence C (Provisional). Branch: Lee / New England.</x:v>
      </x:c>
      <x:c r="I101" s="97" t="str"/>
      <x:c r="J101" s="97" t="str">
        <x:v>F054</x:v>
      </x:c>
    </x:row>
    <x:row r="102">
      <x:c r="A102" s="97" t="str">
        <x:v>I105</x:v>
      </x:c>
      <x:c r="B102" s="97" t="str">
        <x:v>Henry Sherman</x:v>
      </x:c>
      <x:c r="C102" s="97" t="str">
        <x:v>M</x:v>
      </x:c>
      <x:c r="D102" s="97" t="str">
        <x:v>ABOUT 1512</x:v>
      </x:c>
      <x:c r="E102" s="97" t="str">
        <x:v>1589/90</x:v>
      </x:c>
      <x:c r="F102" s="97" t="str"/>
      <x:c r="G102" s="97" t="str">
        <x:v>S7</x:v>
      </x:c>
      <x:c r="H102" s="97" t="str">
        <x:v>Confidence C (Provisional). Branch: Lee / New England. Oldest dated ancestor in the compiled Lee branch used here.</x:v>
      </x:c>
      <x:c r="I102" s="97" t="str"/>
      <x:c r="J102" s="97" t="str">
        <x:v>F055</x:v>
      </x:c>
    </x:row>
    <x:row r="103">
      <x:c r="A103" s="97" t="str">
        <x:v>I106</x:v>
      </x:c>
      <x:c r="B103" s="97" t="str">
        <x:v>Agnes</x:v>
      </x:c>
      <x:c r="C103" s="97" t="str">
        <x:v>F</x:v>
      </x:c>
      <x:c r="D103" s="97" t="str"/>
      <x:c r="E103" s="97" t="str">
        <x:v>BURIED 14 OCT 1580; Dedham, Essex, England</x:v>
      </x:c>
      <x:c r="F103" s="97" t="str"/>
      <x:c r="G103" s="97" t="str">
        <x:v>S7</x:v>
      </x:c>
      <x:c r="H103" s="97" t="str">
        <x:v>Confidence C (Provisional). Branch: Lee / New England.</x:v>
      </x:c>
      <x:c r="I103" s="97" t="str"/>
      <x:c r="J103" s="97" t="str">
        <x:v>F055</x:v>
      </x:c>
    </x:row>
    <x:row r="104">
      <x:c r="A104" s="97" t="str">
        <x:v>I107</x:v>
      </x:c>
      <x:c r="B104" s="97" t="str">
        <x:v>William Pellett</x:v>
      </x:c>
      <x:c r="C104" s="97" t="str">
        <x:v>M</x:v>
      </x:c>
      <x:c r="D104" s="97" t="str"/>
      <x:c r="E104" s="97" t="str"/>
      <x:c r="F104" s="97" t="str"/>
      <x:c r="G104" s="97" t="str">
        <x:v>S7</x:v>
      </x:c>
      <x:c r="H104" s="97" t="str">
        <x:v>Confidence C (Provisional). Branch: Lee / New England.</x:v>
      </x:c>
      <x:c r="I104" s="97" t="str"/>
      <x:c r="J104" s="97" t="str">
        <x:v>F056</x:v>
      </x:c>
    </x:row>
    <x:row r="105">
      <x:c r="A105" s="97" t="str">
        <x:v>I108</x:v>
      </x:c>
      <x:c r="B105" s="97" t="str">
        <x:v>John Makin</x:v>
      </x:c>
      <x:c r="C105" s="97" t="str">
        <x:v>M</x:v>
      </x:c>
      <x:c r="D105" s="97" t="str"/>
      <x:c r="E105" s="97" t="str">
        <x:v>AFTER 16 MAR 1562/63</x:v>
      </x:c>
      <x:c r="F105" s="97" t="str"/>
      <x:c r="G105" s="97" t="str">
        <x:v>S7</x:v>
      </x:c>
      <x:c r="H105" s="97" t="str">
        <x:v>Confidence C (Provisional). Branch: Lee / New England.</x:v>
      </x:c>
      <x:c r="I105" s="97" t="str"/>
      <x:c r="J105" s="97" t="str">
        <x:v>F057</x:v>
      </x:c>
    </x:row>
    <x:row r="106">
      <x:c r="A106" s="97" t="str">
        <x:v>I109</x:v>
      </x:c>
      <x:c r="B106" s="97" t="str">
        <x:v>Agnes</x:v>
      </x:c>
      <x:c r="C106" s="97" t="str">
        <x:v>F</x:v>
      </x:c>
      <x:c r="D106" s="97" t="str"/>
      <x:c r="E106" s="97" t="str"/>
      <x:c r="F106" s="97" t="str"/>
      <x:c r="G106" s="97" t="str">
        <x:v>S7</x:v>
      </x:c>
      <x:c r="H106" s="97" t="str">
        <x:v>Confidence C (Provisional). Branch: Lee / New England.</x:v>
      </x:c>
      <x:c r="I106" s="97" t="str"/>
      <x:c r="J106" s="97" t="str">
        <x:v>F057</x:v>
      </x:c>
    </x:row>
    <x:row r="107">
      <x:c r="A107" s="97" t="str">
        <x:v>I110</x:v>
      </x:c>
      <x:c r="B107" s="97" t="str">
        <x:v>Thomas Westbrome</x:v>
      </x:c>
      <x:c r="C107" s="97" t="str">
        <x:v>M</x:v>
      </x:c>
      <x:c r="D107" s="97" t="str"/>
      <x:c r="E107" s="97" t="str"/>
      <x:c r="F107" s="97" t="str"/>
      <x:c r="G107" s="97" t="str">
        <x:v>S7</x:v>
      </x:c>
      <x:c r="H107" s="97" t="str">
        <x:v>Confidence C (Provisional). Branch: Lee / New England.</x:v>
      </x:c>
      <x:c r="I107" s="97" t="str"/>
      <x:c r="J107" s="97" t="str">
        <x:v>F058</x:v>
      </x:c>
    </x:row>
    <x:row r="108">
      <x:c r="A108" s="97" t="str">
        <x:v>I111</x:v>
      </x:c>
      <x:c r="B108" s="97" t="str">
        <x:v>Elizabeth</x:v>
      </x:c>
      <x:c r="C108" s="97" t="str">
        <x:v>F</x:v>
      </x:c>
      <x:c r="D108" s="97" t="str"/>
      <x:c r="E108" s="97" t="str"/>
      <x:c r="F108" s="97" t="str"/>
      <x:c r="G108" s="97" t="str">
        <x:v>S7</x:v>
      </x:c>
      <x:c r="H108" s="97" t="str">
        <x:v>Confidence C (Provisional). Branch: Lee / New England.</x:v>
      </x:c>
      <x:c r="I108" s="97" t="str"/>
      <x:c r="J108" s="97" t="str">
        <x:v>F058</x:v>
      </x:c>
    </x:row>
    <x:row r="109">
      <x:c r="A109" s="97" t="str">
        <x:v>I112</x:v>
      </x:c>
      <x:c r="B109" s="97" t="str">
        <x:v>Simon Platt</x:v>
      </x:c>
      <x:c r="C109" s="97" t="str">
        <x:v>M</x:v>
      </x:c>
      <x:c r="D109" s="97" t="str">
        <x:v>ABOUT 1533</x:v>
      </x:c>
      <x:c r="E109" s="97" t="str">
        <x:v>BURIED 12 APR 1594; Ware, Hertfordshire, England</x:v>
      </x:c>
      <x:c r="F109" s="97" t="str"/>
      <x:c r="G109" s="97" t="str">
        <x:v>S7</x:v>
      </x:c>
      <x:c r="H109" s="97" t="str">
        <x:v>Confidence C (Provisional). Branch: Lee / New England.</x:v>
      </x:c>
      <x:c r="I109" s="97" t="str"/>
      <x:c r="J109" s="97" t="str">
        <x:v>F059</x:v>
      </x:c>
    </x:row>
    <x:row r="110">
      <x:c r="A110" s="97" t="str">
        <x:v>I113</x:v>
      </x:c>
      <x:c r="B110" s="97" t="str">
        <x:v>Elizabeth</x:v>
      </x:c>
      <x:c r="C110" s="97" t="str">
        <x:v>F</x:v>
      </x:c>
      <x:c r="D110" s="97" t="str"/>
      <x:c r="E110" s="97" t="str">
        <x:v>BURIED 21 JUL 1598; Ware, Hertfordshire, England</x:v>
      </x:c>
      <x:c r="F110" s="97" t="str"/>
      <x:c r="G110" s="97" t="str">
        <x:v>S7</x:v>
      </x:c>
      <x:c r="H110" s="97" t="str">
        <x:v>Confidence C (Provisional). Branch: Lee / New England.</x:v>
      </x:c>
      <x:c r="I110" s="97" t="str"/>
      <x:c r="J110" s="97" t="str">
        <x:v>F059</x:v>
      </x:c>
    </x:row>
    <x:row r="111">
      <x:c r="A111" s="97" t="str">
        <x:v>I114</x:v>
      </x:c>
      <x:c r="B111" s="97" t="str">
        <x:v>Charles Ellsworth McCormick I</x:v>
      </x:c>
      <x:c r="C111" s="97" t="str">
        <x:v>M</x:v>
      </x:c>
      <x:c r="D111" s="97" t="str">
        <x:v>26 FEB 1862; Shepherdsville, Bullitt County, Kentucky</x:v>
      </x:c>
      <x:c r="E111" s="97" t="str">
        <x:v>1911</x:v>
      </x:c>
      <x:c r="F111" s="97" t="str">
        <x:v>CEMCCSR-1862</x:v>
      </x:c>
      <x:c r="G111" s="97" t="str">
        <x:v>S3;S14;S22;S27</x:v>
      </x:c>
      <x:c r="H111" s="97" t="str">
        <x:v>Confidence A (Confirmed). Branch: McCormick / O’Brien.</x:v>
      </x:c>
      <x:c r="I111" s="97" t="str">
        <x:v>F061</x:v>
      </x:c>
      <x:c r="J111" s="97" t="str">
        <x:v>F060</x:v>
      </x:c>
    </x:row>
    <x:row r="112">
      <x:c r="A112" s="97" t="str">
        <x:v>I115</x:v>
      </x:c>
      <x:c r="B112" s="97" t="str">
        <x:v>Mary Moore Brooks</x:v>
      </x:c>
      <x:c r="C112" s="97" t="str">
        <x:v>F</x:v>
      </x:c>
      <x:c r="D112" s="97" t="str">
        <x:v>1874</x:v>
      </x:c>
      <x:c r="E112" s="97" t="str">
        <x:v>1964</x:v>
      </x:c>
      <x:c r="F112" s="97" t="str">
        <x:v>MMMCC-1874</x:v>
      </x:c>
      <x:c r="G112" s="97" t="str">
        <x:v>S3;S17;S27</x:v>
      </x:c>
      <x:c r="H112" s="97" t="str">
        <x:v>Confidence A (Confirmed). Branch: Brooks / Field. Known in family correspondence as Mama Mac; associated with Brookland in Bullitt County.</x:v>
      </x:c>
      <x:c r="I112" s="97" t="str">
        <x:v>F063</x:v>
      </x:c>
      <x:c r="J112" s="97" t="str">
        <x:v>F060</x:v>
      </x:c>
    </x:row>
    <x:row r="113">
      <x:c r="A113" s="97" t="str">
        <x:v>I116</x:v>
      </x:c>
      <x:c r="B113" s="97" t="str">
        <x:v>Edward H. McCormick</x:v>
      </x:c>
      <x:c r="C113" s="97" t="str">
        <x:v>M</x:v>
      </x:c>
      <x:c r="D113" s="97" t="str">
        <x:v>1838</x:v>
      </x:c>
      <x:c r="E113" s="97" t="str">
        <x:v>1871</x:v>
      </x:c>
      <x:c r="F113" s="97" t="str"/>
      <x:c r="G113" s="97" t="str">
        <x:v>S14;S15;S16</x:v>
      </x:c>
      <x:c r="H113" s="97" t="str">
        <x:v>Confidence A (Confirmed). Branch: McCormick / O’Brien.</x:v>
      </x:c>
      <x:c r="I113" s="97" t="str">
        <x:v>F062</x:v>
      </x:c>
      <x:c r="J113" s="97" t="str">
        <x:v>F061</x:v>
      </x:c>
    </x:row>
    <x:row r="114">
      <x:c r="A114" s="97" t="str">
        <x:v>I117</x:v>
      </x:c>
      <x:c r="B114" s="97" t="str">
        <x:v>Martha Ann Annie O’Brien</x:v>
      </x:c>
      <x:c r="C114" s="97" t="str">
        <x:v>F</x:v>
      </x:c>
      <x:c r="D114" s="97" t="str">
        <x:v>1841</x:v>
      </x:c>
      <x:c r="E114" s="97" t="str">
        <x:v>1889</x:v>
      </x:c>
      <x:c r="F114" s="97" t="str"/>
      <x:c r="G114" s="97" t="str">
        <x:v>S14;S16</x:v>
      </x:c>
      <x:c r="H114" s="97" t="str">
        <x:v>Confidence A (Confirmed). Branch: McCormick / O’Brien. Also recorded as Anna O’Brian/O’Brien.</x:v>
      </x:c>
      <x:c r="I114" s="97" t="str">
        <x:v>F065</x:v>
      </x:c>
      <x:c r="J114" s="97" t="str">
        <x:v>F061</x:v>
      </x:c>
    </x:row>
    <x:row r="115">
      <x:c r="A115" s="97" t="str">
        <x:v>I118</x:v>
      </x:c>
      <x:c r="B115" s="97" t="str">
        <x:v>Charles McCormick</x:v>
      </x:c>
      <x:c r="C115" s="97" t="str">
        <x:v>M</x:v>
      </x:c>
      <x:c r="D115" s="97" t="str">
        <x:v>ABOUT 1802; Kentucky or Virginia</x:v>
      </x:c>
      <x:c r="E115" s="97" t="str"/>
      <x:c r="F115" s="97" t="str"/>
      <x:c r="G115" s="97" t="str">
        <x:v>S15</x:v>
      </x:c>
      <x:c r="H115" s="97" t="str">
        <x:v>Confidence B (Strong). Branch: McCormick / O’Brien. Age 48 and a forgeman in the 1850 Bullitt County census.</x:v>
      </x:c>
      <x:c r="I115" s="97" t="str"/>
      <x:c r="J115" s="97" t="str">
        <x:v>F062</x:v>
      </x:c>
    </x:row>
    <x:row r="116">
      <x:c r="A116" s="97" t="str">
        <x:v>I119</x:v>
      </x:c>
      <x:c r="B116" s="97" t="str">
        <x:v>Elizabeth McCormick</x:v>
      </x:c>
      <x:c r="C116" s="97" t="str">
        <x:v>F</x:v>
      </x:c>
      <x:c r="D116" s="97" t="str">
        <x:v>ABOUT 1808; Kentucky</x:v>
      </x:c>
      <x:c r="E116" s="97" t="str"/>
      <x:c r="F116" s="97" t="str"/>
      <x:c r="G116" s="97" t="str">
        <x:v>S15</x:v>
      </x:c>
      <x:c r="H116" s="97" t="str">
        <x:v>Confidence B (Strong). Branch: McCormick / O’Brien. Age 42 in the 1850 Bullitt County census; maiden name remains unknown.</x:v>
      </x:c>
      <x:c r="I116" s="97" t="str"/>
      <x:c r="J116" s="97" t="str">
        <x:v>F062</x:v>
      </x:c>
    </x:row>
    <x:row r="117">
      <x:c r="A117" s="97" t="str">
        <x:v>I120</x:v>
      </x:c>
      <x:c r="B117" s="97" t="str">
        <x:v>Abram Field Brooks</x:v>
      </x:c>
      <x:c r="C117" s="97" t="str">
        <x:v>M</x:v>
      </x:c>
      <x:c r="D117" s="97" t="str">
        <x:v>1844</x:v>
      </x:c>
      <x:c r="E117" s="97" t="str">
        <x:v>1892</x:v>
      </x:c>
      <x:c r="F117" s="97" t="str"/>
      <x:c r="G117" s="97" t="str">
        <x:v>S17</x:v>
      </x:c>
      <x:c r="H117" s="97" t="str">
        <x:v>Confidence B (Strong). Branch: Brooks / Field.</x:v>
      </x:c>
      <x:c r="I117" s="97" t="str">
        <x:v>F064</x:v>
      </x:c>
      <x:c r="J117" s="97" t="str">
        <x:v>F063</x:v>
      </x:c>
    </x:row>
    <x:row r="118">
      <x:c r="A118" s="97" t="str">
        <x:v>I121</x:v>
      </x:c>
      <x:c r="B118" s="97" t="str">
        <x:v>Mary P. Mollie Moore</x:v>
      </x:c>
      <x:c r="C118" s="97" t="str">
        <x:v>F</x:v>
      </x:c>
      <x:c r="D118" s="97" t="str">
        <x:v>1852</x:v>
      </x:c>
      <x:c r="E118" s="97" t="str">
        <x:v>1940</x:v>
      </x:c>
      <x:c r="F118" s="97" t="str"/>
      <x:c r="G118" s="97" t="str">
        <x:v>S17</x:v>
      </x:c>
      <x:c r="H118" s="97" t="str">
        <x:v>Confidence B (Strong). Branch: Brooks / Field. Raised at Mound Grove near Arkansas Post. Her parents remain unresolved.</x:v>
      </x:c>
      <x:c r="I118" s="97" t="str"/>
      <x:c r="J118" s="97" t="str">
        <x:v>F063</x:v>
      </x:c>
    </x:row>
    <x:row r="119">
      <x:c r="A119" s="97" t="str">
        <x:v>I122</x:v>
      </x:c>
      <x:c r="B119" s="97" t="str">
        <x:v>Solomon Neal Brooks</x:v>
      </x:c>
      <x:c r="C119" s="97" t="str">
        <x:v>M</x:v>
      </x:c>
      <x:c r="D119" s="97" t="str">
        <x:v>18 MAR 1818</x:v>
      </x:c>
      <x:c r="E119" s="97" t="str">
        <x:v>1890</x:v>
      </x:c>
      <x:c r="F119" s="97" t="str"/>
      <x:c r="G119" s="97" t="str">
        <x:v>S17;S18</x:v>
      </x:c>
      <x:c r="H119" s="97" t="str">
        <x:v>Confidence B (Strong). Branch: Brooks / Field. A county biography calls his mother “Miss Miles”; his father’s will names wife Rebecca, and other compiled material suggests Cordelia Standiford. Mother not assigned because</x:v>
      </x:c>
      <x:c r="I119" s="97" t="str">
        <x:v>F066</x:v>
      </x:c>
      <x:c r="J119" s="97" t="str">
        <x:v>F064</x:v>
      </x:c>
    </x:row>
    <x:row r="120">
      <x:c r="A120" s="97" t="str">
        <x:v>I123</x:v>
      </x:c>
      <x:c r="B120" s="97" t="str">
        <x:v>Elizabeth Field</x:v>
      </x:c>
      <x:c r="C120" s="97" t="str">
        <x:v>F</x:v>
      </x:c>
      <x:c r="D120" s="97" t="str">
        <x:v>ABOUT 1827</x:v>
      </x:c>
      <x:c r="E120" s="97" t="str">
        <x:v>1 MAY 1905</x:v>
      </x:c>
      <x:c r="F120" s="97" t="str"/>
      <x:c r="G120" s="97" t="str">
        <x:v>S17</x:v>
      </x:c>
      <x:c r="H120" s="97" t="str">
        <x:v>Confidence B (Strong). Branch: Brooks / Field.</x:v>
      </x:c>
      <x:c r="I120" s="97" t="str">
        <x:v>F068</x:v>
      </x:c>
      <x:c r="J120" s="97" t="str">
        <x:v>F064</x:v>
      </x:c>
    </x:row>
    <x:row r="121">
      <x:c r="A121" s="97" t="str">
        <x:v>I124</x:v>
      </x:c>
      <x:c r="B121" s="97" t="str">
        <x:v>Christopher O’Brien</x:v>
      </x:c>
      <x:c r="C121" s="97" t="str">
        <x:v>M</x:v>
      </x:c>
      <x:c r="D121" s="97" t="str">
        <x:v>ABOUT 1815</x:v>
      </x:c>
      <x:c r="E121" s="97" t="str"/>
      <x:c r="F121" s="97" t="str"/>
      <x:c r="G121" s="97" t="str">
        <x:v>S14</x:v>
      </x:c>
      <x:c r="H121" s="97" t="str">
        <x:v>Confidence B (Strong). Branch: McCormick / O’Brien.</x:v>
      </x:c>
      <x:c r="I121" s="97" t="str"/>
      <x:c r="J121" s="97" t="str">
        <x:v>F065</x:v>
      </x:c>
    </x:row>
    <x:row r="122">
      <x:c r="A122" s="97" t="str">
        <x:v>I125</x:v>
      </x:c>
      <x:c r="B122" s="97" t="str">
        <x:v>Sophronia Simmons</x:v>
      </x:c>
      <x:c r="C122" s="97" t="str">
        <x:v>F</x:v>
      </x:c>
      <x:c r="D122" s="97" t="str">
        <x:v>ABOUT 1824</x:v>
      </x:c>
      <x:c r="E122" s="97" t="str"/>
      <x:c r="F122" s="97" t="str"/>
      <x:c r="G122" s="97" t="str">
        <x:v>S14</x:v>
      </x:c>
      <x:c r="H122" s="97" t="str">
        <x:v>Confidence B (Strong). Branch: McCormick / O’Brien. Adjacent Simmons households suggest possible parents, but the relationship was not proved and is omitted here.</x:v>
      </x:c>
      <x:c r="I122" s="97" t="str"/>
      <x:c r="J122" s="97" t="str">
        <x:v>F065</x:v>
      </x:c>
    </x:row>
    <x:row r="123">
      <x:c r="A123" s="97" t="str">
        <x:v>I126</x:v>
      </x:c>
      <x:c r="B123" s="97" t="str">
        <x:v>Joseph Anderson Brooks</x:v>
      </x:c>
      <x:c r="C123" s="97" t="str">
        <x:v>M</x:v>
      </x:c>
      <x:c r="D123" s="97" t="str"/>
      <x:c r="E123" s="97" t="str">
        <x:v>1845/46</x:v>
      </x:c>
      <x:c r="F123" s="97" t="str"/>
      <x:c r="G123" s="97" t="str">
        <x:v>S18;S19</x:v>
      </x:c>
      <x:c r="H123" s="97" t="str">
        <x:v>Confidence B (Strong). Branch: Brooks / Field. His 1845 will names wife Rebecca and son Solomon N. Brooks; whether Rebecca was Solomon’s mother is unresolved.</x:v>
      </x:c>
      <x:c r="I123" s="97" t="str">
        <x:v>F067</x:v>
      </x:c>
      <x:c r="J123" s="97" t="str">
        <x:v>F066</x:v>
      </x:c>
    </x:row>
    <x:row r="124">
      <x:c r="A124" s="97" t="str">
        <x:v>I127</x:v>
      </x:c>
      <x:c r="B124" s="97" t="str">
        <x:v>Joseph Brooks</x:v>
      </x:c>
      <x:c r="C124" s="97" t="str">
        <x:v>M</x:v>
      </x:c>
      <x:c r="D124" s="97" t="str"/>
      <x:c r="E124" s="97" t="str">
        <x:v>1818</x:v>
      </x:c>
      <x:c r="F124" s="97" t="str"/>
      <x:c r="G124" s="97" t="str">
        <x:v>S19</x:v>
      </x:c>
      <x:c r="H124" s="97" t="str">
        <x:v>Confidence B (Strong). Branch: Brooks / Field. His 1818 will names wife Nancy and son Joseph Anderson Brooks.</x:v>
      </x:c>
      <x:c r="I124" s="97" t="str"/>
      <x:c r="J124" s="97" t="str">
        <x:v>F067</x:v>
      </x:c>
    </x:row>
    <x:row r="125">
      <x:c r="A125" s="97" t="str">
        <x:v>I128</x:v>
      </x:c>
      <x:c r="B125" s="97" t="str">
        <x:v>Abram Field</x:v>
      </x:c>
      <x:c r="C125" s="97" t="str">
        <x:v>M</x:v>
      </x:c>
      <x:c r="D125" s="97" t="str"/>
      <x:c r="E125" s="97" t="str"/>
      <x:c r="F125" s="97" t="str"/>
      <x:c r="G125" s="97" t="str">
        <x:v>S17</x:v>
      </x:c>
      <x:c r="H125" s="97" t="str">
        <x:v>Confidence B (Strong). Branch: Brooks / Field. Named as Elizabeth Field’s father in the county biography.</x:v>
      </x:c>
      <x:c r="I125" s="97" t="str"/>
      <x:c r="J125" s="97" t="str">
        <x:v>F068</x:v>
      </x:c>
    </x:row>
    <x:row r="126">
      <x:c r="A126" s="97" t="str">
        <x:v>I129</x:v>
      </x:c>
      <x:c r="B126" s="97" t="str">
        <x:v>Elizabeth Simmons</x:v>
      </x:c>
      <x:c r="C126" s="97" t="str">
        <x:v>F</x:v>
      </x:c>
      <x:c r="D126" s="97" t="str"/>
      <x:c r="E126" s="97" t="str"/>
      <x:c r="F126" s="97" t="str"/>
      <x:c r="G126" s="97" t="str">
        <x:v>S17</x:v>
      </x:c>
      <x:c r="H126" s="97" t="str">
        <x:v>Confidence C (Provisional). Branch: Brooks / Field. Often identified as Elizabeth Field’s mother in cemetery/compiled material; original proof was not located in this pass.</x:v>
      </x:c>
      <x:c r="I126" s="97" t="str"/>
      <x:c r="J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v>IBS-1858</x:v>
      </x:c>
      <x:c r="G127" s="97" t="str">
        <x:v>S4;S8;S23;S27</x:v>
      </x:c>
      <x:c r="H127" s="97" t="str">
        <x:v>Confidence A (Confirmed). Branch: Slaughter / Bush.</x:v>
      </x:c>
      <x:c r="I127" s="97" t="str">
        <x:v>F070</x:v>
      </x:c>
      <x:c r="J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v>LAR-1873</x:v>
      </x:c>
      <x:c r="G128" s="97" t="str">
        <x:v>S4;S8;S9;S27</x:v>
      </x:c>
      <x:c r="H128" s="97" t="str">
        <x:v>Confidence A (Confirmed). Branch: Rives / Harrison.</x:v>
      </x:c>
      <x:c r="I128" s="97" t="str">
        <x:v>F071</x:v>
      </x:c>
      <x:c r="J128" s="97" t="str">
        <x:v>F069</x:v>
      </x:c>
    </x:row>
    <x:row r="129">
      <x:c r="A129" s="97" t="str">
        <x:v>I132</x:v>
      </x:c>
      <x:c r="B129" s="97" t="str">
        <x:v>Nancy Brooks</x:v>
      </x:c>
      <x:c r="C129" s="97" t="str">
        <x:v>F</x:v>
      </x:c>
      <x:c r="D129" s="97" t="str"/>
      <x:c r="E129" s="97" t="str"/>
      <x:c r="F129" s="97" t="str"/>
      <x:c r="G129" s="97" t="str">
        <x:v>S19</x:v>
      </x:c>
      <x:c r="H129" s="97" t="str">
        <x:v>Confidence B (Strong). Branch: Brooks / Field. Named as wife in pioneer Joseph Brooks’s 1818 will.</x:v>
      </x:c>
      <x:c r="I129" s="97" t="str"/>
      <x:c r="J129" s="97" t="str">
        <x:v>F067</x:v>
      </x:c>
    </x:row>
    <x:row r="130">
      <x:c r="A130" s="97" t="str">
        <x:v>I133</x:v>
      </x:c>
      <x:c r="B130" s="97" t="str">
        <x:v>John Wesley Slaughter</x:v>
      </x:c>
      <x:c r="C130" s="97" t="str">
        <x:v>M</x:v>
      </x:c>
      <x:c r="D130" s="97" t="str"/>
      <x:c r="E130" s="97" t="str"/>
      <x:c r="F130" s="97" t="str"/>
      <x:c r="G130" s="97" t="str">
        <x:v>S23</x:v>
      </x:c>
      <x:c r="H130" s="97" t="str">
        <x:v>Confidence B (Strong). Branch: Slaughter / Bush.</x:v>
      </x:c>
      <x:c r="I130" s="97" t="str"/>
      <x:c r="J130" s="97" t="str">
        <x:v>F070</x:v>
      </x:c>
    </x:row>
    <x:row r="131">
      <x:c r="A131" s="97" t="str">
        <x:v>I134</x:v>
      </x:c>
      <x:c r="B131" s="97" t="str">
        <x:v>Sarah C. Bush</x:v>
      </x:c>
      <x:c r="C131" s="97" t="str">
        <x:v>F</x:v>
      </x:c>
      <x:c r="D131" s="97" t="str"/>
      <x:c r="E131" s="97" t="str"/>
      <x:c r="F131" s="97" t="str"/>
      <x:c r="G131" s="97" t="str">
        <x:v>S23</x:v>
      </x:c>
      <x:c r="H131" s="97" t="str">
        <x:v>Confidence B (Strong). Branch: Slaughter / Bush.</x:v>
      </x:c>
      <x:c r="I131" s="97" t="str"/>
      <x:c r="J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v>S4;S9</x:v>
      </x:c>
      <x:c r="H132" s="97" t="str">
        <x:v>Confidence A (Confirmed). Branch: Rives / Harrison. The DAR worksheet appears to type March; pension-derived research supports 16 May 1885.</x:v>
      </x:c>
      <x:c r="I132" s="97" t="str">
        <x:v>F072</x:v>
      </x:c>
      <x:c r="J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v>S4;S8;S9</x:v>
      </x:c>
      <x:c r="H133" s="97" t="str">
        <x:v>Confidence A (Confirmed). Branch: Agee / Ford / Bondurant.</x:v>
      </x:c>
      <x:c r="I133" s="97" t="str">
        <x:v>F081</x:v>
      </x:c>
      <x:c r="J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v>S4;S9;S10</x:v>
      </x:c>
      <x:c r="H134" s="97" t="str">
        <x:v>Confidence A (Confirmed). Branch: Rives / Harrison. Sources disagree whether the birth month/day is 28 May or 28 August.</x:v>
      </x:c>
      <x:c r="I134" s="97" t="str">
        <x:v>F073</x:v>
      </x:c>
      <x:c r="J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v>S4;S20</x:v>
      </x:c>
      <x:c r="H135" s="97" t="str">
        <x:v>Confidence A (Confirmed). Branch: Rives / Harrison.</x:v>
      </x:c>
      <x:c r="I135" s="97" t="str">
        <x:v>F077</x:v>
      </x:c>
      <x:c r="J135" s="97" t="str">
        <x:v>F072</x:v>
      </x:c>
    </x:row>
    <x:row r="136">
      <x:c r="A136" s="97" t="str">
        <x:v>I139</x:v>
      </x:c>
      <x:c r="B136" s="97" t="str">
        <x:v>Green Rives</x:v>
      </x:c>
      <x:c r="C136" s="97" t="str">
        <x:v>M</x:v>
      </x:c>
      <x:c r="D136" s="97" t="str">
        <x:v>10 JAN 1763; Virginia</x:v>
      </x:c>
      <x:c r="E136" s="97" t="str">
        <x:v>26 OCT 1812; Columbia, South Carolina</x:v>
      </x:c>
      <x:c r="F136" s="97" t="str"/>
      <x:c r="G136" s="97" t="str">
        <x:v>S4;S10</x:v>
      </x:c>
      <x:c r="H136" s="97" t="str">
        <x:v>Confidence A (Confirmed). Branch: Rives / Harrison. Revolutionary-era resident of Richland County, South Carolina.</x:v>
      </x:c>
      <x:c r="I136" s="97" t="str">
        <x:v>F074</x:v>
      </x:c>
      <x:c r="J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v>S4;S10</x:v>
      </x:c>
      <x:c r="H137" s="97" t="str">
        <x:v>Confidence B (Strong). Branch: Rives / Harrison.</x:v>
      </x:c>
      <x:c r="I137" s="97" t="str">
        <x:v>F076</x:v>
      </x:c>
      <x:c r="J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v>S4;S10;S11</x:v>
      </x:c>
      <x:c r="H138" s="97" t="str">
        <x:v>Confidence B (Strong). Branch: Rives / Harrison.</x:v>
      </x:c>
      <x:c r="I138" s="97" t="str">
        <x:v>F075</x:v>
      </x:c>
      <x:c r="J138" s="97" t="str">
        <x:v>F074</x:v>
      </x:c>
    </x:row>
    <x:row r="139">
      <x:c r="A139" s="97" t="str">
        <x:v>I142</x:v>
      </x:c>
      <x:c r="B139" s="97" t="str">
        <x:v>Lucy Wyche</x:v>
      </x:c>
      <x:c r="C139" s="97" t="str">
        <x:v>F</x:v>
      </x:c>
      <x:c r="D139" s="97" t="str">
        <x:v>Brunswick County, Virginia</x:v>
      </x:c>
      <x:c r="E139" s="97" t="str"/>
      <x:c r="F139" s="97" t="str"/>
      <x:c r="G139" s="97" t="str">
        <x:v>S4;S10;S11</x:v>
      </x:c>
      <x:c r="H139" s="97" t="str">
        <x:v>Confidence B (Strong). Branch: Rives / Harrison.</x:v>
      </x:c>
      <x:c r="I139" s="97" t="str">
        <x:v>F080</x:v>
      </x:c>
      <x:c r="J139" s="97" t="str">
        <x:v>F074</x:v>
      </x:c>
    </x:row>
    <x:row r="140">
      <x:c r="A140" s="97" t="str">
        <x:v>I143</x:v>
      </x:c>
      <x:c r="B140" s="97" t="str">
        <x:v>Timothy Rives</x:v>
      </x:c>
      <x:c r="C140" s="97" t="str">
        <x:v>M</x:v>
      </x:c>
      <x:c r="D140" s="97" t="str">
        <x:v>ABOUT 1710</x:v>
      </x:c>
      <x:c r="E140" s="97" t="str">
        <x:v>ABOUT 1772</x:v>
      </x:c>
      <x:c r="F140" s="97" t="str"/>
      <x:c r="G140" s="97" t="str">
        <x:v>S4;S11;S12</x:v>
      </x:c>
      <x:c r="H140" s="97" t="str">
        <x:v>Confidence B (Strong). Branch: Rives / Harrison.</x:v>
      </x:c>
      <x:c r="I140" s="97" t="str">
        <x:v>F078</x:v>
      </x:c>
      <x:c r="J140" s="97" t="str">
        <x:v>F075</x:v>
      </x:c>
    </x:row>
    <x:row r="141">
      <x:c r="A141" s="97" t="str">
        <x:v>I144</x:v>
      </x:c>
      <x:c r="B141" s="97" t="str">
        <x:v>Hester Rives</x:v>
      </x:c>
      <x:c r="C141" s="97" t="str">
        <x:v>F</x:v>
      </x:c>
      <x:c r="D141" s="97" t="str"/>
      <x:c r="E141" s="97" t="str">
        <x:v>AFTER 23 AUG 1772</x:v>
      </x:c>
      <x:c r="F141" s="97" t="str"/>
      <x:c r="G141" s="97" t="str">
        <x:v>S4;S12</x:v>
      </x:c>
      <x:c r="H141" s="97" t="str">
        <x:v>Confidence C (Provisional). Branch: Rives / Harrison. Given name is supported; Turner as surname remains uncertain.</x:v>
      </x:c>
      <x:c r="I141" s="97" t="str"/>
      <x:c r="J141" s="97" t="str">
        <x:v>F075</x:v>
      </x:c>
    </x:row>
    <x:row r="142">
      <x:c r="A142" s="97" t="str">
        <x:v>I145</x:v>
      </x:c>
      <x:c r="B142" s="97" t="str">
        <x:v>Darling Jones</x:v>
      </x:c>
      <x:c r="C142" s="97" t="str">
        <x:v>M</x:v>
      </x:c>
      <x:c r="D142" s="97" t="str"/>
      <x:c r="E142" s="97" t="str"/>
      <x:c r="F142" s="97" t="str"/>
      <x:c r="G142" s="97" t="str">
        <x:v>S10</x:v>
      </x:c>
      <x:c r="H142" s="97" t="str">
        <x:v>Confidence B (Strong). Branch: Rives / Harrison.</x:v>
      </x:c>
      <x:c r="I142" s="97" t="str"/>
      <x:c r="J142" s="97" t="str">
        <x:v>F076</x:v>
      </x:c>
    </x:row>
    <x:row r="143">
      <x:c r="A143" s="97" t="str">
        <x:v>I146</x:v>
      </x:c>
      <x:c r="B143" s="97" t="str">
        <x:v>Susannah Jones</x:v>
      </x:c>
      <x:c r="C143" s="97" t="str">
        <x:v>F</x:v>
      </x:c>
      <x:c r="D143" s="97" t="str"/>
      <x:c r="E143" s="97" t="str"/>
      <x:c r="F143" s="97" t="str"/>
      <x:c r="G143" s="97" t="str">
        <x:v>S10</x:v>
      </x:c>
      <x:c r="H143" s="97" t="str">
        <x:v>Confidence B (Strong). Branch: Rives / Harrison.</x:v>
      </x:c>
      <x:c r="I143" s="97" t="str"/>
      <x:c r="J143" s="97" t="str">
        <x:v>F076</x:v>
      </x:c>
    </x:row>
    <x:row r="144">
      <x:c r="A144" s="97" t="str">
        <x:v>I147</x:v>
      </x:c>
      <x:c r="B144" s="97" t="str">
        <x:v>William Harrison</x:v>
      </x:c>
      <x:c r="C144" s="97" t="str">
        <x:v>M</x:v>
      </x:c>
      <x:c r="D144" s="97" t="str"/>
      <x:c r="E144" s="97" t="str">
        <x:v>1836</x:v>
      </x:c>
      <x:c r="F144" s="97" t="str"/>
      <x:c r="G144" s="97" t="str">
        <x:v>S20</x:v>
      </x:c>
      <x:c r="H144" s="97" t="str">
        <x:v>Confidence B (Strong). Branch: Rives / Harrison.</x:v>
      </x:c>
      <x:c r="I144" s="97" t="str">
        <x:v>F083</x:v>
      </x:c>
      <x:c r="J144" s="97" t="str">
        <x:v>F077</x:v>
      </x:c>
    </x:row>
    <x:row r="145">
      <x:c r="A145" s="97" t="str">
        <x:v>I148</x:v>
      </x:c>
      <x:c r="B145" s="97" t="str">
        <x:v>Ann Perry</x:v>
      </x:c>
      <x:c r="C145" s="97" t="str">
        <x:v>F</x:v>
      </x:c>
      <x:c r="D145" s="97" t="str"/>
      <x:c r="E145" s="97" t="str">
        <x:v>FALL 1816</x:v>
      </x:c>
      <x:c r="F145" s="97" t="str"/>
      <x:c r="G145" s="97" t="str">
        <x:v>S20</x:v>
      </x:c>
      <x:c r="H145" s="97" t="str">
        <x:v>Confidence A (Confirmed). Branch: Rives / Harrison.</x:v>
      </x:c>
      <x:c r="I145" s="97" t="str">
        <x:v>F084</x:v>
      </x:c>
      <x:c r="J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v>S4;S12</x:v>
      </x:c>
      <x:c r="H146" s="97" t="str">
        <x:v>Confidence C (Provisional). Branch: Rives / Harrison.</x:v>
      </x:c>
      <x:c r="I146" s="97" t="str">
        <x:v>F079</x:v>
      </x:c>
      <x:c r="J146" s="97" t="str">
        <x:v>F078</x:v>
      </x:c>
    </x:row>
    <x:row r="147">
      <x:c r="A147" s="97" t="str">
        <x:v>I150</x:v>
      </x:c>
      <x:c r="B147" s="97" t="str">
        <x:v>Elizabeth Rives</x:v>
      </x:c>
      <x:c r="C147" s="97" t="str">
        <x:v>F</x:v>
      </x:c>
      <x:c r="D147" s="97" t="str"/>
      <x:c r="E147" s="97" t="str">
        <x:v>BEFORE 1759; Prince George County, Virginia</x:v>
      </x:c>
      <x:c r="F147" s="97" t="str"/>
      <x:c r="G147" s="97" t="str">
        <x:v>S4;S12</x:v>
      </x:c>
      <x:c r="H147" s="97" t="str">
        <x:v>Confidence C (Provisional). Branch: Rives / Harrison. Foster is a possibility rather than a proved maiden surname.</x:v>
      </x:c>
      <x:c r="I147" s="97" t="str"/>
      <x:c r="J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v>S4;S13</x:v>
      </x:c>
      <x:c r="H148" s="97" t="str">
        <x:v>Confidence D (Traditional / disputed). Branch: Rives / Harrison. The link to immigrant William is inherited/traditional and should not be treated as proved.</x:v>
      </x:c>
      <x:c r="I148" s="97" t="str">
        <x:v>F082</x:v>
      </x:c>
      <x:c r="J148" s="97" t="str">
        <x:v>F079</x:v>
      </x:c>
    </x:row>
    <x:row r="149">
      <x:c r="A149" s="97" t="str">
        <x:v>I152</x:v>
      </x:c>
      <x:c r="B149" s="97" t="str">
        <x:v>Peter Wyche</x:v>
      </x:c>
      <x:c r="C149" s="97" t="str">
        <x:v>M</x:v>
      </x:c>
      <x:c r="D149" s="97" t="str"/>
      <x:c r="E149" s="97" t="str"/>
      <x:c r="F149" s="97" t="str"/>
      <x:c r="G149" s="97" t="str">
        <x:v>S11</x:v>
      </x:c>
      <x:c r="H149" s="97" t="str">
        <x:v>Confidence B (Strong). Branch: Rives / Harrison.</x:v>
      </x:c>
      <x:c r="I149" s="97" t="str"/>
      <x:c r="J149" s="97" t="str">
        <x:v>F080</x:v>
      </x:c>
    </x:row>
    <x:row r="150">
      <x:c r="A150" s="97" t="str">
        <x:v>I153</x:v>
      </x:c>
      <x:c r="B150" s="97" t="str">
        <x:v>Alice Wyche</x:v>
      </x:c>
      <x:c r="C150" s="97" t="str">
        <x:v>F</x:v>
      </x:c>
      <x:c r="D150" s="97" t="str"/>
      <x:c r="E150" s="97" t="str"/>
      <x:c r="F150" s="97" t="str"/>
      <x:c r="G150" s="97" t="str">
        <x:v>S11</x:v>
      </x:c>
      <x:c r="H150" s="97" t="str">
        <x:v>Confidence B (Strong). Branch: Rives / Harrison.</x:v>
      </x:c>
      <x:c r="I150" s="97" t="str"/>
      <x:c r="J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v>S8</x:v>
      </x:c>
      <x:c r="H151" s="97" t="str">
        <x:v>Confidence B (Strong). Branch: Agee / Ford / Bondurant.</x:v>
      </x:c>
      <x:c r="I151" s="97" t="str">
        <x:v>F085</x:v>
      </x:c>
      <x:c r="J151" s="97" t="str">
        <x:v>F081</x:v>
      </x:c>
    </x:row>
    <x:row r="152">
      <x:c r="A152" s="97" t="str">
        <x:v>I155</x:v>
      </x:c>
      <x:c r="B152" s="97" t="str">
        <x:v>Elvina Hill</x:v>
      </x:c>
      <x:c r="C152" s="97" t="str">
        <x:v>F</x:v>
      </x:c>
      <x:c r="D152" s="97" t="str"/>
      <x:c r="E152" s="97" t="str"/>
      <x:c r="F152" s="97" t="str"/>
      <x:c r="G152" s="97" t="str">
        <x:v>S8</x:v>
      </x:c>
      <x:c r="H152" s="97" t="str">
        <x:v>Confidence B (Strong). Branch: Agee / Ford / Bondurant.</x:v>
      </x:c>
      <x:c r="I152" s="97" t="str">
        <x:v>F086</x:v>
      </x:c>
      <x:c r="J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v>S4;S13</x:v>
      </x:c>
      <x:c r="H153" s="97" t="str">
        <x:v>Confidence D (Traditional / disputed). Branch: Rives / Harrison. Traditionally said to have settled at Blandford, Virginia. Published researchers disagree about the earliest immigrant and the parent-child links.</x:v>
      </x:c>
      <x:c r="I153" s="97" t="str"/>
      <x:c r="J153" s="97" t="str">
        <x:v>F082</x:v>
      </x:c>
    </x:row>
    <x:row r="154">
      <x:c r="A154" s="97" t="str">
        <x:v>I158</x:v>
      </x:c>
      <x:c r="B154" s="97" t="str">
        <x:v>Reuben Harrison</x:v>
      </x:c>
      <x:c r="C154" s="97" t="str">
        <x:v>M</x:v>
      </x:c>
      <x:c r="D154" s="97" t="str"/>
      <x:c r="E154" s="97" t="str">
        <x:v>1835</x:v>
      </x:c>
      <x:c r="F154" s="97" t="str"/>
      <x:c r="G154" s="97" t="str">
        <x:v>S20</x:v>
      </x:c>
      <x:c r="H154" s="97" t="str">
        <x:v>Confidence B (Strong). Branch: Rives / Harrison. Equity records identify William Harrison as his son.</x:v>
      </x:c>
      <x:c r="I154" s="97" t="str"/>
      <x:c r="J154" s="97" t="str">
        <x:v>F083</x:v>
      </x:c>
    </x:row>
    <x:row r="155">
      <x:c r="A155" s="97" t="str">
        <x:v>I159</x:v>
      </x:c>
      <x:c r="B155" s="97" t="str">
        <x:v>Nancy Harrison</x:v>
      </x:c>
      <x:c r="C155" s="97" t="str">
        <x:v>F</x:v>
      </x:c>
      <x:c r="D155" s="97" t="str"/>
      <x:c r="E155" s="97" t="str"/>
      <x:c r="F155" s="97" t="str"/>
      <x:c r="G155" s="97" t="str">
        <x:v>S20</x:v>
      </x:c>
      <x:c r="H155" s="97" t="str">
        <x:v>Confidence C (Provisional). Branch: Rives / Harrison. Nancy is named as Reuben’s widow; the maiden name Kirkland comes from compiled family material and is not proved here.</x:v>
      </x:c>
      <x:c r="I155" s="97" t="str"/>
      <x:c r="J155" s="97" t="str">
        <x:v>F083</x:v>
      </x:c>
    </x:row>
    <x:row r="156">
      <x:c r="A156" s="97" t="str">
        <x:v>I160</x:v>
      </x:c>
      <x:c r="B156" s="97" t="str">
        <x:v>James Perry</x:v>
      </x:c>
      <x:c r="C156" s="97" t="str">
        <x:v>M</x:v>
      </x:c>
      <x:c r="D156" s="97" t="str"/>
      <x:c r="E156" s="97" t="str">
        <x:v>AFTER 14 APR 1806 / BEFORE 1825; Kershaw District, South Carolina</x:v>
      </x:c>
      <x:c r="F156" s="97" t="str"/>
      <x:c r="G156" s="97" t="str">
        <x:v>S20</x:v>
      </x:c>
      <x:c r="H156" s="97" t="str">
        <x:v>Confidence A (Confirmed). Branch: Rives / Harrison. His will and later equity case identify Ann Perry as his daughter.</x:v>
      </x:c>
      <x:c r="I156" s="97" t="str"/>
      <x:c r="J156" s="97" t="str">
        <x:v>F084</x:v>
      </x:c>
    </x:row>
    <x:row r="157">
      <x:c r="A157" s="97" t="str">
        <x:v>I161</x:v>
      </x:c>
      <x:c r="B157" s="97" t="str">
        <x:v>Noah Agee</x:v>
      </x:c>
      <x:c r="C157" s="97" t="str">
        <x:v>M</x:v>
      </x:c>
      <x:c r="D157" s="97" t="str">
        <x:v>12 NOV 1750; Virginia</x:v>
      </x:c>
      <x:c r="E157" s="97" t="str">
        <x:v>9 APR 1823; Alabama</x:v>
      </x:c>
      <x:c r="F157" s="97" t="str"/>
      <x:c r="G157" s="97" t="str">
        <x:v>S8</x:v>
      </x:c>
      <x:c r="H157" s="97" t="str">
        <x:v>Confidence B (Strong). Branch: Agee / Ford / Bondurant.</x:v>
      </x:c>
      <x:c r="I157" s="97" t="str">
        <x:v>F087</x:v>
      </x:c>
      <x:c r="J157" s="97" t="str">
        <x:v>F085</x:v>
      </x:c>
    </x:row>
    <x:row r="158">
      <x:c r="A158" s="97" t="str">
        <x:v>I162</x:v>
      </x:c>
      <x:c r="B158" s="97" t="str">
        <x:v>Martha Mask</x:v>
      </x:c>
      <x:c r="C158" s="97" t="str">
        <x:v>F</x:v>
      </x:c>
      <x:c r="D158" s="97" t="str">
        <x:v>27 DEC 1768</x:v>
      </x:c>
      <x:c r="E158" s="97" t="str"/>
      <x:c r="F158" s="97" t="str"/>
      <x:c r="G158" s="97" t="str">
        <x:v>S8</x:v>
      </x:c>
      <x:c r="H158" s="97" t="str">
        <x:v>Confidence B (Strong). Branch: Agee / Ford / Bondurant. Her parentage was not sufficiently proved in this research pass.</x:v>
      </x:c>
      <x:c r="I158" s="97" t="str"/>
      <x:c r="J158" s="97" t="str">
        <x:v>F085</x:v>
      </x:c>
    </x:row>
    <x:row r="159">
      <x:c r="A159" s="97" t="str">
        <x:v>I163</x:v>
      </x:c>
      <x:c r="B159" s="97" t="str">
        <x:v>William Hill</x:v>
      </x:c>
      <x:c r="C159" s="97" t="str">
        <x:v>M</x:v>
      </x:c>
      <x:c r="D159" s="97" t="str"/>
      <x:c r="E159" s="97" t="str"/>
      <x:c r="F159" s="97" t="str"/>
      <x:c r="G159" s="97" t="str">
        <x:v>S8</x:v>
      </x:c>
      <x:c r="H159" s="97" t="str">
        <x:v>Confidence B (Strong). Branch: Agee / Ford / Bondurant. Named as Elvina Hill’s father; her mother is unidentified.</x:v>
      </x:c>
      <x:c r="I159" s="97" t="str"/>
      <x:c r="J159" s="97" t="str">
        <x:v>F086</x:v>
      </x:c>
    </x:row>
    <x:row r="160">
      <x:c r="A160" s="97" t="str">
        <x:v>I164</x:v>
      </x:c>
      <x:c r="B160" s="97" t="str">
        <x:v>James Agee</x:v>
      </x:c>
      <x:c r="C160" s="97" t="str">
        <x:v>M</x:v>
      </x:c>
      <x:c r="D160" s="97" t="str">
        <x:v>ABOUT 1725; Virginia</x:v>
      </x:c>
      <x:c r="E160" s="97" t="str">
        <x:v>1821</x:v>
      </x:c>
      <x:c r="F160" s="97" t="str"/>
      <x:c r="G160" s="97" t="str">
        <x:v>S8</x:v>
      </x:c>
      <x:c r="H160" s="97" t="str">
        <x:v>Confidence B (Strong). Branch: Agee / Ford / Bondurant.</x:v>
      </x:c>
      <x:c r="I160" s="97" t="str">
        <x:v>F088</x:v>
      </x:c>
      <x:c r="J160" s="97" t="str">
        <x:v>F087</x:v>
      </x:c>
    </x:row>
    <x:row r="161">
      <x:c r="A161" s="97" t="str">
        <x:v>I165</x:v>
      </x:c>
      <x:c r="B161" s="97" t="str">
        <x:v>Mary Ford</x:v>
      </x:c>
      <x:c r="C161" s="97" t="str">
        <x:v>F</x:v>
      </x:c>
      <x:c r="D161" s="97" t="str"/>
      <x:c r="E161" s="97" t="str"/>
      <x:c r="F161" s="97" t="str"/>
      <x:c r="G161" s="97" t="str">
        <x:v>S8</x:v>
      </x:c>
      <x:c r="H161" s="97" t="str">
        <x:v>Confidence B (Strong). Branch: Agee / Ford / Bondurant. A will reportedly proves the surname Ford; the family history discusses uncertainty over whether her given name was Mary or Elizabeth.</x:v>
      </x:c>
      <x:c r="I161" s="97" t="str">
        <x:v>F089</x:v>
      </x:c>
      <x:c r="J161" s="97" t="str">
        <x:v>F087</x:v>
      </x:c>
    </x:row>
    <x:row r="162">
      <x:c r="A162" s="97" t="str">
        <x:v>I166</x:v>
      </x:c>
      <x:c r="B162" s="97" t="str">
        <x:v>Mathieu Agee</x:v>
      </x:c>
      <x:c r="C162" s="97" t="str">
        <x:v>M</x:v>
      </x:c>
      <x:c r="D162" s="97" t="str">
        <x:v>ABOUT 1670; near Nantes, France</x:v>
      </x:c>
      <x:c r="E162" s="97" t="str">
        <x:v>Virginia</x:v>
      </x:c>
      <x:c r="F162" s="97" t="str"/>
      <x:c r="G162" s="97" t="str">
        <x:v>S8</x:v>
      </x:c>
      <x:c r="H162" s="97" t="str">
        <x:v>Confidence C (Provisional). Branch: Agee / Ford / Bondurant. Huguenot immigrant traditionally said to have arrived in Virginia in 1690. Parentage is substantially less secure than his American family.</x:v>
      </x:c>
      <x:c r="I162" s="97" t="str">
        <x:v>F091</x:v>
      </x:c>
      <x:c r="J162" s="97" t="str">
        <x:v>F088</x:v>
      </x:c>
    </x:row>
    <x:row r="163">
      <x:c r="A163" s="97" t="str">
        <x:v>I167</x:v>
      </x:c>
      <x:c r="B163" s="97" t="str">
        <x:v>Ann Godwin</x:v>
      </x:c>
      <x:c r="C163" s="97" t="str">
        <x:v>F</x:v>
      </x:c>
      <x:c r="D163" s="97" t="str"/>
      <x:c r="E163" s="97" t="str"/>
      <x:c r="F163" s="97" t="str"/>
      <x:c r="G163" s="97" t="str">
        <x:v>S8</x:v>
      </x:c>
      <x:c r="H163" s="97" t="str">
        <x:v>Confidence C (Provisional). Branch: Agee / Ford / Bondurant.</x:v>
      </x:c>
      <x:c r="I163" s="97" t="str">
        <x:v>F090</x:v>
      </x:c>
      <x:c r="J163" s="97" t="str">
        <x:v>F088</x:v>
      </x:c>
    </x:row>
    <x:row r="164">
      <x:c r="A164" s="97" t="str">
        <x:v>I168</x:v>
      </x:c>
      <x:c r="B164" s="97" t="str">
        <x:v>James Ford</x:v>
      </x:c>
      <x:c r="C164" s="97" t="str">
        <x:v>M</x:v>
      </x:c>
      <x:c r="D164" s="97" t="str"/>
      <x:c r="E164" s="97" t="str"/>
      <x:c r="F164" s="97" t="str"/>
      <x:c r="G164" s="97" t="str">
        <x:v>S8</x:v>
      </x:c>
      <x:c r="H164" s="97" t="str">
        <x:v>Confidence B (Strong). Branch: Agee / Ford / Bondurant.</x:v>
      </x:c>
      <x:c r="I164" s="97" t="str"/>
      <x:c r="J164" s="97" t="str">
        <x:v>F089</x:v>
      </x:c>
    </x:row>
    <x:row r="165">
      <x:c r="A165" s="97" t="str">
        <x:v>I169</x:v>
      </x:c>
      <x:c r="B165" s="97" t="str">
        <x:v>Ann Bondurant</x:v>
      </x:c>
      <x:c r="C165" s="97" t="str">
        <x:v>F</x:v>
      </x:c>
      <x:c r="D165" s="97" t="str"/>
      <x:c r="E165" s="97" t="str"/>
      <x:c r="F165" s="97" t="str"/>
      <x:c r="G165" s="97" t="str">
        <x:v>S8</x:v>
      </x:c>
      <x:c r="H165" s="97" t="str">
        <x:v>Confidence B (Strong). Branch: Agee / Ford / Bondurant.</x:v>
      </x:c>
      <x:c r="I165" s="97" t="str">
        <x:v>F092</x:v>
      </x:c>
      <x:c r="J165" s="97" t="str">
        <x:v>F089</x:v>
      </x:c>
    </x:row>
    <x:row r="166">
      <x:c r="A166" s="97" t="str">
        <x:v>I170</x:v>
      </x:c>
      <x:c r="B166" s="97" t="str">
        <x:v>Isaac Godwin</x:v>
      </x:c>
      <x:c r="C166" s="97" t="str">
        <x:v>M</x:v>
      </x:c>
      <x:c r="D166" s="97" t="str"/>
      <x:c r="E166" s="97" t="str"/>
      <x:c r="F166" s="97" t="str"/>
      <x:c r="G166" s="97" t="str">
        <x:v>S8</x:v>
      </x:c>
      <x:c r="H166" s="97" t="str">
        <x:v>Confidence C (Provisional). Branch: Agee / Ford / Bondurant.</x:v>
      </x:c>
      <x:c r="I166" s="97" t="str"/>
      <x:c r="J166" s="97" t="str">
        <x:v>F090</x:v>
      </x:c>
    </x:row>
    <x:row r="167">
      <x:c r="A167" s="97" t="str">
        <x:v>I171</x:v>
      </x:c>
      <x:c r="B167" s="97" t="str">
        <x:v>Ann Godwin</x:v>
      </x:c>
      <x:c r="C167" s="97" t="str">
        <x:v>F</x:v>
      </x:c>
      <x:c r="D167" s="97" t="str"/>
      <x:c r="E167" s="97" t="str"/>
      <x:c r="F167" s="97" t="str"/>
      <x:c r="G167" s="97" t="str">
        <x:v>S8</x:v>
      </x:c>
      <x:c r="H167" s="97" t="str">
        <x:v>Confidence C (Provisional). Branch: Agee / Ford / Bondurant.</x:v>
      </x:c>
      <x:c r="I167" s="97" t="str"/>
      <x:c r="J167" s="97" t="str">
        <x:v>F090</x:v>
      </x:c>
    </x:row>
    <x:row r="168">
      <x:c r="A168" s="97" t="str">
        <x:v>I172</x:v>
      </x:c>
      <x:c r="B168" s="97" t="str">
        <x:v>Anthony Agee</x:v>
      </x:c>
      <x:c r="C168" s="97" t="str">
        <x:v>M</x:v>
      </x:c>
      <x:c r="D168" s="97" t="str"/>
      <x:c r="E168" s="97" t="str"/>
      <x:c r="F168" s="97" t="str"/>
      <x:c r="G168" s="97" t="str">
        <x:v>S8</x:v>
      </x:c>
      <x:c r="H168" s="97" t="str">
        <x:v>Confidence D (Traditional / disputed). Branch: Agee / Ford / Bondurant. The claim that Anthony Agee and Judith Chastain were Mathieu’s parents appears in later addenda/tradition and needs independent French records.</x:v>
      </x:c>
      <x:c r="I168" s="97" t="str"/>
      <x:c r="J168" s="97" t="str">
        <x:v>F091</x:v>
      </x:c>
    </x:row>
    <x:row r="169">
      <x:c r="A169" s="97" t="str">
        <x:v>I173</x:v>
      </x:c>
      <x:c r="B169" s="97" t="str">
        <x:v>Judith Chastain</x:v>
      </x:c>
      <x:c r="C169" s="97" t="str">
        <x:v>F</x:v>
      </x:c>
      <x:c r="D169" s="97" t="str"/>
      <x:c r="E169" s="97" t="str"/>
      <x:c r="F169" s="97" t="str"/>
      <x:c r="G169" s="97" t="str">
        <x:v>S8</x:v>
      </x:c>
      <x:c r="H169" s="97" t="str">
        <x:v>Confidence D (Traditional / disputed). Branch: Agee / Ford / Bondurant. Traditional mother of Mathieu Agee; not treated as proved.</x:v>
      </x:c>
      <x:c r="I169" s="97" t="str"/>
      <x:c r="J169" s="97" t="str">
        <x:v>F091</x:v>
      </x:c>
    </x:row>
    <x:row r="170">
      <x:c r="A170" s="97" t="str">
        <x:v>I174</x:v>
      </x:c>
      <x:c r="B170" s="97" t="str">
        <x:v>Jean Pierre John Peter Bondurant</x:v>
      </x:c>
      <x:c r="C170" s="97" t="str">
        <x:v>M</x:v>
      </x:c>
      <x:c r="D170" s="97" t="str">
        <x:v>near Lyon, France</x:v>
      </x:c>
      <x:c r="E170" s="97" t="str">
        <x:v>Virginia</x:v>
      </x:c>
      <x:c r="F170" s="97" t="str"/>
      <x:c r="G170" s="97" t="str">
        <x:v>S8</x:v>
      </x:c>
      <x:c r="H170" s="97" t="str">
        <x:v>Confidence C (Provisional). Branch: Agee / Ford / Bondurant. The Agee family history identifies him as Ann Bondurant’s father and describes his Huguenot migration.</x:v>
      </x:c>
      <x:c r="I170" s="97" t="str"/>
      <x:c r="J170" s="97" t="str">
        <x:v>F092</x:v>
      </x:c>
    </x:row>
    <x:row r="171">
      <x:c r="A171" s="97" t="str">
        <x:v>I175</x:v>
      </x:c>
      <x:c r="B171" s="97" t="str">
        <x:v>Arianna Lynn Annie Vollmer</x:v>
      </x:c>
      <x:c r="C171" s="97" t="str">
        <x:v>F</x:v>
      </x:c>
      <x:c r="D171" s="97" t="str"/>
      <x:c r="E171" s="97" t="str"/>
      <x:c r="F171" s="97" t="str"/>
      <x:c r="G171" s="97" t="str"/>
      <x:c r="H171" s="97" t="str">
        <x:v>Relationship to Fredric: Sister. | Confidence: A - Confirmed.</x:v>
      </x:c>
      <x:c r="I171" s="97" t="str">
        <x:v>F095</x:v>
      </x:c>
      <x:c r="J171" s="97" t="str"/>
    </x:row>
    <x:row r="172">
      <x:c r="A172" s="97" t="str">
        <x:v>I176</x:v>
      </x:c>
      <x:c r="B172" s="97" t="str">
        <x:v>Henry Richard Vollmer</x:v>
      </x:c>
      <x:c r="C172" s="97" t="str">
        <x:v>M</x:v>
      </x:c>
      <x:c r="D172" s="97" t="str"/>
      <x:c r="E172" s="97" t="str"/>
      <x:c r="F172" s="97" t="str">
        <x:v>EXISTING-HENRY-RICHARD-VOLLMER</x:v>
      </x:c>
      <x:c r="G172" s="97" t="str">
        <x:v>S28</x:v>
      </x:c>
      <x:c r="H172" s="97" t="str">
        <x:v>Relationship to Fredric: Father. | Confidence: A - Confirmed. | Henry is Fredric's father and Jan's spouse in this tree.</x:v>
      </x:c>
      <x:c r="I172" s="97" t="str">
        <x:v>F105</x:v>
      </x:c>
      <x:c r="J172" s="97" t="str">
        <x:v>F095</x:v>
      </x:c>
    </x:row>
    <x:row r="173">
      <x:c r="A173" s="97" t="str">
        <x:v>I177</x:v>
      </x:c>
      <x:c r="B173" s="97" t="str">
        <x:v>Bruce Muller</x:v>
      </x:c>
      <x:c r="C173" s="97" t="str">
        <x:v>M</x:v>
      </x:c>
      <x:c r="D173" s="97" t="str"/>
      <x:c r="E173" s="97" t="str"/>
      <x:c r="F173" s="97" t="str">
        <x:v>BRUCE-MULLER</x:v>
      </x:c>
      <x:c r="G173" s="97" t="str">
        <x:v>S27</x:v>
      </x:c>
      <x:c r="H173" s="97" t="str">
        <x:v>Relationship to Fredric: Maternal uncle. | Confidence: A - Confirmed.</x:v>
      </x:c>
      <x:c r="I173" s="97" t="str">
        <x:v>F001</x:v>
      </x:c>
      <x:c r="J173" s="97" t="str"/>
    </x:row>
    <x:row r="174">
      <x:c r="A174" s="97" t="str">
        <x:v>I178</x:v>
      </x:c>
      <x:c r="B174" s="97" t="str">
        <x:v>Mary Gene Muller Chaffee</x:v>
      </x:c>
      <x:c r="C174" s="97" t="str">
        <x:v>F</x:v>
      </x:c>
      <x:c r="D174" s="97" t="str">
        <x:v>13 APR 1920; Detroit, Wayne, Michigan</x:v>
      </x:c>
      <x:c r="E174" s="97" t="str">
        <x:v>18 AUG 1995</x:v>
      </x:c>
      <x:c r="F174" s="97" t="str">
        <x:v>MGMCH-1920</x:v>
      </x:c>
      <x:c r="G174" s="97" t="str">
        <x:v>S27</x:v>
      </x:c>
      <x:c r="H174" s="97" t="str">
        <x:v>Relationship to Fredric: Maternal great-aunt. | Confidence: A - Confirmed. | Historical marriage and draft records identify her husband as Elmer James Chaffee Jr.</x:v>
      </x:c>
      <x:c r="I174" s="97" t="str">
        <x:v>F002</x:v>
      </x:c>
      <x:c r="J174" s="97" t="str">
        <x:v>F093</x:v>
      </x:c>
    </x:row>
    <x:row r="175">
      <x:c r="A175" s="97" t="str">
        <x:v>I179</x:v>
      </x:c>
      <x:c r="B175" s="97" t="str">
        <x:v>Elmer James Chaffee Jr</x:v>
      </x:c>
      <x:c r="C175" s="97" t="str">
        <x:v>M</x:v>
      </x:c>
      <x:c r="D175" s="97" t="str">
        <x:v>1 OCT 1918; Wayne County, Michigan</x:v>
      </x:c>
      <x:c r="E175" s="97" t="str"/>
      <x:c r="F175" s="97" t="str"/>
      <x:c r="G175" s="97" t="str">
        <x:v>S27</x:v>
      </x:c>
      <x:c r="H175" s="97" t="str">
        <x:v>Relationship to Fredric: Maternal great-uncle by marriage. | Confidence: A - Confirmed. | The 1998 family chart used James; historical records give the fuller name Elmer James Chaffee Jr.</x:v>
      </x:c>
      <x:c r="I175" s="97" t="str"/>
      <x:c r="J175" s="97" t="str">
        <x:v>F093</x:v>
      </x:c>
    </x:row>
    <x:row r="176">
      <x:c r="A176" s="97" t="str">
        <x:v>I180</x:v>
      </x:c>
      <x:c r="B176" s="97" t="str">
        <x:v>Linda Chaffee</x:v>
      </x:c>
      <x:c r="C176" s="97" t="str">
        <x:v>F</x:v>
      </x:c>
      <x:c r="D176" s="97" t="str"/>
      <x:c r="E176" s="97" t="str"/>
      <x:c r="F176" s="97" t="str"/>
      <x:c r="G176" s="97" t="str"/>
      <x:c r="H176" s="97" t="str">
        <x:v>Relationship to Fredric: First cousin once removed. | Confidence: A - Confirmed.</x:v>
      </x:c>
      <x:c r="I176" s="97" t="str">
        <x:v>F093</x:v>
      </x:c>
      <x:c r="J176" s="97" t="str"/>
    </x:row>
    <x:row r="177">
      <x:c r="A177" s="97" t="str">
        <x:v>I181</x:v>
      </x:c>
      <x:c r="B177" s="97" t="str">
        <x:v>Lori Chaffee Mettler</x:v>
      </x:c>
      <x:c r="C177" s="97" t="str">
        <x:v>F</x:v>
      </x:c>
      <x:c r="D177" s="97" t="str"/>
      <x:c r="E177" s="97" t="str"/>
      <x:c r="F177" s="97" t="str"/>
      <x:c r="G177" s="97" t="str"/>
      <x:c r="H177" s="97" t="str">
        <x:v>Relationship to Fredric: First cousin once removed. | Confidence: A - Confirmed.</x:v>
      </x:c>
      <x:c r="I177" s="97" t="str">
        <x:v>F093</x:v>
      </x:c>
      <x:c r="J177" s="97" t="str"/>
    </x:row>
    <x:row r="178">
      <x:c r="A178" s="97" t="str">
        <x:v>I182</x:v>
      </x:c>
      <x:c r="B178" s="97" t="str">
        <x:v>James Chaffee</x:v>
      </x:c>
      <x:c r="C178" s="97" t="str">
        <x:v>M</x:v>
      </x:c>
      <x:c r="D178" s="97" t="str"/>
      <x:c r="E178" s="97" t="str"/>
      <x:c r="F178" s="97" t="str"/>
      <x:c r="G178" s="97" t="str">
        <x:v>S29</x:v>
      </x:c>
      <x:c r="H178" s="97" t="str">
        <x:v>Relationship to Fredric: First cousin once removed. | Confidence: A - Confirmed. | The son's name is James; an earlier mistranscription has been removed.</x:v>
      </x:c>
      <x:c r="I178" s="97" t="str">
        <x:v>F093</x:v>
      </x:c>
      <x:c r="J178" s="97" t="str"/>
    </x:row>
    <x:row r="179">
      <x:c r="A179" s="97" t="str">
        <x:v>I183</x:v>
      </x:c>
      <x:c r="B179" s="97" t="str">
        <x:v>Jane Lee Muller Swick</x:v>
      </x:c>
      <x:c r="C179" s="97" t="str">
        <x:v>F</x:v>
      </x:c>
      <x:c r="D179" s="97" t="str">
        <x:v>7 NOV 1932; Detroit, Wayne, Michigan</x:v>
      </x:c>
      <x:c r="E179" s="97" t="str">
        <x:v>7 NOV 2010; North Bend, Coos, Oregon</x:v>
      </x:c>
      <x:c r="F179" s="97" t="str">
        <x:v>JLMS-1932</x:v>
      </x:c>
      <x:c r="G179" s="97" t="str">
        <x:v>S27</x:v>
      </x:c>
      <x:c r="H179" s="97" t="str">
        <x:v>Relationship to Fredric: Maternal great-aunt. | Confidence: A - Confirmed.</x:v>
      </x:c>
      <x:c r="I179" s="97" t="str">
        <x:v>F002</x:v>
      </x:c>
      <x:c r="J179" s="97" t="str">
        <x:v>F094</x:v>
      </x:c>
    </x:row>
    <x:row r="180">
      <x:c r="A180" s="97" t="str">
        <x:v>I184</x:v>
      </x:c>
      <x:c r="B180" s="97" t="str">
        <x:v>Howard Swick</x:v>
      </x:c>
      <x:c r="C180" s="97" t="str">
        <x:v>M</x:v>
      </x:c>
      <x:c r="D180" s="97" t="str"/>
      <x:c r="E180" s="97" t="str"/>
      <x:c r="F180" s="97" t="str"/>
      <x:c r="G180" s="97" t="str"/>
      <x:c r="H180" s="97" t="str">
        <x:v>Relationship to Fredric: Maternal great-uncle by marriage. | Confidence: A - Confirmed.</x:v>
      </x:c>
      <x:c r="I180" s="97" t="str"/>
      <x:c r="J180" s="97" t="str">
        <x:v>F094</x:v>
      </x:c>
    </x:row>
    <x:row r="181">
      <x:c r="A181" s="97" t="str">
        <x:v>I185</x:v>
      </x:c>
      <x:c r="B181" s="97" t="str">
        <x:v>Kathy Swick Werblo</x:v>
      </x:c>
      <x:c r="C181" s="97" t="str">
        <x:v>F</x:v>
      </x:c>
      <x:c r="D181" s="97" t="str"/>
      <x:c r="E181" s="97" t="str"/>
      <x:c r="F181" s="97" t="str"/>
      <x:c r="G181" s="97" t="str"/>
      <x:c r="H181" s="97" t="str">
        <x:v>Relationship to Fredric: First cousin once removed. | Confidence: A - Confirmed.</x:v>
      </x:c>
      <x:c r="I181" s="97" t="str">
        <x:v>F094</x:v>
      </x:c>
      <x:c r="J181" s="97" t="str">
        <x:v>F098</x:v>
      </x:c>
    </x:row>
    <x:row r="182">
      <x:c r="A182" s="97" t="str">
        <x:v>I186</x:v>
      </x:c>
      <x:c r="B182" s="97" t="str">
        <x:v>Dave Werblo</x:v>
      </x:c>
      <x:c r="C182" s="97" t="str">
        <x:v>M</x:v>
      </x:c>
      <x:c r="D182" s="97" t="str"/>
      <x:c r="E182" s="97" t="str"/>
      <x:c r="F182" s="97" t="str"/>
      <x:c r="G182" s="97" t="str"/>
      <x:c r="H182" s="97" t="str">
        <x:v>Relationship to Fredric: Cousin-in-law (1C1R spouse). | Confidence: A - Confirmed.</x:v>
      </x:c>
      <x:c r="I182" s="97" t="str"/>
      <x:c r="J182" s="97" t="str">
        <x:v>F098</x:v>
      </x:c>
    </x:row>
    <x:row r="183">
      <x:c r="A183" s="97" t="str">
        <x:v>I187</x:v>
      </x:c>
      <x:c r="B183" s="97" t="str">
        <x:v>John Swick</x:v>
      </x:c>
      <x:c r="C183" s="97" t="str">
        <x:v>M</x:v>
      </x:c>
      <x:c r="D183" s="97" t="str"/>
      <x:c r="E183" s="97" t="str"/>
      <x:c r="F183" s="97" t="str"/>
      <x:c r="G183" s="97" t="str"/>
      <x:c r="H183" s="97" t="str">
        <x:v>Relationship to Fredric: First cousin once removed. | Confidence: A - Confirmed.</x:v>
      </x:c>
      <x:c r="I183" s="97" t="str">
        <x:v>F094</x:v>
      </x:c>
      <x:c r="J183" s="97" t="str">
        <x:v>F099</x:v>
      </x:c>
    </x:row>
    <x:row r="184">
      <x:c r="A184" s="97" t="str">
        <x:v>I188</x:v>
      </x:c>
      <x:c r="B184" s="97" t="str">
        <x:v>Celeste</x:v>
      </x:c>
      <x:c r="C184" s="97" t="str">
        <x:v>F</x:v>
      </x:c>
      <x:c r="D184" s="97" t="str"/>
      <x:c r="E184" s="97" t="str"/>
      <x:c r="F184" s="97" t="str"/>
      <x:c r="G184" s="97" t="str"/>
      <x:c r="H184" s="97" t="str">
        <x:v>Relationship to Fredric: Cousin-in-law (1C1R spouse). | Confidence: C - Provisional.</x:v>
      </x:c>
      <x:c r="I184" s="97" t="str"/>
      <x:c r="J184" s="97" t="str">
        <x:v>F099</x:v>
      </x:c>
    </x:row>
    <x:row r="185">
      <x:c r="A185" s="97" t="str">
        <x:v>I189</x:v>
      </x:c>
      <x:c r="B185" s="97" t="str">
        <x:v>Susan Sue Swick Galbraith</x:v>
      </x:c>
      <x:c r="C185" s="97" t="str">
        <x:v>F</x:v>
      </x:c>
      <x:c r="D185" s="97" t="str"/>
      <x:c r="E185" s="97" t="str"/>
      <x:c r="F185" s="97" t="str"/>
      <x:c r="G185" s="97" t="str"/>
      <x:c r="H185" s="97" t="str">
        <x:v>Relationship to Fredric: First cousin once removed. | Confidence: A - Confirmed.</x:v>
      </x:c>
      <x:c r="I185" s="97" t="str">
        <x:v>F094</x:v>
      </x:c>
      <x:c r="J185" s="97" t="str">
        <x:v>F100</x:v>
      </x:c>
    </x:row>
    <x:row r="186">
      <x:c r="A186" s="97" t="str">
        <x:v>I190</x:v>
      </x:c>
      <x:c r="B186" s="97" t="str">
        <x:v>Gordon Galbraith</x:v>
      </x:c>
      <x:c r="C186" s="97" t="str">
        <x:v>M</x:v>
      </x:c>
      <x:c r="D186" s="97" t="str"/>
      <x:c r="E186" s="97" t="str"/>
      <x:c r="F186" s="97" t="str"/>
      <x:c r="G186" s="97" t="str"/>
      <x:c r="H186" s="97" t="str">
        <x:v>Relationship to Fredric: Cousin-in-law (1C1R spouse). | Confidence: A - Confirmed.</x:v>
      </x:c>
      <x:c r="I186" s="97" t="str"/>
      <x:c r="J186" s="97" t="str">
        <x:v>F100</x:v>
      </x:c>
    </x:row>
    <x:row r="187">
      <x:c r="A187" s="97" t="str">
        <x:v>I191</x:v>
      </x:c>
      <x:c r="B187" s="97" t="str">
        <x:v>Patti Swick</x:v>
      </x:c>
      <x:c r="C187" s="97" t="str">
        <x:v>F</x:v>
      </x:c>
      <x:c r="D187" s="97" t="str"/>
      <x:c r="E187" s="97" t="str"/>
      <x:c r="F187" s="97" t="str"/>
      <x:c r="G187" s="97" t="str"/>
      <x:c r="H187" s="97" t="str">
        <x:v>Relationship to Fredric: First cousin once removed. | Confidence: A - Confirmed.</x:v>
      </x:c>
      <x:c r="I187" s="97" t="str">
        <x:v>F094</x:v>
      </x:c>
      <x:c r="J187" s="97" t="str">
        <x:v>F101</x:v>
      </x:c>
    </x:row>
    <x:row r="188">
      <x:c r="A188" s="97" t="str">
        <x:v>I192</x:v>
      </x:c>
      <x:c r="B188" s="97" t="str">
        <x:v>Rick Lilly</x:v>
      </x:c>
      <x:c r="C188" s="97" t="str">
        <x:v>M</x:v>
      </x:c>
      <x:c r="D188" s="97" t="str"/>
      <x:c r="E188" s="97" t="str"/>
      <x:c r="F188" s="97" t="str"/>
      <x:c r="G188" s="97" t="str"/>
      <x:c r="H188" s="97" t="str">
        <x:v>Relationship to Fredric: Cousin-in-law (historical). | Confidence: B - Strong.</x:v>
      </x:c>
      <x:c r="I188" s="97" t="str"/>
      <x:c r="J188" s="97" t="str">
        <x:v>F101</x:v>
      </x:c>
    </x:row>
    <x:row r="189">
      <x:c r="A189" s="97" t="str">
        <x:v>I193</x:v>
      </x:c>
      <x:c r="B189" s="97" t="str">
        <x:v>Philip Brooks McCormick</x:v>
      </x:c>
      <x:c r="C189" s="97" t="str">
        <x:v>M</x:v>
      </x:c>
      <x:c r="D189" s="97" t="str"/>
      <x:c r="E189" s="97" t="str"/>
      <x:c r="F189" s="97" t="str">
        <x:v>PMCC-1930</x:v>
      </x:c>
      <x:c r="G189" s="97" t="str">
        <x:v>S27</x:v>
      </x:c>
      <x:c r="H189" s="97" t="str">
        <x:v>Relationship to Fredric: Maternal great-uncle. | Confidence: A - Confirmed.</x:v>
      </x:c>
      <x:c r="I189" s="97" t="str">
        <x:v>F003</x:v>
      </x:c>
      <x:c r="J189" s="97" t="str">
        <x:v>F096</x:v>
      </x:c>
    </x:row>
    <x:row r="190">
      <x:c r="A190" s="97" t="str">
        <x:v>I194</x:v>
      </x:c>
      <x:c r="B190" s="97" t="str">
        <x:v>Elizabeth Betsy Ross McCormick</x:v>
      </x:c>
      <x:c r="C190" s="97" t="str">
        <x:v>F</x:v>
      </x:c>
      <x:c r="D190" s="97" t="str"/>
      <x:c r="E190" s="97" t="str"/>
      <x:c r="F190" s="97" t="str"/>
      <x:c r="G190" s="97" t="str"/>
      <x:c r="H190" s="97" t="str">
        <x:v>Relationship to Fredric: Maternal great-aunt by marriage. | Confidence: B - Strong.</x:v>
      </x:c>
      <x:c r="I190" s="97" t="str"/>
      <x:c r="J190" s="97" t="str">
        <x:v>F096</x:v>
      </x:c>
    </x:row>
    <x:row r="191">
      <x:c r="A191" s="97" t="str">
        <x:v>I195</x:v>
      </x:c>
      <x:c r="B191" s="97" t="str">
        <x:v>Sandy McCormick Hill</x:v>
      </x:c>
      <x:c r="C191" s="97" t="str">
        <x:v>F</x:v>
      </x:c>
      <x:c r="D191" s="97" t="str"/>
      <x:c r="E191" s="97" t="str"/>
      <x:c r="F191" s="97" t="str"/>
      <x:c r="G191" s="97" t="str"/>
      <x:c r="H191" s="97" t="str">
        <x:v>Relationship to Fredric: First cousin once removed. | Confidence: A - Confirmed.</x:v>
      </x:c>
      <x:c r="I191" s="97" t="str">
        <x:v>F096</x:v>
      </x:c>
      <x:c r="J191" s="97" t="str">
        <x:v>F102</x:v>
      </x:c>
    </x:row>
    <x:row r="192">
      <x:c r="A192" s="97" t="str">
        <x:v>I196</x:v>
      </x:c>
      <x:c r="B192" s="97" t="str">
        <x:v>John Hill</x:v>
      </x:c>
      <x:c r="C192" s="97" t="str">
        <x:v>M</x:v>
      </x:c>
      <x:c r="D192" s="97" t="str"/>
      <x:c r="E192" s="97" t="str"/>
      <x:c r="F192" s="97" t="str"/>
      <x:c r="G192" s="97" t="str"/>
      <x:c r="H192" s="97" t="str">
        <x:v>Relationship to Fredric: Cousin-in-law (1C1R spouse). | Confidence: A - Confirmed.</x:v>
      </x:c>
      <x:c r="I192" s="97" t="str"/>
      <x:c r="J192" s="97" t="str">
        <x:v>F102</x:v>
      </x:c>
    </x:row>
    <x:row r="193">
      <x:c r="A193" s="97" t="str">
        <x:v>I197</x:v>
      </x:c>
      <x:c r="B193" s="97" t="str">
        <x:v>Ross McCormick</x:v>
      </x:c>
      <x:c r="C193" s="97" t="str">
        <x:v>M</x:v>
      </x:c>
      <x:c r="D193" s="97" t="str"/>
      <x:c r="E193" s="97" t="str"/>
      <x:c r="F193" s="97" t="str"/>
      <x:c r="G193" s="97" t="str"/>
      <x:c r="H193" s="97" t="str">
        <x:v>Relationship to Fredric: First cousin once removed. | Confidence: A - Confirmed.</x:v>
      </x:c>
      <x:c r="I193" s="97" t="str">
        <x:v>F096</x:v>
      </x:c>
      <x:c r="J193" s="97" t="str">
        <x:v>F103</x:v>
      </x:c>
    </x:row>
    <x:row r="194">
      <x:c r="A194" s="97" t="str">
        <x:v>I198</x:v>
      </x:c>
      <x:c r="B194" s="97" t="str">
        <x:v>Carrie McCormick</x:v>
      </x:c>
      <x:c r="C194" s="97" t="str">
        <x:v>F</x:v>
      </x:c>
      <x:c r="D194" s="97" t="str"/>
      <x:c r="E194" s="97" t="str"/>
      <x:c r="F194" s="97" t="str"/>
      <x:c r="G194" s="97" t="str"/>
      <x:c r="H194" s="97" t="str">
        <x:v>Relationship to Fredric: Cousin-in-law (1C1R spouse). | Confidence: A - Confirmed.</x:v>
      </x:c>
      <x:c r="I194" s="97" t="str"/>
      <x:c r="J194" s="97" t="str">
        <x:v>F103</x:v>
      </x:c>
    </x:row>
    <x:row r="195">
      <x:c r="A195" s="97" t="str">
        <x:v>I199</x:v>
      </x:c>
      <x:c r="B195" s="97" t="str">
        <x:v>Tina McCormick</x:v>
      </x:c>
      <x:c r="C195" s="97" t="str">
        <x:v>F</x:v>
      </x:c>
      <x:c r="D195" s="97" t="str"/>
      <x:c r="E195" s="97" t="str"/>
      <x:c r="F195" s="97" t="str"/>
      <x:c r="G195" s="97" t="str"/>
      <x:c r="H195" s="97" t="str">
        <x:v>Relationship to Fredric: First cousin once removed. | Confidence: A - Confirmed.</x:v>
      </x:c>
      <x:c r="I195" s="97" t="str">
        <x:v>F096</x:v>
      </x:c>
      <x:c r="J195" s="97" t="str"/>
    </x:row>
    <x:row r="196">
      <x:c r="A196" s="97" t="str">
        <x:v>I200</x:v>
      </x:c>
      <x:c r="B196" s="97" t="str">
        <x:v>Charles McCormick</x:v>
      </x:c>
      <x:c r="C196" s="97" t="str">
        <x:v>M</x:v>
      </x:c>
      <x:c r="D196" s="97" t="str"/>
      <x:c r="E196" s="97" t="str"/>
      <x:c r="F196" s="97" t="str">
        <x:v>CEMCCJR-1939</x:v>
      </x:c>
      <x:c r="G196" s="97" t="str">
        <x:v>S27</x:v>
      </x:c>
      <x:c r="H196" s="97" t="str">
        <x:v>Relationship to Fredric: Maternal great-uncle. | Confidence: A - Confirmed.</x:v>
      </x:c>
      <x:c r="I196" s="97" t="str">
        <x:v>F003</x:v>
      </x:c>
      <x:c r="J196" s="97" t="str">
        <x:v>F104</x:v>
      </x:c>
    </x:row>
    <x:row r="197">
      <x:c r="A197" s="97" t="str">
        <x:v>I201</x:v>
      </x:c>
      <x:c r="B197" s="97" t="str">
        <x:v>Judy McCormick</x:v>
      </x:c>
      <x:c r="C197" s="97" t="str">
        <x:v>F</x:v>
      </x:c>
      <x:c r="D197" s="97" t="str"/>
      <x:c r="E197" s="97" t="str"/>
      <x:c r="F197" s="97" t="str"/>
      <x:c r="G197" s="97" t="str"/>
      <x:c r="H197" s="97" t="str">
        <x:v>Relationship to Fredric: Maternal great-aunt by marriage. | Confidence: A - Confirmed.</x:v>
      </x:c>
      <x:c r="I197" s="97" t="str"/>
      <x:c r="J197" s="97" t="str">
        <x:v>F104</x:v>
      </x:c>
    </x:row>
    <x:row r="198">
      <x:c r="A198" s="97" t="str">
        <x:v>I202</x:v>
      </x:c>
      <x:c r="B198" s="97" t="str">
        <x:v>Gwendolyn Gwen McCormick Hull</x:v>
      </x:c>
      <x:c r="C198" s="97" t="str">
        <x:v>F</x:v>
      </x:c>
      <x:c r="D198" s="97" t="str"/>
      <x:c r="E198" s="97" t="str"/>
      <x:c r="F198" s="97" t="str">
        <x:v>GIMCC-1941</x:v>
      </x:c>
      <x:c r="G198" s="97" t="str">
        <x:v>S27</x:v>
      </x:c>
      <x:c r="H198" s="97" t="str">
        <x:v>Relationship to Fredric: Maternal great-aunt. | Confidence: A - Confirmed.</x:v>
      </x:c>
      <x:c r="I198" s="97" t="str">
        <x:v>F003</x:v>
      </x:c>
      <x:c r="J198" s="97" t="str">
        <x:v>F097</x:v>
      </x:c>
    </x:row>
    <x:row r="199">
      <x:c r="A199" s="97" t="str">
        <x:v>I203</x:v>
      </x:c>
      <x:c r="B199" s="97" t="str">
        <x:v>Jim Hull</x:v>
      </x:c>
      <x:c r="C199" s="97" t="str">
        <x:v>M</x:v>
      </x:c>
      <x:c r="D199" s="97" t="str"/>
      <x:c r="E199" s="97" t="str"/>
      <x:c r="F199" s="97" t="str"/>
      <x:c r="G199" s="97" t="str"/>
      <x:c r="H199" s="97" t="str">
        <x:v>Relationship to Fredric: Maternal great-uncle by marriage. | Confidence: A - Confirmed.</x:v>
      </x:c>
      <x:c r="I199" s="97" t="str"/>
      <x:c r="J199" s="97" t="str">
        <x:v>F097</x:v>
      </x:c>
    </x:row>
    <x:row r="200">
      <x:c r="A200" s="97" t="str">
        <x:v>I204</x:v>
      </x:c>
      <x:c r="B200" s="97" t="str">
        <x:v>Carey Zaura</x:v>
      </x:c>
      <x:c r="C200" s="97" t="str">
        <x:v>F</x:v>
      </x:c>
      <x:c r="D200" s="97" t="str"/>
      <x:c r="E200" s="97" t="str"/>
      <x:c r="F200" s="97" t="str"/>
      <x:c r="G200" s="97" t="str"/>
      <x:c r="H200" s="97" t="str">
        <x:v>Relationship to Fredric: First cousin once removed. | Confidence: A - Confirmed.</x:v>
      </x:c>
      <x:c r="I200" s="97" t="str">
        <x:v>F097</x:v>
      </x:c>
      <x:c r="J200" s="97" t="str"/>
    </x:row>
    <x:row r="201">
      <x:c r="A201" s="97" t="str">
        <x:v>I205</x:v>
      </x:c>
      <x:c r="B201" s="97" t="str">
        <x:v>Mark Hull</x:v>
      </x:c>
      <x:c r="C201" s="97" t="str">
        <x:v>M</x:v>
      </x:c>
      <x:c r="D201" s="97" t="str"/>
      <x:c r="E201" s="97" t="str"/>
      <x:c r="F201" s="97" t="str"/>
      <x:c r="G201" s="97" t="str"/>
      <x:c r="H201" s="97" t="str">
        <x:v>Relationship to Fredric: First cousin once removed. | Confidence: A - Confirmed.</x:v>
      </x:c>
      <x:c r="I201" s="97" t="str">
        <x:v>F097</x:v>
      </x:c>
      <x:c r="J201" s="97" t="str"/>
    </x:row>
    <x:row r="202">
      <x:c r="A202" s="97" t="str">
        <x:v>I207</x:v>
      </x:c>
      <x:c r="B202" s="97" t="str">
        <x:v>Charles Frederic Vollmer</x:v>
      </x:c>
      <x:c r="C202" s="97" t="str">
        <x:v>M</x:v>
      </x:c>
      <x:c r="D202" s="97" t="str">
        <x:v>6 FEB 1906; Freeport, Nassau, New York</x:v>
      </x:c>
      <x:c r="E202" s="97" t="str">
        <x:v>11 MAR 1972; Seattle, King, Washington</x:v>
      </x:c>
      <x:c r="F202" s="97" t="str">
        <x:v>CFV-1906</x:v>
      </x:c>
      <x:c r="G202" s="97" t="str">
        <x:v>S26;S30</x:v>
      </x:c>
      <x:c r="H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I202" s="97" t="str">
        <x:v>F106</x:v>
      </x:c>
      <x:c r="J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HJJ-VOLLMER-1878</x:v>
      </x:c>
      <x:c r="G203" s="97" t="str">
        <x:v>S26</x:v>
      </x:c>
      <x:c r="H203" s="97" t="str">
        <x:v>Confidence: high. | Direct Vollmer ancestor</x:v>
      </x:c>
      <x:c r="I203" s="97" t="str">
        <x:v>F107</x:v>
      </x:c>
      <x:c r="J203" s="97" t="str">
        <x:v>F106</x:v>
      </x:c>
    </x:row>
    <x:row r="204">
      <x:c r="A204" s="97" t="str">
        <x:v>I209</x:v>
      </x:c>
      <x:c r="B204" s="97" t="str">
        <x:v>Frederick Gottlieb Vollmer</x:v>
      </x:c>
      <x:c r="C204" s="97" t="str">
        <x:v>M</x:v>
      </x:c>
      <x:c r="D204" s="97" t="str">
        <x:v>As reported: Germany; date unknown</x:v>
      </x:c>
      <x:c r="E204" s="97" t="str"/>
      <x:c r="F204" s="97" t="str">
        <x:v>FG-VOLLMER</x:v>
      </x:c>
      <x:c r="G204" s="97" t="str">
        <x:v>S26</x:v>
      </x:c>
      <x:c r="H204" s="97" t="str">
        <x:v>Confidence: high for name and relationship; low for dates. | Named on son's original 1905 marriage certificate; a 1917 original death certificate for another son independently gives father Frederick Vollmer</x:v>
      </x:c>
      <x:c r="I204" s="97" t="str"/>
      <x:c r="J204" s="97" t="str">
        <x:v>F107</x:v>
      </x:c>
    </x:row>
    <x:row r="205">
      <x:c r="A205" s="97" t="str">
        <x:v>I210</x:v>
      </x:c>
      <x:c r="B205" s="97" t="str">
        <x:v>Mary Kalwiet</x:v>
      </x:c>
      <x:c r="C205" s="97" t="str">
        <x:v>F</x:v>
      </x:c>
      <x:c r="D205" s="97" t="str">
        <x:v>As reported: Germany; date unknown</x:v>
      </x:c>
      <x:c r="E205" s="97" t="str"/>
      <x:c r="F205" s="97" t="str">
        <x:v>MARY-KALWIET</x:v>
      </x:c>
      <x:c r="G205" s="97" t="str">
        <x:v>S26</x:v>
      </x:c>
      <x:c r="H205" s="97" t="str">
        <x:v>Confidence: high for name and relationship; low for dates. | Named on son's original 1905 marriage certificate; a 1917 original death certificate independently gives the spelling Mary Kalweit; identity in the 1882 passenger list remains probable, not proved</x:v>
      </x:c>
      <x:c r="I205" s="97" t="str"/>
      <x:c r="J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v>METHA-PEPER-1884</x:v>
      </x:c>
      <x:c r="G206" s="97" t="str">
        <x:v>S26</x:v>
      </x:c>
      <x:c r="H206" s="97" t="str">
        <x:v>Confidence: high for identity and parentage; moderate-high for exact birth identification. | Direct ancestor; 1905 marriage names her parents; 1884 unnamed female birth matches both parents, place, age, and later census evidence</x:v>
      </x:c>
      <x:c r="I206" s="97" t="str">
        <x:v>F108</x:v>
      </x:c>
      <x:c r="J206" s="97" t="str">
        <x:v>F106</x:v>
      </x:c>
    </x:row>
    <x:row r="207">
      <x:c r="A207" s="97" t="str">
        <x:v>I212</x:v>
      </x:c>
      <x:c r="B207" s="97" t="str">
        <x:v>George Peper</x:v>
      </x:c>
      <x:c r="C207" s="97" t="str">
        <x:v>M</x:v>
      </x:c>
      <x:c r="D207" s="97" t="str">
        <x:v>As reported: about 1860-1861; Harsefeld, Province of Hanover, Germany</x:v>
      </x:c>
      <x:c r="E207" s="97" t="str"/>
      <x:c r="F207" s="97" t="str">
        <x:v>GEORGE-PEPER</x:v>
      </x:c>
      <x:c r="G207" s="97" t="str">
        <x:v>S26</x:v>
      </x:c>
      <x:c r="H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I207" s="97" t="str">
        <x:v>F109</x:v>
      </x:c>
      <x:c r="J207" s="97" t="str">
        <x:v>F108</x:v>
      </x:c>
    </x:row>
    <x:row r="208">
      <x:c r="A208" s="97" t="str">
        <x:v>I213</x:v>
      </x:c>
      <x:c r="B208" s="97" t="str">
        <x:v>Anna Sophie Stelling Peper</x:v>
      </x:c>
      <x:c r="C208" s="97" t="str">
        <x:v>F</x:v>
      </x:c>
      <x:c r="D208" s="97" t="str">
        <x:v>As reported: about 1862-1863; Lintig, Lehe, Province of Hanover, Germany</x:v>
      </x:c>
      <x:c r="E208" s="97" t="str"/>
      <x:c r="F208" s="97" t="str">
        <x:v>ANNA-STILLING</x:v>
      </x:c>
      <x:c r="G208" s="97" t="str">
        <x:v>S26</x:v>
      </x:c>
      <x:c r="H208" s="97" t="str">
        <x:v>Confidence: high for relationship; moderate-high for birth details. | Direct ancestor; original 1883 marriage return names birthplace and parents</x:v>
      </x:c>
      <x:c r="I208" s="97" t="str">
        <x:v>F110</x:v>
      </x:c>
      <x:c r="J208" s="97" t="str">
        <x:v>F108</x:v>
      </x:c>
    </x:row>
    <x:row r="209">
      <x:c r="A209" s="97" t="str">
        <x:v>I214</x:v>
      </x:c>
      <x:c r="B209" s="97" t="str">
        <x:v>Peter Peper</x:v>
      </x:c>
      <x:c r="C209" s="97" t="str">
        <x:v>M</x:v>
      </x:c>
      <x:c r="D209" s="97" t="str">
        <x:v>As reported: Germany; date unknown</x:v>
      </x:c>
      <x:c r="E209" s="97" t="str"/>
      <x:c r="F209" s="97" t="str">
        <x:v>PETER-PEPER</x:v>
      </x:c>
      <x:c r="G209" s="97" t="str">
        <x:v>S26</x:v>
      </x:c>
      <x:c r="H209" s="97" t="str">
        <x:v>Confidence: high for relationship; low for dates. | Direct ancestor named as George/Themes Peper's father on the original 1883 marriage return</x:v>
      </x:c>
      <x:c r="I209" s="97" t="str"/>
      <x:c r="J209" s="97" t="str">
        <x:v>F109</x:v>
      </x:c>
    </x:row>
    <x:row r="210">
      <x:c r="A210" s="97" t="str">
        <x:v>I215</x:v>
      </x:c>
      <x:c r="B210" s="97" t="str">
        <x:v>Meta Francke</x:v>
      </x:c>
      <x:c r="C210" s="97" t="str">
        <x:v>F</x:v>
      </x:c>
      <x:c r="D210" s="97" t="str">
        <x:v>As reported: Germany; date unknown</x:v>
      </x:c>
      <x:c r="E210" s="97" t="str"/>
      <x:c r="F210" s="97" t="str">
        <x:v>META-FRANCKE</x:v>
      </x:c>
      <x:c r="G210" s="97" t="str">
        <x:v>S26</x:v>
      </x:c>
      <x:c r="H210" s="97" t="str">
        <x:v>Confidence: high for relationship; low for dates. | Direct ancestor named as George/Themes Peper's mother on the original 1883 marriage return</x:v>
      </x:c>
      <x:c r="I210" s="97" t="str"/>
      <x:c r="J210" s="97" t="str">
        <x:v>F109</x:v>
      </x:c>
    </x:row>
    <x:row r="211">
      <x:c r="A211" s="97" t="str">
        <x:v>I216</x:v>
      </x:c>
      <x:c r="B211" s="97" t="str">
        <x:v>Charles Stelling</x:v>
      </x:c>
      <x:c r="C211" s="97" t="str">
        <x:v>M</x:v>
      </x:c>
      <x:c r="D211" s="97" t="str">
        <x:v>As reported: Germany; date unknown</x:v>
      </x:c>
      <x:c r="E211" s="97" t="str"/>
      <x:c r="F211" s="97" t="str">
        <x:v>CHARLES-STELLING</x:v>
      </x:c>
      <x:c r="G211" s="97" t="str">
        <x:v>S26</x:v>
      </x:c>
      <x:c r="H211" s="97" t="str">
        <x:v>Confidence: high for relationship; low for dates. | Direct ancestor named as Anna Sophie Stelling's father on the original 1883 marriage return; handwriting supports Charles, with Carl retained as a German-form variant</x:v>
      </x:c>
      <x:c r="I211" s="97" t="str"/>
      <x:c r="J211" s="97" t="str">
        <x:v>F110</x:v>
      </x:c>
    </x:row>
    <x:row r="212">
      <x:c r="A212" s="97" t="str">
        <x:v>I217</x:v>
      </x:c>
      <x:c r="B212" s="97" t="str">
        <x:v>Catharine Ahrens</x:v>
      </x:c>
      <x:c r="C212" s="97" t="str">
        <x:v>F</x:v>
      </x:c>
      <x:c r="D212" s="97" t="str">
        <x:v>As reported: Germany; date unknown</x:v>
      </x:c>
      <x:c r="E212" s="97" t="str"/>
      <x:c r="F212" s="97" t="str">
        <x:v>CATHARINE-AHRENS</x:v>
      </x:c>
      <x:c r="G212" s="97" t="str">
        <x:v>S26</x:v>
      </x:c>
      <x:c r="H212" s="97" t="str">
        <x:v>Confidence: high for relationship; low for dates. | Direct ancestor named as Anna Sophie Stelling's mother on the original 1883 marriage return</x:v>
      </x:c>
      <x:c r="I212" s="97" t="str"/>
      <x:c r="J212" s="97" t="str">
        <x:v>F110</x:v>
      </x:c>
    </x:row>
    <x:row r="213">
      <x:c r="A213" s="97" t="str">
        <x:v>I218</x:v>
      </x:c>
      <x:c r="B213" s="97" t="str">
        <x:v>Doris Josephine Marsh Vollmer</x:v>
      </x:c>
      <x:c r="C213" s="97" t="str">
        <x:v>F</x:v>
      </x:c>
      <x:c r="D213" s="97" t="str">
        <x:v>5 MAY 1900; New York</x:v>
      </x:c>
      <x:c r="E213" s="97" t="str">
        <x:v>2 JAN 1983; Camas, Clark, Washington</x:v>
      </x:c>
      <x:c r="F213" s="97" t="str">
        <x:v>DJM-1900</x:v>
      </x:c>
      <x:c r="G213" s="97" t="str">
        <x:v>S26</x:v>
      </x:c>
      <x:c r="H213" s="97" t="str">
        <x:v>Confidence: high. | Direct ancestor</x:v>
      </x:c>
      <x:c r="I213" s="97" t="str">
        <x:v>F111</x:v>
      </x:c>
      <x:c r="J213" s="97" t="str">
        <x:v>F105</x:v>
      </x:c>
    </x:row>
    <x:row r="214">
      <x:c r="A214" s="97" t="str">
        <x:v>I219</x:v>
      </x:c>
      <x:c r="B214" s="97" t="str">
        <x:v>Frederick Heath Marsh</x:v>
      </x:c>
      <x:c r="C214" s="97" t="str">
        <x:v>M</x:v>
      </x:c>
      <x:c r="D214" s="97" t="str">
        <x:v>DEC 1867; New York</x:v>
      </x:c>
      <x:c r="E214" s="97" t="str">
        <x:v>ABT 22 AUG 1949; Rochester, Monroe, New York</x:v>
      </x:c>
      <x:c r="F214" s="97" t="str">
        <x:v>FHM-1867</x:v>
      </x:c>
      <x:c r="G214" s="97" t="str">
        <x:v>S26</x:v>
      </x:c>
      <x:c r="H214" s="97" t="str">
        <x:v>Confidence: high for relationships; moderate for exact birth/death dates. | Direct ancestor</x:v>
      </x:c>
      <x:c r="I214" s="97" t="str">
        <x:v>F112</x:v>
      </x:c>
      <x:c r="J214" s="97" t="str">
        <x:v>F111</x:v>
      </x:c>
    </x:row>
    <x:row r="215">
      <x:c r="A215" s="97" t="str">
        <x:v>I220</x:v>
      </x:c>
      <x:c r="B215" s="97" t="str">
        <x:v>Andrew J Marsh</x:v>
      </x:c>
      <x:c r="C215" s="97" t="str">
        <x:v>M</x:v>
      </x:c>
      <x:c r="D215" s="97" t="str">
        <x:v>ABT 1829; New York</x:v>
      </x:c>
      <x:c r="E215" s="97" t="str">
        <x:v>13 JUN 1917; Perry, Wyoming, New York</x:v>
      </x:c>
      <x:c r="F215" s="97" t="str">
        <x:v>AJM-1829</x:v>
      </x:c>
      <x:c r="G215" s="97" t="str">
        <x:v>S26</x:v>
      </x:c>
      <x:c r="H215" s="97" t="str">
        <x:v>Confidence: high for parentage; high for indexed death. | Direct ancestor; official New York death index supplies exact death date/place</x:v>
      </x:c>
      <x:c r="I215" s="97" t="str">
        <x:v>F113</x:v>
      </x:c>
      <x:c r="J215" s="97" t="str">
        <x:v>F112</x:v>
      </x:c>
    </x:row>
    <x:row r="216">
      <x:c r="A216" s="97" t="str">
        <x:v>I221</x:v>
      </x:c>
      <x:c r="B216" s="97" t="str">
        <x:v>Malachi Marsh</x:v>
      </x:c>
      <x:c r="C216" s="97" t="str">
        <x:v>M</x:v>
      </x:c>
      <x:c r="D216" s="97" t="str">
        <x:v>As reported: about 1807-1808; New York</x:v>
      </x:c>
      <x:c r="E216" s="97" t="str"/>
      <x:c r="F216" s="97" t="str">
        <x:v>MM-1808</x:v>
      </x:c>
      <x:c r="G216" s="97" t="str">
        <x:v>S26</x:v>
      </x:c>
      <x:c r="H216" s="97" t="str">
        <x:v>Confidence: high for relationship; moderate for birth year. | Direct ancestor; his parents remain undocumented</x:v>
      </x:c>
      <x:c r="I216" s="97" t="str"/>
      <x:c r="J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v>MARY-MARSH-1807</x:v>
      </x:c>
      <x:c r="G217" s="97" t="str">
        <x:v>S26</x:v>
      </x:c>
      <x:c r="H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I217" s="97" t="str">
        <x:v>F114</x:v>
      </x:c>
      <x:c r="J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v>STEPHEN-LANE-1771</x:v>
      </x:c>
      <x:c r="G218" s="97" t="str">
        <x:v>S26</x:v>
      </x:c>
      <x:c r="H218" s="97" t="str">
        <x:v>Confidence: high for birth and parents; moderate-high for death. | Direct ancestor; original birth names Joshua and Hannah; original probate names wife Lois and son George but does not itself name daughter Mary</x:v>
      </x:c>
      <x:c r="I218" s="97" t="str">
        <x:v>F115</x:v>
      </x:c>
      <x:c r="J218" s="97" t="str">
        <x:v>F114</x:v>
      </x:c>
    </x:row>
    <x:row r="219">
      <x:c r="A219" s="97" t="str">
        <x:v>I224</x:v>
      </x:c>
      <x:c r="B219" s="97" t="str">
        <x:v>Lois Currier Lane</x:v>
      </x:c>
      <x:c r="C219" s="97" t="str">
        <x:v>F</x:v>
      </x:c>
      <x:c r="D219" s="97" t="str">
        <x:v>As reported: date and place unknown</x:v>
      </x:c>
      <x:c r="E219" s="97" t="str">
        <x:v>21 AUG 1859</x:v>
      </x:c>
      <x:c r="F219" s="97" t="str">
        <x:v>LOIS-CURRIER</x:v>
      </x:c>
      <x:c r="G219" s="97" t="str">
        <x:v>S26</x:v>
      </x:c>
      <x:c r="H219" s="97" t="str">
        <x:v>Confidence: high for married identity; moderate-high as Mary's mother; low for vital details. | Direct ancestor; original 1797 marriage and Stephen's probate establish the couple; Mary parentage rests on the exact-match 1891 Lane genealogy</x:v>
      </x:c>
      <x:c r="I219" s="97" t="str"/>
      <x:c r="J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v>JOSHUA-LANE-1748</x:v>
      </x:c>
      <x:c r="G220" s="97" t="str">
        <x:v>S26</x:v>
      </x:c>
      <x:c r="H220" s="97" t="str">
        <x:v>Confidence: high for birth and parents; moderate-high for death. | Direct ancestor; original birth names Samuel and Mary, and the parents' original marriage supplies Mary's James surname</x:v>
      </x:c>
      <x:c r="I220" s="97" t="str">
        <x:v>F116</x:v>
      </x:c>
      <x:c r="J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v>HANNAH-TILTON</x:v>
      </x:c>
      <x:c r="G221" s="97" t="str">
        <x:v>S26</x:v>
      </x:c>
      <x:c r="H221" s="97" t="str">
        <x:v>Confidence: high for married identity and as Stephen's mother; moderate for vital details. | Direct ancestor; original 1769 marriage to Joshua and Stephen's original birth establish the relationship</x:v>
      </x:c>
      <x:c r="I221" s="97" t="str"/>
      <x:c r="J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v>SAMUEL-LANE-1718</x:v>
      </x:c>
      <x:c r="G222" s="97" t="str">
        <x:v>S26</x:v>
      </x:c>
      <x:c r="H222" s="97" t="str">
        <x:v>Confidence: high for birth and parents; moderate-high for death. | Direct ancestor; certified New Hampshire birth transcript names Joshua Lane and Bathsheba; original marriage identifies Bathsheba as Bathshabah Robie</x:v>
      </x:c>
      <x:c r="I222" s="97" t="str">
        <x:v>F117</x:v>
      </x:c>
      <x:c r="J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v>MARY-JAMES</x:v>
      </x:c>
      <x:c r="G223" s="97" t="str">
        <x:v>S26</x:v>
      </x:c>
      <x:c r="H223" s="97" t="str">
        <x:v>Confidence: high for birth and parents; moderate-high for death. | Direct ancestor; certified New Hampshire birth transcript names Benjamin James and Susanna; the mother's maiden surname is not supplied</x:v>
      </x:c>
      <x:c r="I223" s="97" t="str">
        <x:v>F118</x:v>
      </x:c>
      <x:c r="J223" s="97" t="str">
        <x:v>F116</x:v>
      </x:c>
    </x:row>
    <x:row r="224">
      <x:c r="A224" s="97" t="str">
        <x:v>I229</x:v>
      </x:c>
      <x:c r="B224" s="97" t="str">
        <x:v>Joshua Lane</x:v>
      </x:c>
      <x:c r="C224" s="97" t="str">
        <x:v>M</x:v>
      </x:c>
      <x:c r="D224" s="97" t="str">
        <x:v>6 JUN 1696; New Hampshire</x:v>
      </x:c>
      <x:c r="E224" s="97" t="str">
        <x:v>1766</x:v>
      </x:c>
      <x:c r="F224" s="97" t="str">
        <x:v>JOSHUA-LANE-1696</x:v>
      </x:c>
      <x:c r="G224" s="97" t="str">
        <x:v>S26</x:v>
      </x:c>
      <x:c r="H224" s="97" t="str">
        <x:v>Confidence: high for birth and parents; moderate for death. | Direct ancestor; certified New Hampshire birth transcript names William Lane and Sarah</x:v>
      </x:c>
      <x:c r="I224" s="97" t="str">
        <x:v>F119</x:v>
      </x:c>
      <x:c r="J224" s="97" t="str">
        <x:v>F117</x:v>
      </x:c>
    </x:row>
    <x:row r="225">
      <x:c r="A225" s="97" t="str">
        <x:v>I230</x:v>
      </x:c>
      <x:c r="B225" s="97" t="str">
        <x:v>Bathsheba Robie Lane</x:v>
      </x:c>
      <x:c r="C225" s="97" t="str">
        <x:v>F</x:v>
      </x:c>
      <x:c r="D225" s="97" t="str">
        <x:v>As reported: date and place unknown</x:v>
      </x:c>
      <x:c r="E225" s="97" t="str"/>
      <x:c r="F225" s="97" t="str">
        <x:v>BATHSHEBA-ROBIE</x:v>
      </x:c>
      <x:c r="G225" s="97" t="str">
        <x:v>S26</x:v>
      </x:c>
      <x:c r="H225" s="97" t="str">
        <x:v>Confidence: high for maiden identity and relationship; low for vital details. | Direct ancestor; Samuel Lane's birth names mother Bathsheba and the original 1717 marriage record identifies Joshua Lane's bride as Bathshabah Robie</x:v>
      </x:c>
      <x:c r="I225" s="97" t="str"/>
      <x:c r="J225" s="97" t="str">
        <x:v>F117</x:v>
      </x:c>
    </x:row>
    <x:row r="226">
      <x:c r="A226" s="97" t="str">
        <x:v>I231</x:v>
      </x:c>
      <x:c r="B226" s="97" t="str">
        <x:v>Benjamin James</x:v>
      </x:c>
      <x:c r="C226" s="97" t="str">
        <x:v>M</x:v>
      </x:c>
      <x:c r="D226" s="97" t="str">
        <x:v>As reported: date and place unknown</x:v>
      </x:c>
      <x:c r="E226" s="97" t="str"/>
      <x:c r="F226" s="97" t="str">
        <x:v>BENJAMIN-JAMES</x:v>
      </x:c>
      <x:c r="G226" s="97" t="str">
        <x:v>S26</x:v>
      </x:c>
      <x:c r="H226" s="97" t="str">
        <x:v>Confidence: high for relationship; low for vital details. | Direct ancestor named as Mary James's father in her certified New Hampshire birth transcript</x:v>
      </x:c>
      <x:c r="I226" s="97" t="str"/>
      <x:c r="J226" s="97" t="str">
        <x:v>F118</x:v>
      </x:c>
    </x:row>
    <x:row r="227">
      <x:c r="A227" s="97" t="str">
        <x:v>I232</x:v>
      </x:c>
      <x:c r="B227" s="97" t="str">
        <x:v>Susanna James</x:v>
      </x:c>
      <x:c r="C227" s="97" t="str">
        <x:v>F</x:v>
      </x:c>
      <x:c r="D227" s="97" t="str">
        <x:v>As reported: date and place unknown</x:v>
      </x:c>
      <x:c r="E227" s="97" t="str"/>
      <x:c r="F227" s="97" t="str">
        <x:v>SUSANNA-JAMES</x:v>
      </x:c>
      <x:c r="G227" s="97" t="str">
        <x:v>S26</x:v>
      </x:c>
      <x:c r="H227" s="97" t="str">
        <x:v>Confidence: high for relationship; low for identity details. | Direct ancestor named only as Susanna in Mary James's certified New Hampshire birth transcript; maiden surname remains unknown</x:v>
      </x:c>
      <x:c r="I227" s="97" t="str"/>
      <x:c r="J227" s="97" t="str">
        <x:v>F118</x:v>
      </x:c>
    </x:row>
    <x:row r="228">
      <x:c r="A228" s="97" t="str">
        <x:v>I233</x:v>
      </x:c>
      <x:c r="B228" s="97" t="str">
        <x:v>William Lane</x:v>
      </x:c>
      <x:c r="C228" s="97" t="str">
        <x:v>M</x:v>
      </x:c>
      <x:c r="D228" s="97" t="str">
        <x:v>As reported: date and place unknown</x:v>
      </x:c>
      <x:c r="E228" s="97" t="str"/>
      <x:c r="F228" s="97" t="str">
        <x:v>WILLIAM-LANE</x:v>
      </x:c>
      <x:c r="G228" s="97" t="str">
        <x:v>S26</x:v>
      </x:c>
      <x:c r="H228" s="97" t="str">
        <x:v>Confidence: high for relationship; low for identity details. | Direct ancestor named as Joshua Lane's father in Joshua's certified New Hampshire birth transcript; the uncorroborated 1659 candidate was not adopted</x:v>
      </x:c>
      <x:c r="I228" s="97" t="str"/>
      <x:c r="J228" s="97" t="str">
        <x:v>F119</x:v>
      </x:c>
    </x:row>
    <x:row r="229">
      <x:c r="A229" s="97" t="str">
        <x:v>I234</x:v>
      </x:c>
      <x:c r="B229" s="97" t="str">
        <x:v>Sarah Lane</x:v>
      </x:c>
      <x:c r="C229" s="97" t="str">
        <x:v>F</x:v>
      </x:c>
      <x:c r="D229" s="97" t="str">
        <x:v>As reported: date and place unknown</x:v>
      </x:c>
      <x:c r="E229" s="97" t="str"/>
      <x:c r="F229" s="97" t="str">
        <x:v>SARAH-LANE</x:v>
      </x:c>
      <x:c r="G229" s="97" t="str">
        <x:v>S26</x:v>
      </x:c>
      <x:c r="H229" s="97" t="str">
        <x:v>Confidence: high for relationship; low for identity details. | Direct ancestor named only as Sarah in Joshua Lane's certified New Hampshire birth transcript; maiden surname and parents remain unknown</x:v>
      </x:c>
      <x:c r="I229" s="97" t="str"/>
      <x:c r="J229" s="97" t="str">
        <x:v>F119</x:v>
      </x:c>
    </x:row>
    <x:row r="230">
      <x:c r="A230" s="97" t="str">
        <x:v>I235</x:v>
      </x:c>
      <x:c r="B230" s="97" t="str">
        <x:v>Amelia Whitney Marsh</x:v>
      </x:c>
      <x:c r="C230" s="97" t="str">
        <x:v>F</x:v>
      </x:c>
      <x:c r="D230" s="97" t="str">
        <x:v>ABT 1845; New York</x:v>
      </x:c>
      <x:c r="E230" s="97" t="str">
        <x:v>1894</x:v>
      </x:c>
      <x:c r="F230" s="97" t="str">
        <x:v>AW-1845</x:v>
      </x:c>
      <x:c r="G230" s="97" t="str">
        <x:v>S26</x:v>
      </x:c>
      <x:c r="H230" s="97" t="str">
        <x:v>Confidence: high for parentage and married identity; moderate for death. | Direct ancestor</x:v>
      </x:c>
      <x:c r="I230" s="97" t="str">
        <x:v>F120</x:v>
      </x:c>
      <x:c r="J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ALW-1804</x:v>
      </x:c>
      <x:c r="G231" s="97" t="str">
        <x:v>S26</x:v>
      </x:c>
      <x:c r="H231" s="97" t="str">
        <x:v>Confidence: high for relationship to Amelia; moderate for exact dates and father. | Direct ancestor; 1880 census says both parents born Connecticut; published Whitney genealogy identifies father James, but no original parent-link record was found</x:v>
      </x:c>
      <x:c r="I231" s="97" t="str">
        <x:v>F121</x:v>
      </x:c>
      <x:c r="J231" s="97" t="str">
        <x:v>F120</x:v>
      </x:c>
    </x:row>
    <x:row r="232">
      <x:c r="A232" s="97" t="str">
        <x:v>I237</x:v>
      </x:c>
      <x:c r="B232" s="97" t="str">
        <x:v>James Whitney</x:v>
      </x:c>
      <x:c r="C232" s="97" t="str">
        <x:v>M</x:v>
      </x:c>
      <x:c r="D232" s="97" t="str">
        <x:v>27 AUG 1779; Killingly, Windham, Connecticut (compiled genealogy)</x:v>
      </x:c>
      <x:c r="E232" s="97" t="str">
        <x:v>MAR 1817</x:v>
      </x:c>
      <x:c r="F232" s="97" t="str">
        <x:v>JAMES-WHITNEY-1779</x:v>
      </x:c>
      <x:c r="G232" s="97" t="str">
        <x:v>S26</x:v>
      </x:c>
      <x:c r="H232" s="97" t="str">
        <x:v>Confidence: moderate/provisional. | Direct ancestor candidate adopted only as Alvin's moderate-certainty father; wife is Betsey Law in the Whitney genealogy but Betsey Evarts on a cemetery memorial, so Alvin's mother and James's parents remain unassigned</x:v>
      </x:c>
      <x:c r="I232" s="97" t="str"/>
      <x:c r="J232" s="97" t="str">
        <x:v>F121</x:v>
      </x:c>
    </x:row>
    <x:row r="233">
      <x:c r="A233" s="97" t="str">
        <x:v>I238</x:v>
      </x:c>
      <x:c r="B233" s="97" t="str">
        <x:v>Betsey Cook Whitney</x:v>
      </x:c>
      <x:c r="C233" s="97" t="str">
        <x:v>F</x:v>
      </x:c>
      <x:c r="D233" s="97" t="str">
        <x:v>29 JUN 1809; New York</x:v>
      </x:c>
      <x:c r="E233" s="97" t="str">
        <x:v>4 SEP 1889</x:v>
      </x:c>
      <x:c r="F233" s="97" t="str">
        <x:v>BC-1809</x:v>
      </x:c>
      <x:c r="G233" s="97" t="str">
        <x:v>S26</x:v>
      </x:c>
      <x:c r="H233" s="97" t="str">
        <x:v>Confidence: high for identity and father; moderate-high for mother; moderate for dates. | Levi Cook's original will names daughter Betsey Whitney; Levi's 1794 marriage to Betsey Brown and later lineage evidence support the mother link</x:v>
      </x:c>
      <x:c r="I233" s="97" t="str">
        <x:v>F122</x:v>
      </x:c>
      <x:c r="J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v>LEVI-COOK-1774</x:v>
      </x:c>
      <x:c r="G234" s="97" t="str">
        <x:v>S26</x:v>
      </x:c>
      <x:c r="H234" s="97" t="str">
        <x:v>Confidence: high for birth and parents; moderate-high for death. | Direct ancestor; original birth register names Hezekiah and Lydia; original will names daughter Betsey Whitney</x:v>
      </x:c>
      <x:c r="I234" s="97" t="str">
        <x:v>F123</x:v>
      </x:c>
      <x:c r="J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v>BETSEY-BROWN-1779</x:v>
      </x:c>
      <x:c r="G235" s="97" t="str">
        <x:v>S26</x:v>
      </x:c>
      <x:c r="H235" s="97" t="str">
        <x:v>Confidence: high for birth and parents; moderate-high for married identity; moderate for death. | Direct ancestor; original birth names Perez/Peres and Betty; original marriage to Levi Cook</x:v>
      </x:c>
      <x:c r="I235" s="97" t="str">
        <x:v>F124</x:v>
      </x:c>
      <x:c r="J235" s="97" t="str">
        <x:v>F122</x:v>
      </x:c>
    </x:row>
    <x:row r="236">
      <x:c r="A236" s="97" t="str">
        <x:v>I241</x:v>
      </x:c>
      <x:c r="B236" s="97" t="str">
        <x:v>Hezekiah Cook</x:v>
      </x:c>
      <x:c r="C236" s="97" t="str">
        <x:v>M</x:v>
      </x:c>
      <x:c r="D236" s="97" t="str">
        <x:v>ABT 1728</x:v>
      </x:c>
      <x:c r="E236" s="97" t="str">
        <x:v>APR 1793; New Marlborough, Berkshire, Massachusetts</x:v>
      </x:c>
      <x:c r="F236" s="97" t="str">
        <x:v>HEZEKIAH-COOK</x:v>
      </x:c>
      <x:c r="G236" s="97" t="str">
        <x:v>S26</x:v>
      </x:c>
      <x:c r="H236" s="97" t="str">
        <x:v>Confidence: moderate-high for parentage; high for son Levi. | Direct ancestor; Joshua/Patience parentage rests on a scholarly NEHGR reconstruction; original register proves son Levi</x:v>
      </x:c>
      <x:c r="I236" s="97" t="str">
        <x:v>F125</x:v>
      </x:c>
      <x:c r="J236" s="97" t="str">
        <x:v>F123</x:v>
      </x:c>
    </x:row>
    <x:row r="237">
      <x:c r="A237" s="97" t="str">
        <x:v>I242</x:v>
      </x:c>
      <x:c r="B237" s="97" t="str">
        <x:v>Lydia Cook</x:v>
      </x:c>
      <x:c r="C237" s="97" t="str">
        <x:v>F</x:v>
      </x:c>
      <x:c r="D237" s="97" t="str">
        <x:v>As reported: date and place unknown</x:v>
      </x:c>
      <x:c r="E237" s="97" t="str"/>
      <x:c r="F237" s="97" t="str">
        <x:v>LYDIA-COOK</x:v>
      </x:c>
      <x:c r="G237" s="97" t="str">
        <x:v>S26</x:v>
      </x:c>
      <x:c r="H237" s="97" t="str">
        <x:v>Confidence: high for relationship; low for identity details. | Direct ancestor named as Levi Cook's mother in his original birth register; maiden name and parents unknown</x:v>
      </x:c>
      <x:c r="I237" s="97" t="str"/>
      <x:c r="J237" s="97" t="str">
        <x:v>F123</x:v>
      </x:c>
    </x:row>
    <x:row r="238">
      <x:c r="A238" s="97" t="str">
        <x:v>I243</x:v>
      </x:c>
      <x:c r="B238" s="97" t="str">
        <x:v>Perez Brown</x:v>
      </x:c>
      <x:c r="C238" s="97" t="str">
        <x:v>M</x:v>
      </x:c>
      <x:c r="D238" s="97" t="str">
        <x:v>As reported: date and place unknown</x:v>
      </x:c>
      <x:c r="E238" s="97" t="str"/>
      <x:c r="F238" s="97" t="str">
        <x:v>PEREZ-BROWN</x:v>
      </x:c>
      <x:c r="G238" s="97" t="str">
        <x:v>S26</x:v>
      </x:c>
      <x:c r="H238" s="97" t="str">
        <x:v>Confidence: high for relationship; low for dates. | Direct ancestor named as Betsey Brown's father in her original birth register; member-tree dates were not adopted</x:v>
      </x:c>
      <x:c r="I238" s="97" t="str"/>
      <x:c r="J238" s="97" t="str">
        <x:v>F124</x:v>
      </x:c>
    </x:row>
    <x:row r="239">
      <x:c r="A239" s="97" t="str">
        <x:v>I244</x:v>
      </x:c>
      <x:c r="B239" s="97" t="str">
        <x:v>Betty Brown</x:v>
      </x:c>
      <x:c r="C239" s="97" t="str">
        <x:v>F</x:v>
      </x:c>
      <x:c r="D239" s="97" t="str">
        <x:v>As reported: date and place unknown</x:v>
      </x:c>
      <x:c r="E239" s="97" t="str"/>
      <x:c r="F239" s="97" t="str">
        <x:v>BETTY-BROWN</x:v>
      </x:c>
      <x:c r="G239" s="97" t="str">
        <x:v>S26</x:v>
      </x:c>
      <x:c r="H239" s="97" t="str">
        <x:v>Confidence: high for relationship; low for identity details. | Direct ancestor named as Betsey Brown's mother in her original birth register; Church maiden-name claim remains unproved</x:v>
      </x:c>
      <x:c r="I239" s="97" t="str"/>
      <x:c r="J239" s="97" t="str">
        <x:v>F124</x:v>
      </x:c>
    </x:row>
    <x:row r="240">
      <x:c r="A240" s="97" t="str">
        <x:v>I245</x:v>
      </x:c>
      <x:c r="B240" s="97" t="str">
        <x:v>Joshua Cooke</x:v>
      </x:c>
      <x:c r="C240" s="97" t="str">
        <x:v>M</x:v>
      </x:c>
      <x:c r="D240" s="97" t="str">
        <x:v>As reported: 4 Feb 1682/83; Eastham, Barnstable, Massachusetts</x:v>
      </x:c>
      <x:c r="E240" s="97" t="str"/>
      <x:c r="F240" s="97" t="str">
        <x:v>JOSHUA-COOKE-1682</x:v>
      </x:c>
      <x:c r="G240" s="97" t="str">
        <x:v>S26</x:v>
      </x:c>
      <x:c r="H240" s="97" t="str">
        <x:v>Confidence: high for birth and parents. | Direct ancestor; original town birth names Josiah and Deborah; original marriage names Patience Doane</x:v>
      </x:c>
      <x:c r="I240" s="97" t="str">
        <x:v>F126</x:v>
      </x:c>
      <x:c r="J240" s="97" t="str">
        <x:v>F125</x:v>
      </x:c>
    </x:row>
    <x:row r="241">
      <x:c r="A241" s="97" t="str">
        <x:v>I246</x:v>
      </x:c>
      <x:c r="B241" s="97" t="str">
        <x:v>Patience Doane</x:v>
      </x:c>
      <x:c r="C241" s="97" t="str">
        <x:v>F</x:v>
      </x:c>
      <x:c r="D241" s="97" t="str">
        <x:v>APR 1682; Eastham, Barnstable, Massachusetts</x:v>
      </x:c>
      <x:c r="E241" s="97" t="str"/>
      <x:c r="F241" s="97" t="str">
        <x:v>PATIENCE-DOANE-1682</x:v>
      </x:c>
      <x:c r="G241" s="97" t="str">
        <x:v>S26</x:v>
      </x:c>
      <x:c r="H241" s="97" t="str">
        <x:v>Confidence: high for birth and parents. | Direct ancestor; original town birth names Ephraim and Mary</x:v>
      </x:c>
      <x:c r="I241" s="97" t="str">
        <x:v>F127</x:v>
      </x:c>
      <x:c r="J241" s="97" t="str">
        <x:v>F125</x:v>
      </x:c>
    </x:row>
    <x:row r="242">
      <x:c r="A242" s="97" t="str">
        <x:v>I247</x:v>
      </x:c>
      <x:c r="B242" s="97" t="str">
        <x:v>Josiah Cooke</x:v>
      </x:c>
      <x:c r="C242" s="97" t="str">
        <x:v>M</x:v>
      </x:c>
      <x:c r="D242" s="97" t="str">
        <x:v>ABT 1645; Plymouth or Eastham, Massachusetts (scholarly reconstruction)</x:v>
      </x:c>
      <x:c r="E242" s="97" t="str">
        <x:v>As reported: 31 Jan 1731/32; Eastham, Barnstable, Massachusetts</x:v>
      </x:c>
      <x:c r="F242" s="97" t="str">
        <x:v>JOSIAH-COOKE</x:v>
      </x:c>
      <x:c r="G242" s="97" t="str">
        <x:v>S26</x:v>
      </x:c>
      <x:c r="H242" s="97" t="str">
        <x:v>Confidence: high for father and married identity; moderate-high for mother; moderate for birth. | Direct ancestor; original marriage and son Joshua's birth establish his family; elder Josiah's probate and scholarly reconstruction establish the parents</x:v>
      </x:c>
      <x:c r="I242" s="97" t="str">
        <x:v>F128</x:v>
      </x:c>
      <x:c r="J242" s="97" t="str">
        <x:v>F126</x:v>
      </x:c>
    </x:row>
    <x:row r="243">
      <x:c r="A243" s="97" t="str">
        <x:v>I248</x:v>
      </x:c>
      <x:c r="B243" s="97" t="str">
        <x:v>Deborah Hopkins Cooke</x:v>
      </x:c>
      <x:c r="C243" s="97" t="str">
        <x:v>F</x:v>
      </x:c>
      <x:c r="D243" s="97" t="str">
        <x:v>15 JUN 1648; Eastham, Barnstable, Massachusetts</x:v>
      </x:c>
      <x:c r="E243" s="97" t="str"/>
      <x:c r="F243" s="97" t="str">
        <x:v>DEBORAH-HOPKINS-1648</x:v>
      </x:c>
      <x:c r="G243" s="97" t="str">
        <x:v>S26</x:v>
      </x:c>
      <x:c r="H243" s="97" t="str">
        <x:v>Confidence: high. | Direct ancestor; original birth names Giles; GSMD/Pilgrim Hall evidence establishes Catherine Whelden as mother</x:v>
      </x:c>
      <x:c r="I243" s="97" t="str">
        <x:v>F129</x:v>
      </x:c>
      <x:c r="J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v>EPHRAIM-DOANE</x:v>
      </x:c>
      <x:c r="G244" s="97" t="str">
        <x:v>S26</x:v>
      </x:c>
      <x:c r="H244" s="97" t="str">
        <x:v>Confidence: high for father; moderate-high for mother and dates. | Direct ancestor; John Doane's will explicitly names son Ephraim; Great Migration reconstruction identifies mother Ann</x:v>
      </x:c>
      <x:c r="I244" s="97" t="str">
        <x:v>F130</x:v>
      </x:c>
      <x:c r="J244" s="97" t="str">
        <x:v>F127</x:v>
      </x:c>
    </x:row>
    <x:row r="245">
      <x:c r="A245" s="97" t="str">
        <x:v>I250</x:v>
      </x:c>
      <x:c r="B245" s="97" t="str">
        <x:v>Mary Knowles Doane</x:v>
      </x:c>
      <x:c r="C245" s="97" t="str">
        <x:v>F</x:v>
      </x:c>
      <x:c r="D245" s="97" t="str">
        <x:v>ABT 1644; Plymouth Colony</x:v>
      </x:c>
      <x:c r="E245" s="97" t="str"/>
      <x:c r="F245" s="97" t="str">
        <x:v>MARY-DOANE</x:v>
      </x:c>
      <x:c r="G245" s="97" t="str">
        <x:v>S26</x:v>
      </x:c>
      <x:c r="H245" s="97" t="str">
        <x:v>Confidence: high for maiden and married identity; moderate-high for parents. | Direct ancestor; original marriage transcription gives Mary Knowles and an Eastham record equates Mary Knowles with Ephraim Doane's wife</x:v>
      </x:c>
      <x:c r="I245" s="97" t="str">
        <x:v>F131</x:v>
      </x:c>
      <x:c r="J245" s="97" t="str">
        <x:v>F127</x:v>
      </x:c>
    </x:row>
    <x:row r="246">
      <x:c r="A246" s="97" t="str">
        <x:v>I251</x:v>
      </x:c>
      <x:c r="B246" s="97" t="str">
        <x:v>Giles Hopkins</x:v>
      </x:c>
      <x:c r="C246" s="97" t="str">
        <x:v>M</x:v>
      </x:c>
      <x:c r="D246" s="97" t="str">
        <x:v>As reported: baptized 30 Jan 1607/08; Hursley, Hampshire, England</x:v>
      </x:c>
      <x:c r="E246" s="97" t="str">
        <x:v>As reported: between 5 Mar 1688/89 and 16 Apr 1690; Eastham, Massachusetts</x:v>
      </x:c>
      <x:c r="F246" s="97" t="str">
        <x:v>GILES-HOPKINS</x:v>
      </x:c>
      <x:c r="G246" s="97" t="str">
        <x:v>S26</x:v>
      </x:c>
      <x:c r="H246" s="97" t="str">
        <x:v>Confidence: high for father; moderate-high for mother and baptism details. | Direct ancestor and Mayflower passenger; Stephen's original will names son Giles; specialist synthesis gives baptism to Stephen and Mary</x:v>
      </x:c>
      <x:c r="I246" s="97" t="str">
        <x:v>F132</x:v>
      </x:c>
      <x:c r="J246" s="97" t="str">
        <x:v>F129</x:v>
      </x:c>
    </x:row>
    <x:row r="247">
      <x:c r="A247" s="97" t="str">
        <x:v>I252</x:v>
      </x:c>
      <x:c r="B247" s="97" t="str">
        <x:v>Josiah Cooke Sr.</x:v>
      </x:c>
      <x:c r="C247" s="97" t="str">
        <x:v>M</x:v>
      </x:c>
      <x:c r="D247" s="97" t="str">
        <x:v>ABT 1610; England</x:v>
      </x:c>
      <x:c r="E247" s="97" t="str">
        <x:v>17 OCT 1673; Eastham, Barnstable, Massachusetts</x:v>
      </x:c>
      <x:c r="F247" s="97" t="str">
        <x:v>JOSIAH-COOKE-SR</x:v>
      </x:c>
      <x:c r="G247" s="97" t="str">
        <x:v>S26</x:v>
      </x:c>
      <x:c r="H247" s="97" t="str">
        <x:v>Confidence: high for relationship to son; moderate for dates. | Direct ancestor; 1673 will names wife Elizabeth and son Josias; no proved relationship to Mayflower passenger Francis Cooke</x:v>
      </x:c>
      <x:c r="I247" s="97" t="str"/>
      <x:c r="J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v>ELIZABETH-RING</x:v>
      </x:c>
      <x:c r="G248" s="97" t="str">
        <x:v>S26</x:v>
      </x:c>
      <x:c r="H248" s="97" t="str">
        <x:v>Confidence: moderate-high. | Direct ancestor; widow of Stephen Deane before marriage to Josiah Cooke Sr.; English parentage not extended here</x:v>
      </x:c>
      <x:c r="I248" s="97" t="str"/>
      <x:c r="J248" s="97" t="str">
        <x:v>F128</x:v>
      </x:c>
    </x:row>
    <x:row r="249">
      <x:c r="A249" s="97" t="str">
        <x:v>I254</x:v>
      </x:c>
      <x:c r="B249" s="97" t="str">
        <x:v>Catherine Whelden Hopkins</x:v>
      </x:c>
      <x:c r="C249" s="97" t="str">
        <x:v>F</x:v>
      </x:c>
      <x:c r="D249" s="97" t="str">
        <x:v>As reported: baptized 6 Mar 1616/17; Basford, Nottinghamshire, England</x:v>
      </x:c>
      <x:c r="E249" s="97" t="str">
        <x:v>As reported: after 5 Mar 1688/89</x:v>
      </x:c>
      <x:c r="F249" s="97" t="str">
        <x:v>CATHERINE-WHELDEN</x:v>
      </x:c>
      <x:c r="G249" s="97" t="str">
        <x:v>S26</x:v>
      </x:c>
      <x:c r="H249" s="97" t="str">
        <x:v>Confidence: high for wife/mother; moderate-high for father and baptism. | Direct ancestor; original Plymouth Colony marriage to Giles; GSMD family treatment identifies her as Deborah's mother</x:v>
      </x:c>
      <x:c r="I249" s="97" t="str">
        <x:v>F133</x:v>
      </x:c>
      <x:c r="J249" s="97" t="str">
        <x:v>F129</x:v>
      </x:c>
    </x:row>
    <x:row r="250">
      <x:c r="A250" s="97" t="str">
        <x:v>I255</x:v>
      </x:c>
      <x:c r="B250" s="97" t="str">
        <x:v>Stephen Hopkins</x:v>
      </x:c>
      <x:c r="C250" s="97" t="str">
        <x:v>M</x:v>
      </x:c>
      <x:c r="D250" s="97" t="str">
        <x:v>ABT 1581; Hampshire, England</x:v>
      </x:c>
      <x:c r="E250" s="97" t="str">
        <x:v>1644; Plymouth Colony</x:v>
      </x:c>
      <x:c r="F250" s="97" t="str">
        <x:v>STEPHEN-HOPKINS</x:v>
      </x:c>
      <x:c r="G250" s="97" t="str">
        <x:v>S26</x:v>
      </x:c>
      <x:c r="H250" s="97" t="str">
        <x:v>Confidence: high for relationship; moderate for dates. | Direct ancestor and Mayflower passenger; original will explicitly names son Giles</x:v>
      </x:c>
      <x:c r="I250" s="97" t="str"/>
      <x:c r="J250" s="97" t="str">
        <x:v>F132</x:v>
      </x:c>
    </x:row>
    <x:row r="251">
      <x:c r="A251" s="97" t="str">
        <x:v>I256</x:v>
      </x:c>
      <x:c r="B251" s="97" t="str">
        <x:v>Mary Hopkins</x:v>
      </x:c>
      <x:c r="C251" s="97" t="str">
        <x:v>F</x:v>
      </x:c>
      <x:c r="D251" s="97" t="str">
        <x:v>As reported: date and place unknown</x:v>
      </x:c>
      <x:c r="E251" s="97" t="str"/>
      <x:c r="F251" s="97" t="str">
        <x:v>MARY-HOPKINS</x:v>
      </x:c>
      <x:c r="G251" s="97" t="str">
        <x:v>S26</x:v>
      </x:c>
      <x:c r="H251" s="97" t="str">
        <x:v>Confidence: moderate-high for relationship; low for identity details. | Direct ancestor named as Giles's mother in the Hursley baptism evidence; proposed Kent surname remains unproved</x:v>
      </x:c>
      <x:c r="I251" s="97" t="str"/>
      <x:c r="J251" s="97" t="str">
        <x:v>F132</x:v>
      </x:c>
    </x:row>
    <x:row r="252">
      <x:c r="A252" s="97" t="str">
        <x:v>I257</x:v>
      </x:c>
      <x:c r="B252" s="97" t="str">
        <x:v>Gabriel Whelden</x:v>
      </x:c>
      <x:c r="C252" s="97" t="str">
        <x:v>M</x:v>
      </x:c>
      <x:c r="D252" s="97" t="str">
        <x:v>As reported: date and place unknown</x:v>
      </x:c>
      <x:c r="E252" s="97" t="str"/>
      <x:c r="F252" s="97" t="str">
        <x:v>GABRIEL-WHELDEN</x:v>
      </x:c>
      <x:c r="G252" s="97" t="str">
        <x:v>S26</x:v>
      </x:c>
      <x:c r="H252" s="97" t="str">
        <x:v>Confidence: moderate-high for relationship; low for dates. | Direct ancestor identified as Catherine's father in cited English parish research; original baptism image not yet inspected</x:v>
      </x:c>
      <x:c r="I252" s="97" t="str"/>
      <x:c r="J252" s="97" t="str">
        <x:v>F133</x:v>
      </x:c>
    </x:row>
    <x:row r="253">
      <x:c r="A253" s="97" t="str">
        <x:v>I258</x:v>
      </x:c>
      <x:c r="B253" s="97" t="str">
        <x:v>John Doane</x:v>
      </x:c>
      <x:c r="C253" s="97" t="str">
        <x:v>M</x:v>
      </x:c>
      <x:c r="D253" s="97" t="str">
        <x:v>ABT 1590; England</x:v>
      </x:c>
      <x:c r="E253" s="97" t="str">
        <x:v>As reported: 21 Feb 1685/86; Eastham, Barnstable, Massachusetts</x:v>
      </x:c>
      <x:c r="F253" s="97" t="str">
        <x:v>JOHN-DOANE</x:v>
      </x:c>
      <x:c r="G253" s="97" t="str">
        <x:v>S26</x:v>
      </x:c>
      <x:c r="H253" s="97" t="str">
        <x:v>Confidence: high for relationship; moderate for dates. | Direct ancestor; original will names son Ephraim</x:v>
      </x:c>
      <x:c r="I253" s="97" t="str"/>
      <x:c r="J253" s="97" t="str">
        <x:v>F130</x:v>
      </x:c>
    </x:row>
    <x:row r="254">
      <x:c r="A254" s="97" t="str">
        <x:v>I259</x:v>
      </x:c>
      <x:c r="B254" s="97" t="str">
        <x:v>Ann Doane</x:v>
      </x:c>
      <x:c r="C254" s="97" t="str">
        <x:v>F</x:v>
      </x:c>
      <x:c r="D254" s="97" t="str">
        <x:v>As reported: date and place unknown</x:v>
      </x:c>
      <x:c r="E254" s="97" t="str">
        <x:v>1 JUN 1654</x:v>
      </x:c>
      <x:c r="F254" s="97" t="str">
        <x:v>ANN-DOANE</x:v>
      </x:c>
      <x:c r="G254" s="97" t="str">
        <x:v>S26</x:v>
      </x:c>
      <x:c r="H254" s="97" t="str">
        <x:v>Confidence: moderate-high for relationship; low for identity details. | Direct ancestor identified as John Doane's wife and Ephraim's mother in Great Migration reconstruction; maiden name unknown</x:v>
      </x:c>
      <x:c r="I254" s="97" t="str"/>
      <x:c r="J254" s="97" t="str">
        <x:v>F130</x:v>
      </x:c>
    </x:row>
    <x:row r="255">
      <x:c r="A255" s="97" t="str">
        <x:v>I260</x:v>
      </x:c>
      <x:c r="B255" s="97" t="str">
        <x:v>Richard Knowles</x:v>
      </x:c>
      <x:c r="C255" s="97" t="str">
        <x:v>M</x:v>
      </x:c>
      <x:c r="D255" s="97" t="str">
        <x:v>ABT 1615; England</x:v>
      </x:c>
      <x:c r="E255" s="97" t="str">
        <x:v>between 1670 and 1675; Eastham, Barnstable, Massachusetts</x:v>
      </x:c>
      <x:c r="F255" s="97" t="str">
        <x:v>RICHARD-KNOWLES</x:v>
      </x:c>
      <x:c r="G255" s="97" t="str">
        <x:v>S26</x:v>
      </x:c>
      <x:c r="H255" s="97" t="str">
        <x:v>Confidence: moderate-high for relationship; high for 1639 marriage; moderate for dates. | Direct ancestor; scholarly Knowles reconstruction identifies daughter Mary/Mercy; his own parentage remains unresolved</x:v>
      </x:c>
      <x:c r="I255" s="97" t="str"/>
      <x:c r="J255" s="97" t="str">
        <x:v>F131</x:v>
      </x:c>
    </x:row>
    <x:row r="256">
      <x:c r="A256" s="97" t="str">
        <x:v>I261</x:v>
      </x:c>
      <x:c r="B256" s="97" t="str">
        <x:v>Ruth Bower Knowles</x:v>
      </x:c>
      <x:c r="C256" s="97" t="str">
        <x:v>F</x:v>
      </x:c>
      <x:c r="D256" s="97" t="str">
        <x:v>As reported: England; date unknown</x:v>
      </x:c>
      <x:c r="E256" s="97" t="str">
        <x:v>ABT 1687; Massachusetts</x:v>
      </x:c>
      <x:c r="F256" s="97" t="str">
        <x:v>RUTH-BOWER</x:v>
      </x:c>
      <x:c r="G256" s="97" t="str">
        <x:v>S26</x:v>
      </x:c>
      <x:c r="H256" s="97" t="str">
        <x:v>Confidence: moderate-high for parentage; high for marriage. | Direct ancestor; original Plymouth Colony record documents marriage to Richard Knowles; scholarly reconstruction names parents</x:v>
      </x:c>
      <x:c r="I256" s="97" t="str">
        <x:v>F134</x:v>
      </x:c>
      <x:c r="J256" s="97" t="str">
        <x:v>F131</x:v>
      </x:c>
    </x:row>
    <x:row r="257">
      <x:c r="A257" s="97" t="str">
        <x:v>I262</x:v>
      </x:c>
      <x:c r="B257" s="97" t="str">
        <x:v>George Bower</x:v>
      </x:c>
      <x:c r="C257" s="97" t="str">
        <x:v>M</x:v>
      </x:c>
      <x:c r="D257" s="97" t="str">
        <x:v>As reported: England; date unknown</x:v>
      </x:c>
      <x:c r="E257" s="97" t="str">
        <x:v>1656; Massachusetts (secondary)</x:v>
      </x:c>
      <x:c r="F257" s="97" t="str">
        <x:v>GEORGE-BOWER</x:v>
      </x:c>
      <x:c r="G257" s="97" t="str">
        <x:v>S26</x:v>
      </x:c>
      <x:c r="H257" s="97" t="str">
        <x:v>Confidence: moderate-high for relationship; moderate for dates. | Direct ancestor identified as Ruth Bower's father in scholarly Knowles/Bower research</x:v>
      </x:c>
      <x:c r="I257" s="97" t="str"/>
      <x:c r="J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v>BARBARA-BOWER</x:v>
      </x:c>
      <x:c r="G258" s="97" t="str">
        <x:v>S26</x:v>
      </x:c>
      <x:c r="H258" s="97" t="str">
        <x:v>Confidence: moderate-high for relationship; moderate for Smyth surname and dates. | Direct ancestor identified as Ruth Bower's mother; original English marriage image not yet inspected</x:v>
      </x:c>
      <x:c r="I258" s="97" t="str"/>
      <x:c r="J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v>CEM-1870</x:v>
      </x:c>
      <x:c r="G259" s="97" t="str">
        <x:v>S26</x:v>
      </x:c>
      <x:c r="H259" s="97" t="str">
        <x:v>Confidence: high. | Direct ancestor</x:v>
      </x:c>
      <x:c r="I259" s="97" t="str">
        <x:v>F135</x:v>
      </x:c>
      <x:c r="J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PWM-1834</x:v>
      </x:c>
      <x:c r="G260" s="97" t="str">
        <x:v>S26</x:v>
      </x:c>
      <x:c r="H260" s="97" t="str">
        <x:v>Confidence: high. | Direct ancestor; original military register preferred over cemetery index's 1835 birth year</x:v>
      </x:c>
      <x:c r="I260" s="97" t="str">
        <x:v>F136</x:v>
      </x:c>
      <x:c r="J260" s="97" t="str">
        <x:v>F135</x:v>
      </x:c>
    </x:row>
    <x:row r="261">
      <x:c r="A261" s="97" t="str">
        <x:v>I266</x:v>
      </x:c>
      <x:c r="B261" s="97" t="str">
        <x:v>William McNaughton</x:v>
      </x:c>
      <x:c r="C261" s="97" t="str">
        <x:v>M</x:v>
      </x:c>
      <x:c r="D261" s="97" t="str">
        <x:v>ABT 1804; New York</x:v>
      </x:c>
      <x:c r="E261" s="97" t="str">
        <x:v>BEF 1855</x:v>
      </x:c>
      <x:c r="F261" s="97" t="str">
        <x:v>WM-1804</x:v>
      </x:c>
      <x:c r="G261" s="97" t="str">
        <x:v>S26</x:v>
      </x:c>
      <x:c r="H261" s="97" t="str">
        <x:v>Confidence: high for relationship; moderate for dates. | Direct ancestor; documentary trail stops here</x:v>
      </x:c>
      <x:c r="I261" s="97" t="str"/>
      <x:c r="J261" s="97" t="str">
        <x:v>F136</x:v>
      </x:c>
    </x:row>
    <x:row r="262">
      <x:c r="A262" s="97" t="str">
        <x:v>I267</x:v>
      </x:c>
      <x:c r="B262" s="97" t="str">
        <x:v>Relief Gibbs McNaughton</x:v>
      </x:c>
      <x:c r="C262" s="97" t="str">
        <x:v>F</x:v>
      </x:c>
      <x:c r="D262" s="97" t="str">
        <x:v>As reported: about 1805-1806; New York</x:v>
      </x:c>
      <x:c r="E262" s="97" t="str"/>
      <x:c r="F262" s="97" t="str">
        <x:v>RG-1805</x:v>
      </x:c>
      <x:c r="G262" s="97" t="str">
        <x:v>S26</x:v>
      </x:c>
      <x:c r="H262" s="97" t="str">
        <x:v>Confidence: high for identity and maiden name; moderate for dates. | Direct ancestor; maiden name stated on Peter's original Civil War town register</x:v>
      </x:c>
      <x:c r="I262" s="97" t="str"/>
      <x:c r="J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v>MA-MCN-1843</x:v>
      </x:c>
      <x:c r="G263" s="97" t="str">
        <x:v>S26</x:v>
      </x:c>
      <x:c r="H263" s="97" t="str">
        <x:v>Confidence: high for relationship and indexed death; low for maiden name and birth year. | Direct ancestor; official death index supplies exact death date/place and certificate 70627, but maiden name and parents remain unknown</x:v>
      </x:c>
      <x:c r="I263" s="97" t="str"/>
      <x:c r="J263" s="97" t="str">
        <x:v>F135</x:v>
      </x:c>
    </x:row>
    <x:row r="264">
      <x:c r="A264" s="97" t="str">
        <x:v>I269</x:v>
      </x:c>
      <x:c r="B264" s="97" t="str">
        <x:v>Doris Ann Vollmer</x:v>
      </x:c>
      <x:c r="C264" s="97" t="str">
        <x:v>U</x:v>
      </x:c>
      <x:c r="D264" s="97" t="str">
        <x:v>ABT 1938; Ohio</x:v>
      </x:c>
      <x:c r="E264" s="97" t="str"/>
      <x:c r="F264" s="97" t="str">
        <x:v>DAV-1938</x:v>
      </x:c>
      <x:c r="G264" s="97" t="str">
        <x:v>S27</x:v>
      </x:c>
      <x:c r="H264" s="97" t="str">
        <x:v>paternal aunt; full sister of Henry Richard Vollmer | Confidence: high. | In scope as owner's aunt; no spouse or descendants developed pending owner-supplied facts or evidence that she is deceased</x:v>
      </x:c>
      <x:c r="I264" s="97" t="str">
        <x:v>F105</x:v>
      </x:c>
      <x:c r="J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MAV-1915</x:v>
      </x:c>
      <x:c r="G265" s="97" t="str">
        <x:v>S27</x:v>
      </x:c>
      <x:c r="H265" s="97" t="str">
        <x:v>paternal aunt of Henry Richard Vollmer; paternal grandaunt of owner | Confidence: high. | In scope as father's aunt; relationship and dates supported by census and SSA records</x:v>
      </x:c>
      <x:c r="I265" s="97" t="str">
        <x:v>F106</x:v>
      </x:c>
      <x:c r="J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LAS-1910</x:v>
      </x:c>
      <x:c r="G266" s="97" t="str">
        <x:v>S27</x:v>
      </x:c>
      <x:c r="H266" s="97" t="str">
        <x:v>spouse of Marie Anna Vollmer; included to show cousin parentage | Confidence: high. | Supporting spouse only; not independently expanded</x:v>
      </x:c>
      <x:c r="I266" s="97" t="str"/>
      <x:c r="J266" s="97" t="str">
        <x:v>F137</x:v>
      </x:c>
    </x:row>
    <x:row r="267">
      <x:c r="A267" s="97" t="str">
        <x:v>I272</x:v>
      </x:c>
      <x:c r="B267" s="97" t="str">
        <x:v>James Seeley</x:v>
      </x:c>
      <x:c r="C267" s="97" t="str">
        <x:v>U</x:v>
      </x:c>
      <x:c r="D267" s="97" t="str">
        <x:v>As reported: about 1937-1938; New York</x:v>
      </x:c>
      <x:c r="E267" s="97" t="str"/>
      <x:c r="F267" s="97" t="str">
        <x:v>JAMES-SEELEY-1937</x:v>
      </x:c>
      <x:c r="G267" s="97" t="str">
        <x:v>S27</x:v>
      </x:c>
      <x:c r="H267" s="97" t="str">
        <x:v>first cousin of Henry Richard Vollmer; first cousin once removed of owner | Confidence: high. | In scope as father's first cousin; no spouse or descendants developed</x:v>
      </x:c>
      <x:c r="I267" s="97" t="str">
        <x:v>F137</x:v>
      </x:c>
      <x:c r="J267" s="97" t="str"/>
    </x:row>
    <x:row r="268">
      <x:c r="A268" s="97" t="str">
        <x:v>I273</x:v>
      </x:c>
      <x:c r="B268" s="97" t="str">
        <x:v>John Seeley</x:v>
      </x:c>
      <x:c r="C268" s="97" t="str">
        <x:v>U</x:v>
      </x:c>
      <x:c r="D268" s="97" t="str">
        <x:v>As reported: about 1940-1941; New York</x:v>
      </x:c>
      <x:c r="E268" s="97" t="str"/>
      <x:c r="F268" s="97" t="str">
        <x:v>JOHN-SEELEY-1940</x:v>
      </x:c>
      <x:c r="G268" s="97" t="str">
        <x:v>S27</x:v>
      </x:c>
      <x:c r="H268" s="97" t="str">
        <x:v>first cousin of Henry Richard Vollmer; first cousin once removed of owner | Confidence: high. | In scope as father's first cousin; no spouse or descendants developed</x:v>
      </x:c>
      <x:c r="I268" s="97" t="str">
        <x:v>F137</x:v>
      </x:c>
      <x:c r="J268" s="97" t="str"/>
    </x:row>
    <x:row r="269">
      <x:c r="A269" s="97" t="str">
        <x:v>I274</x:v>
      </x:c>
      <x:c r="B269" s="97" t="str">
        <x:v>Mildred E Marsh Gutelius</x:v>
      </x:c>
      <x:c r="C269" s="97" t="str">
        <x:v>F</x:v>
      </x:c>
      <x:c r="D269" s="97" t="str">
        <x:v>18 DEC 1890; New York</x:v>
      </x:c>
      <x:c r="E269" s="97" t="str">
        <x:v>APR 1976</x:v>
      </x:c>
      <x:c r="F269" s="97" t="str">
        <x:v>MEMG-1890</x:v>
      </x:c>
      <x:c r="G269" s="97" t="str">
        <x:v>S27</x:v>
      </x:c>
      <x:c r="H269" s="97" t="str">
        <x:v>maternal aunt of Henry Richard Vollmer; paternal grandaunt of owner | Confidence: high. | In scope as father's aunt; no descendants beyond daughter Eileen</x:v>
      </x:c>
      <x:c r="I269" s="97" t="str">
        <x:v>F111</x:v>
      </x:c>
      <x:c r="J269" s="97" t="str">
        <x:v>F138</x:v>
      </x:c>
    </x:row>
    <x:row r="270">
      <x:c r="A270" s="97" t="str">
        <x:v>I275</x:v>
      </x:c>
      <x:c r="B270" s="97" t="str">
        <x:v>Harry K Gutelius</x:v>
      </x:c>
      <x:c r="C270" s="97" t="str">
        <x:v>M</x:v>
      </x:c>
      <x:c r="D270" s="97" t="str">
        <x:v>ABT 1890; New York</x:v>
      </x:c>
      <x:c r="E270" s="97" t="str"/>
      <x:c r="F270" s="97" t="str">
        <x:v>HKG-1890</x:v>
      </x:c>
      <x:c r="G270" s="97" t="str">
        <x:v>S27</x:v>
      </x:c>
      <x:c r="H270" s="97" t="str">
        <x:v>spouse of Mildred E Marsh; included to show cousin parentage | Confidence: high. | Supporting spouse only; not independently expanded</x:v>
      </x:c>
      <x:c r="I270" s="97" t="str"/>
      <x:c r="J270" s="97" t="str">
        <x:v>F138</x:v>
      </x:c>
    </x:row>
    <x:row r="271">
      <x:c r="A271" s="97" t="str">
        <x:v>I276</x:v>
      </x:c>
      <x:c r="B271" s="97" t="str">
        <x:v>Eileen Gutelius Eaton</x:v>
      </x:c>
      <x:c r="C271" s="97" t="str">
        <x:v>U</x:v>
      </x:c>
      <x:c r="D271" s="97" t="str">
        <x:v>8 OCT 1914; Perry, Wyoming, New York</x:v>
      </x:c>
      <x:c r="E271" s="97" t="str">
        <x:v>11 MAY 1996</x:v>
      </x:c>
      <x:c r="F271" s="97" t="str">
        <x:v>EGE-1914</x:v>
      </x:c>
      <x:c r="G271" s="97" t="str">
        <x:v>S27</x:v>
      </x:c>
      <x:c r="H271" s="97" t="str">
        <x:v>first cousin of Henry Richard Vollmer; first cousin once removed of owner | Confidence: high. | Only documented child of Mildred and Harry in 1915-1950 census/SSA sequence; no spouse or descendants developed</x:v>
      </x:c>
      <x:c r="I271" s="97" t="str">
        <x:v>F138</x:v>
      </x:c>
      <x:c r="J271" s="97" t="str"/>
    </x:row>
    <x:row r="272">
      <x:c r="A272" s="97" t="str">
        <x:v>I277</x:v>
      </x:c>
      <x:c r="B272" s="97" t="str">
        <x:v>Ronald McNaughton Marsh</x:v>
      </x:c>
      <x:c r="C272" s="97" t="str">
        <x:v>M</x:v>
      </x:c>
      <x:c r="D272" s="97" t="str">
        <x:v>10 SEP 1894; New York</x:v>
      </x:c>
      <x:c r="E272" s="97" t="str">
        <x:v>31 MAR 1967; Simsbury, Hartford, Connecticut</x:v>
      </x:c>
      <x:c r="F272" s="97" t="str">
        <x:v>RMM-1894</x:v>
      </x:c>
      <x:c r="G272" s="97" t="str">
        <x:v>S27</x:v>
      </x:c>
      <x:c r="H272" s="97" t="str">
        <x:v>maternal uncle of Henry Richard Vollmer; paternal granduncle of owner | Confidence: high. | In scope as father's uncle; later wife Marion Clark noted in report but not added because she is not needed for cousin parentage</x:v>
      </x:c>
      <x:c r="I272" s="97" t="str">
        <x:v>F111</x:v>
      </x:c>
      <x:c r="J272" s="97" t="str">
        <x:v>F139</x:v>
      </x:c>
    </x:row>
    <x:row r="273">
      <x:c r="A273" s="97" t="str">
        <x:v>I278</x:v>
      </x:c>
      <x:c r="B273" s="97" t="str">
        <x:v>Eva C St Martin Marsh</x:v>
      </x:c>
      <x:c r="C273" s="97" t="str">
        <x:v>F</x:v>
      </x:c>
      <x:c r="D273" s="97" t="str">
        <x:v>ABT 1896; Connecticut</x:v>
      </x:c>
      <x:c r="E273" s="97" t="str">
        <x:v>BEF 1940</x:v>
      </x:c>
      <x:c r="F273" s="97" t="str">
        <x:v>ECSM-1896</x:v>
      </x:c>
      <x:c r="G273" s="97" t="str">
        <x:v>S27</x:v>
      </x:c>
      <x:c r="H273" s="97" t="str">
        <x:v>spouse of Ronald McNaughton Marsh; mother of Dorothy, Robert, and Ronald Louis | Confidence: high. | Supporting spouse included only for cousin parentage</x:v>
      </x:c>
      <x:c r="I273" s="97" t="str"/>
      <x:c r="J273" s="97" t="str">
        <x:v>F139</x:v>
      </x:c>
    </x:row>
    <x:row r="274">
      <x:c r="A274" s="97" t="str">
        <x:v>I279</x:v>
      </x:c>
      <x:c r="B274" s="97" t="str">
        <x:v>Dorothy Jane Marsh Kidwell</x:v>
      </x:c>
      <x:c r="C274" s="97" t="str">
        <x:v>U</x:v>
      </x:c>
      <x:c r="D274" s="97" t="str">
        <x:v>30 JAN 1921; Perry, Wyoming, New York</x:v>
      </x:c>
      <x:c r="E274" s="97" t="str">
        <x:v>28 FEB 1998</x:v>
      </x:c>
      <x:c r="F274" s="97" t="str">
        <x:v>DJMK-1921</x:v>
      </x:c>
      <x:c r="G274" s="97" t="str">
        <x:v>S27</x:v>
      </x:c>
      <x:c r="H274" s="97" t="str">
        <x:v>first cousin of Henry Richard Vollmer; first cousin once removed of owner | Confidence: high. | In scope as father's first cousin; spouses and descendants not developed</x:v>
      </x:c>
      <x:c r="I274" s="97" t="str">
        <x:v>F139</x:v>
      </x:c>
      <x:c r="J274" s="97" t="str"/>
    </x:row>
    <x:row r="275">
      <x:c r="A275" s="97" t="str">
        <x:v>I280</x:v>
      </x:c>
      <x:c r="B275" s="97" t="str">
        <x:v>Robert James Marsh</x:v>
      </x:c>
      <x:c r="C275" s="97" t="str">
        <x:v>U</x:v>
      </x:c>
      <x:c r="D275" s="97" t="str">
        <x:v>13 MAY 1923; Perry, Wyoming, New York</x:v>
      </x:c>
      <x:c r="E275" s="97" t="str">
        <x:v>16 OCT 2008</x:v>
      </x:c>
      <x:c r="F275" s="97" t="str">
        <x:v>RJM-1923</x:v>
      </x:c>
      <x:c r="G275" s="97" t="str">
        <x:v>S27</x:v>
      </x:c>
      <x:c r="H275" s="97" t="str">
        <x:v>first cousin of Henry Richard Vollmer; first cousin once removed of owner | Confidence: high. | In scope as father's first cousin; spouse and descendants not developed</x:v>
      </x:c>
      <x:c r="I275" s="97" t="str">
        <x:v>F139</x:v>
      </x:c>
      <x:c r="J275" s="97" t="str"/>
    </x:row>
    <x:row r="276">
      <x:c r="A276" s="97" t="str">
        <x:v>I281</x:v>
      </x:c>
      <x:c r="B276" s="97" t="str">
        <x:v>Ronald Louis Marsh</x:v>
      </x:c>
      <x:c r="C276" s="97" t="str">
        <x:v>U</x:v>
      </x:c>
      <x:c r="D276" s="97" t="str">
        <x:v>21 OCT 1927; Simsbury, Hartford, Connecticut</x:v>
      </x:c>
      <x:c r="E276" s="97" t="str">
        <x:v>18 MAY 2019</x:v>
      </x:c>
      <x:c r="F276" s="97" t="str">
        <x:v>RLM-1927</x:v>
      </x:c>
      <x:c r="G276" s="97" t="str">
        <x:v>S27</x:v>
      </x:c>
      <x:c r="H276" s="97" t="str">
        <x:v>first cousin of Henry Richard Vollmer; first cousin once removed of owner | Confidence: high. | In scope as father's first cousin; spouse and descendants not developed</x:v>
      </x:c>
      <x:c r="I276" s="97" t="str">
        <x:v>F139</x:v>
      </x:c>
      <x:c r="J276" s="97" t="str"/>
    </x:row>
    <x:row r="277">
      <x:c r="A277" s="97" t="str">
        <x:v>I282</x:v>
      </x:c>
      <x:c r="B277" s="97" t="str">
        <x:v>Frederick Gottlieb Heinrich Vollmer</x:v>
      </x:c>
      <x:c r="C277" s="97" t="str">
        <x:v>U</x:v>
      </x:c>
      <x:c r="D277" s="97" t="str">
        <x:v>5 OCT 1873; Bremen, Germany</x:v>
      </x:c>
      <x:c r="E277" s="97" t="str">
        <x:v>10 MAR 1917; Queens, New York</x:v>
      </x:c>
      <x:c r="F277" s="97" t="str">
        <x:v>FGHV-1873</x:v>
      </x:c>
      <x:c r="G277" s="97" t="str">
        <x:v>S27</x:v>
      </x:c>
      <x:c r="H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I277" s="97" t="str">
        <x:v>F107</x:v>
      </x:c>
      <x:c r="J277" s="97" t="str"/>
    </x:row>
    <x:row r="278">
      <x:c r="A278" s="97" t="str">
        <x:v>I283</x:v>
      </x:c>
      <x:c r="B278" s="97" t="str">
        <x:v>Charles Marsh</x:v>
      </x:c>
      <x:c r="C278" s="97" t="str">
        <x:v>U</x:v>
      </x:c>
      <x:c r="D278" s="97" t="str">
        <x:v>ABT 1870; New York</x:v>
      </x:c>
      <x:c r="E278" s="97" t="str">
        <x:v>1892</x:v>
      </x:c>
      <x:c r="F278" s="97" t="str">
        <x:v>CM-1870</x:v>
      </x:c>
      <x:c r="G278" s="97" t="str">
        <x:v>S27</x:v>
      </x:c>
      <x:c r="H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I278" s="97" t="str">
        <x:v>F112</x:v>
      </x:c>
      <x:c r="J278" s="97" t="str"/>
    </x:row>
    <x:row r="279">
      <x:c r="A279" s="97" t="str">
        <x:v>I284</x:v>
      </x:c>
      <x:c r="B279" s="97" t="str">
        <x:v>Marion McNaughton</x:v>
      </x:c>
      <x:c r="C279" s="97" t="str">
        <x:v>U</x:v>
      </x:c>
      <x:c r="D279" s="97" t="str">
        <x:v>As reported: about 1873-1874; New York</x:v>
      </x:c>
      <x:c r="E279" s="97" t="str"/>
      <x:c r="F279" s="97" t="str">
        <x:v>MMCN-1873</x:v>
      </x:c>
      <x:c r="G279" s="97" t="str">
        <x:v>S27</x:v>
      </x:c>
      <x:c r="H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I279" s="97" t="str">
        <x:v>F135</x:v>
      </x:c>
      <x:c r="J279" s="97" t="str"/>
    </x:row>
    <x:row r="280">
      <x:c r="A280" s="97" t="str">
        <x:v>I285</x:v>
      </x:c>
      <x:c r="B280" s="97" t="str">
        <x:v>Elizabeth McNaughton Pullyblank</x:v>
      </x:c>
      <x:c r="C280" s="97" t="str">
        <x:v>F</x:v>
      </x:c>
      <x:c r="D280" s="97" t="str">
        <x:v>APR 1876; New York</x:v>
      </x:c>
      <x:c r="E280" s="97" t="str">
        <x:v>18 OCT 1961; New York</x:v>
      </x:c>
      <x:c r="F280" s="97" t="str">
        <x:v>EMCP-1876</x:v>
      </x:c>
      <x:c r="G280" s="97" t="str">
        <x:v>S27</x:v>
      </x:c>
      <x:c r="H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I280" s="97" t="str">
        <x:v>F135</x:v>
      </x:c>
      <x:c r="J280" s="97" t="str">
        <x:v>F140</x:v>
      </x:c>
    </x:row>
    <x:row r="281">
      <x:c r="A281" s="97" t="str">
        <x:v>I286</x:v>
      </x:c>
      <x:c r="B281" s="97" t="str">
        <x:v>John C Pullyblank</x:v>
      </x:c>
      <x:c r="C281" s="97" t="str">
        <x:v>M</x:v>
      </x:c>
      <x:c r="D281" s="97" t="str">
        <x:v>As reported: about 1873-1874; Canada</x:v>
      </x:c>
      <x:c r="E281" s="97" t="str"/>
      <x:c r="F281" s="97" t="str">
        <x:v>JCP-1873</x:v>
      </x:c>
      <x:c r="G281" s="97" t="str">
        <x:v>S27</x:v>
      </x:c>
      <x:c r="H281" s="97" t="str">
        <x:v>spouse of Elizabeth McNaughton; included to show cousin parentage | Confidence: high. | Supporting spouse only; New York marriage index and 1900-1930 census sequence</x:v>
      </x:c>
      <x:c r="I281" s="97" t="str"/>
      <x:c r="J281" s="97" t="str">
        <x:v>F140</x:v>
      </x:c>
    </x:row>
    <x:row r="282">
      <x:c r="A282" s="97" t="str">
        <x:v>I287</x:v>
      </x:c>
      <x:c r="B282" s="97" t="str">
        <x:v>MacNaughton Pullyblank</x:v>
      </x:c>
      <x:c r="C282" s="97" t="str">
        <x:v>U</x:v>
      </x:c>
      <x:c r="D282" s="97" t="str">
        <x:v>19 JUL 1897; New York</x:v>
      </x:c>
      <x:c r="E282" s="97" t="str">
        <x:v>7 APR 1902</x:v>
      </x:c>
      <x:c r="F282" s="97" t="str">
        <x:v>MP-1897</x:v>
      </x:c>
      <x:c r="G282" s="97" t="str">
        <x:v>S27</x:v>
      </x:c>
      <x:c r="H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I282" s="97" t="str">
        <x:v>F140</x:v>
      </x:c>
      <x:c r="J282" s="97" t="str"/>
    </x:row>
    <x:row r="283">
      <x:c r="A283" s="97" t="str">
        <x:v>I288</x:v>
      </x:c>
      <x:c r="B283" s="97" t="str">
        <x:v>Floyd W Pullyblank</x:v>
      </x:c>
      <x:c r="C283" s="97" t="str">
        <x:v>U</x:v>
      </x:c>
      <x:c r="D283" s="97" t="str">
        <x:v>As reported: about Jan-Feb 1900; New York</x:v>
      </x:c>
      <x:c r="E283" s="97" t="str"/>
      <x:c r="F283" s="97" t="str">
        <x:v>FWP-1900</x:v>
      </x:c>
      <x:c r="G283" s="97" t="str">
        <x:v>S27</x:v>
      </x:c>
      <x:c r="H283" s="97" t="str">
        <x:v>first cousin of Doris Josephine Marsh; paternal first cousin twice removed of owner | Confidence: high. | 1900-1920 census sequence; no spouse or descendants developed</x:v>
      </x:c>
      <x:c r="I283" s="97" t="str">
        <x:v>F140</x:v>
      </x:c>
      <x:c r="J283" s="97" t="str"/>
    </x:row>
    <x:row r="284">
      <x:c r="A284" s="97" t="str">
        <x:v>I289</x:v>
      </x:c>
      <x:c r="B284" s="97" t="str">
        <x:v>Ola L Pullyblank</x:v>
      </x:c>
      <x:c r="C284" s="97" t="str">
        <x:v>U</x:v>
      </x:c>
      <x:c r="D284" s="97" t="str">
        <x:v>As reported: about 1904-1905; New York</x:v>
      </x:c>
      <x:c r="E284" s="97" t="str"/>
      <x:c r="F284" s="97" t="str">
        <x:v>OLP-1904</x:v>
      </x:c>
      <x:c r="G284" s="97" t="str">
        <x:v>S27</x:v>
      </x:c>
      <x:c r="H284" s="97" t="str">
        <x:v>first cousin of Doris Josephine Marsh; paternal first cousin twice removed of owner | Confidence: high. | 1910-1920 census sequence; no spouse or descendants developed</x:v>
      </x:c>
      <x:c r="I284" s="97" t="str">
        <x:v>F140</x:v>
      </x:c>
      <x:c r="J284" s="97" t="str"/>
    </x:row>
    <x:row r="285">
      <x:c r="A285" s="97" t="str">
        <x:v>I290</x:v>
      </x:c>
      <x:c r="B285" s="97" t="str">
        <x:v>Willard R Pullyblank</x:v>
      </x:c>
      <x:c r="C285" s="97" t="str">
        <x:v>U</x:v>
      </x:c>
      <x:c r="D285" s="97" t="str">
        <x:v>As reported: about 1906-1907; New York</x:v>
      </x:c>
      <x:c r="E285" s="97" t="str"/>
      <x:c r="F285" s="97" t="str">
        <x:v>WRP-1906</x:v>
      </x:c>
      <x:c r="G285" s="97" t="str">
        <x:v>S27</x:v>
      </x:c>
      <x:c r="H285" s="97" t="str">
        <x:v>first cousin of Doris Josephine Marsh; paternal first cousin twice removed of owner | Confidence: high. | 1910-1930 census sequence; no spouse or descendants developed</x:v>
      </x:c>
      <x:c r="I285" s="97" t="str">
        <x:v>F140</x:v>
      </x:c>
      <x:c r="J285" s="97" t="str"/>
    </x:row>
    <x:row r="286">
      <x:c r="A286" s="97" t="str">
        <x:v>I291</x:v>
      </x:c>
      <x:c r="B286" s="97" t="str">
        <x:v>John W Pullyblank</x:v>
      </x:c>
      <x:c r="C286" s="97" t="str">
        <x:v>U</x:v>
      </x:c>
      <x:c r="D286" s="97" t="str">
        <x:v>As reported: about 1909-1910; New York</x:v>
      </x:c>
      <x:c r="E286" s="97" t="str"/>
      <x:c r="F286" s="97" t="str">
        <x:v>JWP-1909</x:v>
      </x:c>
      <x:c r="G286" s="97" t="str">
        <x:v>S27</x:v>
      </x:c>
      <x:c r="H286" s="97" t="str">
        <x:v>first cousin of Doris Josephine Marsh; paternal first cousin twice removed of owner | Confidence: high. | 1910-1930 census sequence; no spouse or descendants developed</x:v>
      </x:c>
      <x:c r="I286" s="97" t="str">
        <x:v>F140</x:v>
      </x:c>
      <x:c r="J286" s="97" t="str"/>
    </x:row>
    <x:row r="287">
      <x:c r="A287" s="97" t="str">
        <x:v>I292</x:v>
      </x:c>
      <x:c r="B287" s="97" t="str">
        <x:v>Ruby J Pullyblank</x:v>
      </x:c>
      <x:c r="C287" s="97" t="str">
        <x:v>U</x:v>
      </x:c>
      <x:c r="D287" s="97" t="str">
        <x:v>As reported: about 1911-1912; New York</x:v>
      </x:c>
      <x:c r="E287" s="97" t="str"/>
      <x:c r="F287" s="97" t="str">
        <x:v>RJP-1911</x:v>
      </x:c>
      <x:c r="G287" s="97" t="str">
        <x:v>S27</x:v>
      </x:c>
      <x:c r="H287" s="97" t="str">
        <x:v>first cousin of Doris Josephine Marsh; paternal first cousin twice removed of owner | Confidence: high. | 1920 census; no spouse or descendants developed</x:v>
      </x:c>
      <x:c r="I287" s="97" t="str">
        <x:v>F140</x:v>
      </x:c>
      <x:c r="J287" s="97" t="str"/>
    </x:row>
    <x:row r="288">
      <x:c r="A288" s="97" t="str">
        <x:v>I293</x:v>
      </x:c>
      <x:c r="B288" s="97" t="str">
        <x:v>Helen E Pullyblank</x:v>
      </x:c>
      <x:c r="C288" s="97" t="str">
        <x:v>U</x:v>
      </x:c>
      <x:c r="D288" s="97" t="str">
        <x:v>As reported: about 1914-1915; New York</x:v>
      </x:c>
      <x:c r="E288" s="97" t="str"/>
      <x:c r="F288" s="97" t="str">
        <x:v>HEP-1914</x:v>
      </x:c>
      <x:c r="G288" s="97" t="str">
        <x:v>S27</x:v>
      </x:c>
      <x:c r="H288" s="97" t="str">
        <x:v>first cousin of Doris Josephine Marsh; paternal first cousin twice removed of owner | Confidence: high. | 1920-1930 census sequence; no spouse or descendants developed</x:v>
      </x:c>
      <x:c r="I288" s="97" t="str">
        <x:v>F140</x:v>
      </x:c>
      <x:c r="J288" s="97" t="str"/>
    </x:row>
    <x:row r="289">
      <x:c r="A289" s="97" t="str">
        <x:v>I294</x:v>
      </x:c>
      <x:c r="B289" s="97" t="str">
        <x:v>Lulu McNaughton</x:v>
      </x:c>
      <x:c r="C289" s="97" t="str">
        <x:v>U</x:v>
      </x:c>
      <x:c r="D289" s="97" t="str">
        <x:v>As reported: about 1878-1879; New York</x:v>
      </x:c>
      <x:c r="E289" s="97" t="str"/>
      <x:c r="F289" s="97" t="str">
        <x:v>LMCN-1879</x:v>
      </x:c>
      <x:c r="G289" s="97" t="str">
        <x:v>S27</x:v>
      </x:c>
      <x:c r="H289" s="97" t="str">
        <x:v>full sister of Carrie E McNaughton; maternal aunt of Doris Josephine Marsh; paternal great-grandaunt of owner | Confidence: high. | 1880 and 1900 censuses prove the sibling relationship; no later spouse or child is accepted</x:v>
      </x:c>
      <x:c r="I289" s="97" t="str">
        <x:v>F135</x:v>
      </x:c>
      <x:c r="J289" s="97" t="str"/>
    </x:row>
    <x:row r="290">
      <x:c r="A290" s="97" t="str">
        <x:v>I310</x:v>
      </x:c>
      <x:c r="B290" s="97" t="str">
        <x:v>C Rudolph Muller</x:v>
      </x:c>
      <x:c r="C290" s="97" t="str">
        <x:v>U</x:v>
      </x:c>
      <x:c r="D290" s="97" t="str">
        <x:v>NOV 1894; New York</x:v>
      </x:c>
      <x:c r="E290" s="97" t="str"/>
      <x:c r="F290" s="97" t="str">
        <x:v>CRM-1894</x:v>
      </x:c>
      <x:c r="G290" s="97" t="str">
        <x:v>S27</x:v>
      </x:c>
      <x:c r="H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I290" s="97" t="str">
        <x:v>F004</x:v>
      </x:c>
      <x:c r="J290" s="97" t="str"/>
    </x:row>
    <x:row r="291">
      <x:c r="A291" s="97" t="str">
        <x:v>I311</x:v>
      </x:c>
      <x:c r="B291" s="97" t="str">
        <x:v>David Paul Muller</x:v>
      </x:c>
      <x:c r="C291" s="97" t="str">
        <x:v>U</x:v>
      </x:c>
      <x:c r="D291" s="97" t="str">
        <x:v>25 SEP 1899; Highland Falls, Orange, New York</x:v>
      </x:c>
      <x:c r="E291" s="97" t="str">
        <x:v>23 MAY 1927; Detroit, Wayne, Michigan</x:v>
      </x:c>
      <x:c r="F291" s="97" t="str">
        <x:v>DPM-1899</x:v>
      </x:c>
      <x:c r="G291" s="97" t="str">
        <x:v>S27</x:v>
      </x:c>
      <x:c r="H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I291" s="97" t="str">
        <x:v>F004</x:v>
      </x:c>
      <x:c r="J291" s="97" t="str"/>
    </x:row>
    <x:row r="292">
      <x:c r="A292" s="97" t="str">
        <x:v>I314</x:v>
      </x:c>
      <x:c r="B292" s="97" t="str">
        <x:v>Hazel G Lee</x:v>
      </x:c>
      <x:c r="C292" s="97" t="str">
        <x:v>U</x:v>
      </x:c>
      <x:c r="D292" s="97" t="str">
        <x:v>DEC 1888; Michigan</x:v>
      </x:c>
      <x:c r="E292" s="97" t="str"/>
      <x:c r="F292" s="97" t="str">
        <x:v>HGLEE-1888</x:v>
      </x:c>
      <x:c r="G292" s="97" t="str">
        <x:v>S27</x:v>
      </x:c>
      <x:c r="H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I292" s="97" t="str">
        <x:v>F005</x:v>
      </x:c>
      <x:c r="J292" s="97" t="str"/>
    </x:row>
    <x:row r="293">
      <x:c r="A293" s="97" t="str">
        <x:v>I315</x:v>
      </x:c>
      <x:c r="B293" s="97" t="str">
        <x:v>Hubbard Stone Lee Sr</x:v>
      </x:c>
      <x:c r="C293" s="97" t="str">
        <x:v>M</x:v>
      </x:c>
      <x:c r="D293" s="97" t="str">
        <x:v>23 SEP 1891; Michigan</x:v>
      </x:c>
      <x:c r="E293" s="97" t="str">
        <x:v>10 JUN 1956</x:v>
      </x:c>
      <x:c r="F293" s="97" t="str">
        <x:v>HSLEE-1891</x:v>
      </x:c>
      <x:c r="G293" s="97" t="str">
        <x:v>S27</x:v>
      </x:c>
      <x:c r="H293" s="97" t="str">
        <x:v>full brother of Elma A Lee; maternal uncle of Arthur John Muller; maternal great-great-granduncle of owner | Confidence: high. | Marriage and household sequence prove spouse and one documented son; Pee is a corrected index error for Lee</x:v>
      </x:c>
      <x:c r="I293" s="97" t="str">
        <x:v>F005</x:v>
      </x:c>
      <x:c r="J293" s="97" t="str">
        <x:v>F141</x:v>
      </x:c>
    </x:row>
    <x:row r="294">
      <x:c r="A294" s="97" t="str">
        <x:v>I316</x:v>
      </x:c>
      <x:c r="B294" s="97" t="str">
        <x:v>Irene M Burr Lee</x:v>
      </x:c>
      <x:c r="C294" s="97" t="str">
        <x:v>F</x:v>
      </x:c>
      <x:c r="D294" s="97" t="str">
        <x:v>As reported: about 1891-1892</x:v>
      </x:c>
      <x:c r="E294" s="97" t="str"/>
      <x:c r="F294" s="97" t="str">
        <x:v>IMB-1891</x:v>
      </x:c>
      <x:c r="G294" s="97" t="str">
        <x:v>S27</x:v>
      </x:c>
      <x:c r="H294" s="97" t="str">
        <x:v>spouse of Hubbard Stone Lee Sr; included to show cousin parentage | Confidence: high. | Supporting spouse only; not independently expanded</x:v>
      </x:c>
      <x:c r="I294" s="97" t="str"/>
      <x:c r="J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v>HSLJR-1918</x:v>
      </x:c>
      <x:c r="G295" s="97" t="str">
        <x:v>S27</x:v>
      </x:c>
      <x:c r="H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I295" s="97" t="str">
        <x:v>F141</x:v>
      </x:c>
      <x:c r="J295" s="97" t="str"/>
    </x:row>
    <x:row r="296">
      <x:c r="A296" s="97" t="str">
        <x:v>I320</x:v>
      </x:c>
      <x:c r="B296" s="97" t="str">
        <x:v>Martha M McCormick Macdonald</x:v>
      </x:c>
      <x:c r="C296" s="97" t="str">
        <x:v>F</x:v>
      </x:c>
      <x:c r="D296" s="97" t="str">
        <x:v>15 JAN 1900; Kentucky</x:v>
      </x:c>
      <x:c r="E296" s="97" t="str">
        <x:v>JUN 1993; New Jersey</x:v>
      </x:c>
      <x:c r="F296" s="97" t="str">
        <x:v>MMMAC-1900</x:v>
      </x:c>
      <x:c r="G296" s="97" t="str">
        <x:v>S27</x:v>
      </x:c>
      <x:c r="H296" s="97" t="str">
        <x:v>full sister of Charles Ellsworth McCormick; paternal aunt of Anne Rives McCormick; maternal great-great-grandaunt of owner | Confidence: high. | 1900/1910/1930 censuses and SSA identify her; 1950 household documents two children and research stops with them</x:v>
      </x:c>
      <x:c r="I296" s="97" t="str">
        <x:v>F060</x:v>
      </x:c>
      <x:c r="J296" s="97" t="str">
        <x:v>F142</x:v>
      </x:c>
    </x:row>
    <x:row r="297">
      <x:c r="A297" s="97" t="str">
        <x:v>I321</x:v>
      </x:c>
      <x:c r="B297" s="97" t="str">
        <x:v>John R Macdonald</x:v>
      </x:c>
      <x:c r="C297" s="97" t="str">
        <x:v>M</x:v>
      </x:c>
      <x:c r="D297" s="97" t="str">
        <x:v>As reported: about 1906-1907</x:v>
      </x:c>
      <x:c r="E297" s="97" t="str"/>
      <x:c r="F297" s="97" t="str">
        <x:v>JRMAC-1906</x:v>
      </x:c>
      <x:c r="G297" s="97" t="str">
        <x:v>S27</x:v>
      </x:c>
      <x:c r="H297" s="97" t="str">
        <x:v>spouse of Martha M McCormick; included to show cousin parentage | Confidence: high. | Supporting spouse only; 1950 census</x:v>
      </x:c>
      <x:c r="I297" s="97" t="str"/>
      <x:c r="J297" s="97" t="str">
        <x:v>F142</x:v>
      </x:c>
    </x:row>
    <x:row r="298">
      <x:c r="A298" s="97" t="str">
        <x:v>I322</x:v>
      </x:c>
      <x:c r="B298" s="97" t="str">
        <x:v>James D Macdonald</x:v>
      </x:c>
      <x:c r="C298" s="97" t="str">
        <x:v>U</x:v>
      </x:c>
      <x:c r="D298" s="97" t="str">
        <x:v>As reported: about 1940-1941</x:v>
      </x:c>
      <x:c r="E298" s="97" t="str"/>
      <x:c r="F298" s="97" t="str">
        <x:v>JDMAC-1940</x:v>
      </x:c>
      <x:c r="G298" s="97" t="str">
        <x:v>S27</x:v>
      </x:c>
      <x:c r="H298" s="97" t="str">
        <x:v>first cousin of Anne Rives McCormick; first cousin once removed of Jan; maternal first cousin twice removed of owner | Confidence: high. | 1950 census proves parentage; living status unverified and no spouse or descendants developed</x:v>
      </x:c>
      <x:c r="I298" s="97" t="str">
        <x:v>F142</x:v>
      </x:c>
      <x:c r="J298" s="97" t="str"/>
    </x:row>
    <x:row r="299">
      <x:c r="A299" s="97" t="str">
        <x:v>I323</x:v>
      </x:c>
      <x:c r="B299" s="97" t="str">
        <x:v>Jean Ruth Macdonald</x:v>
      </x:c>
      <x:c r="C299" s="97" t="str">
        <x:v>U</x:v>
      </x:c>
      <x:c r="D299" s="97" t="str">
        <x:v>As reported: about 1944-1945</x:v>
      </x:c>
      <x:c r="E299" s="97" t="str"/>
      <x:c r="F299" s="97" t="str">
        <x:v>JRMAC-1944</x:v>
      </x:c>
      <x:c r="G299" s="97" t="str">
        <x:v>S27</x:v>
      </x:c>
      <x:c r="H299" s="97" t="str">
        <x:v>first cousin of Anne Rives McCormick; first cousin once removed of Jan; maternal first cousin twice removed of owner | Confidence: high. | 1950 census proves parentage; living status unverified and no spouse or descendants developed</x:v>
      </x:c>
      <x:c r="I299" s="97" t="str">
        <x:v>F142</x:v>
      </x:c>
      <x:c r="J299" s="97" t="str"/>
    </x:row>
    <x:row r="300">
      <x:c r="A300" s="97" t="str">
        <x:v>I324</x:v>
      </x:c>
      <x:c r="B300" s="97" t="str">
        <x:v>Ruth B McCormick Reese</x:v>
      </x:c>
      <x:c r="C300" s="97" t="str">
        <x:v>U</x:v>
      </x:c>
      <x:c r="D300" s="97" t="str">
        <x:v>15 OCT 1906; Bullitt County, Kentucky</x:v>
      </x:c>
      <x:c r="E300" s="97" t="str">
        <x:v>13 OCT 1977; Jefferson County, Kentucky</x:v>
      </x:c>
      <x:c r="F300" s="97" t="str">
        <x:v>RBR-1906</x:v>
      </x:c>
      <x:c r="G300" s="97" t="str">
        <x:v>S27</x:v>
      </x:c>
      <x:c r="H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I300" s="97" t="str">
        <x:v>F060</x:v>
      </x:c>
      <x:c r="J300" s="97" t="str"/>
    </x:row>
    <x:row r="301">
      <x:c r="A301" s="97" t="str">
        <x:v>I327</x:v>
      </x:c>
      <x:c r="B301" s="97" t="str">
        <x:v>Sarah Slaughter Lazenby</x:v>
      </x:c>
      <x:c r="C301" s="97" t="str">
        <x:v>U</x:v>
      </x:c>
      <x:c r="D301" s="97" t="str">
        <x:v>7 JUL 1899; Alabama</x:v>
      </x:c>
      <x:c r="E301" s="97" t="str">
        <x:v>DEC 1981; Monroeville, Monroe, Alabama</x:v>
      </x:c>
      <x:c r="F301" s="97" t="str">
        <x:v>SSL-1899</x:v>
      </x:c>
      <x:c r="G301" s="97" t="str">
        <x:v>S27</x:v>
      </x:c>
      <x:c r="H301" s="97" t="str">
        <x:v>full sister of Eloise Alcyone Slaughter; maternal aunt of Anne Rives McCormick; maternal great-great-grandaunt of owner | Confidence: high. | Married Harry L Lazenby in June 1922; no child appears in the 1930 household or is securely identified later</x:v>
      </x:c>
      <x:c r="I301" s="97" t="str">
        <x:v>F069</x:v>
      </x:c>
      <x:c r="J301" s="97" t="str"/>
    </x:row>
    <x:row r="302">
      <x:c r="A302" s="97" t="str">
        <x:v>I328</x:v>
      </x:c>
      <x:c r="B302" s="97" t="str">
        <x:v>Irene Williams Slaughter Cooke</x:v>
      </x:c>
      <x:c r="C302" s="97" t="str">
        <x:v>U</x:v>
      </x:c>
      <x:c r="D302" s="97" t="str">
        <x:v>11 APR 1901; Alabama</x:v>
      </x:c>
      <x:c r="E302" s="97" t="str">
        <x:v>25 JAN 1973; McAllen, Hidalgo, Texas</x:v>
      </x:c>
      <x:c r="F302" s="97" t="str">
        <x:v>IWSC-1901</x:v>
      </x:c>
      <x:c r="G302" s="97" t="str">
        <x:v>S27</x:v>
      </x:c>
      <x:c r="H302" s="97" t="str">
        <x:v>full sister of Eloise Alcyone Slaughter; maternal aunt of Anne Rives McCormick; maternal great-great-grandaunt of owner | Confidence: high. | Married William R Cooke in 1927; separated and alone in the 1950 household; no child is accepted</x:v>
      </x:c>
      <x:c r="I302" s="97" t="str">
        <x:v>F069</x:v>
      </x:c>
      <x:c r="J302" s="97" t="str"/>
    </x:row>
    <x:row r="303">
      <x:c r="A303" s="97" t="str">
        <x:v>I329</x:v>
      </x:c>
      <x:c r="B303" s="97" t="str">
        <x:v>Isaac Bush Slaughter Jr</x:v>
      </x:c>
      <x:c r="C303" s="97" t="str">
        <x:v>M</x:v>
      </x:c>
      <x:c r="D303" s="97" t="str">
        <x:v>3 APR 1907; Monroeville, Monroe, Alabama</x:v>
      </x:c>
      <x:c r="E303" s="97" t="str">
        <x:v>11 OCT 1973; McAllen, Hidalgo, Texas</x:v>
      </x:c>
      <x:c r="F303" s="97" t="str">
        <x:v>IBSJ-1907</x:v>
      </x:c>
      <x:c r="G303" s="97" t="str">
        <x:v>S27</x:v>
      </x:c>
      <x:c r="H303" s="97" t="str">
        <x:v>full brother of Eloise Alcyone Slaughter; maternal uncle of Anne Rives McCormick; maternal great-great-granduncle of owner | Confidence: high. | Original Texas death certificate and censuses prove identity; one documented daughter is included</x:v>
      </x:c>
      <x:c r="I303" s="97" t="str">
        <x:v>F069</x:v>
      </x:c>
      <x:c r="J303" s="97" t="str">
        <x:v>F143</x:v>
      </x:c>
    </x:row>
    <x:row r="304">
      <x:c r="A304" s="97" t="str">
        <x:v>I330</x:v>
      </x:c>
      <x:c r="B304" s="97" t="str">
        <x:v>Mae Belle Watson Slaughter</x:v>
      </x:c>
      <x:c r="C304" s="97" t="str">
        <x:v>F</x:v>
      </x:c>
      <x:c r="D304" s="97" t="str">
        <x:v>As reported: about 1912-1913</x:v>
      </x:c>
      <x:c r="E304" s="97" t="str"/>
      <x:c r="F304" s="97" t="str">
        <x:v>MBWS-1912</x:v>
      </x:c>
      <x:c r="G304" s="97" t="str">
        <x:v>S27</x:v>
      </x:c>
      <x:c r="H304" s="97" t="str">
        <x:v>spouse of Isaac Bush Slaughter Jr; included to show cousin parentage | Confidence: high. | Supporting spouse only; 1940 census and husband's death certificate</x:v>
      </x:c>
      <x:c r="I304" s="97" t="str"/>
      <x:c r="J304" s="97" t="str">
        <x:v>F143</x:v>
      </x:c>
    </x:row>
    <x:row r="305">
      <x:c r="A305" s="97" t="str">
        <x:v>I331</x:v>
      </x:c>
      <x:c r="B305" s="97" t="str">
        <x:v>Agnes Slaughter</x:v>
      </x:c>
      <x:c r="C305" s="97" t="str">
        <x:v>U</x:v>
      </x:c>
      <x:c r="D305" s="97" t="str">
        <x:v>As reported: about 1932-1933; Texas</x:v>
      </x:c>
      <x:c r="E305" s="97" t="str"/>
      <x:c r="F305" s="97" t="str">
        <x:v>AS-1932</x:v>
      </x:c>
      <x:c r="G305" s="97" t="str">
        <x:v>S27</x:v>
      </x:c>
      <x:c r="H305" s="97" t="str">
        <x:v>first cousin of Anne Rives McCormick; first cousin once removed of Jan; maternal first cousin twice removed of owner | Confidence: high. | 1940 census proves parentage; no later spouse or descendants developed</x:v>
      </x:c>
      <x:c r="I305" s="97" t="str">
        <x:v>F143</x:v>
      </x:c>
      <x:c r="J305" s="97" t="str"/>
    </x:row>
    <x:row r="306">
      <x:c r="A306" s="97" t="str">
        <x:v>I332</x:v>
      </x:c>
      <x:c r="B306" s="97" t="str">
        <x:v>Hundley Agee Slaughter</x:v>
      </x:c>
      <x:c r="C306" s="97" t="str">
        <x:v>U</x:v>
      </x:c>
      <x:c r="D306" s="97" t="str">
        <x:v>ABT 1910; Alabama</x:v>
      </x:c>
      <x:c r="E306" s="97" t="str"/>
      <x:c r="F306" s="97" t="str">
        <x:v>HAS-1910</x:v>
      </x:c>
      <x:c r="G306" s="97" t="str">
        <x:v>S27</x:v>
      </x:c>
      <x:c r="H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I306" s="97" t="str">
        <x:v>F069</x:v>
      </x:c>
      <x:c r="J306" s="97" t="str"/>
    </x:row>
    <x:row r="307">
      <x:c r="A307" s="97" t="str">
        <x:v>I333</x:v>
      </x:c>
      <x:c r="B307" s="97" t="str">
        <x:v>Frank Rives Slaughter</x:v>
      </x:c>
      <x:c r="C307" s="97" t="str">
        <x:v>U</x:v>
      </x:c>
      <x:c r="D307" s="97" t="str">
        <x:v>20 NOV 1912; Monroeville, Monroe, Alabama</x:v>
      </x:c>
      <x:c r="E307" s="97" t="str">
        <x:v>27 JAN 1986; Baltimore County, Maryland</x:v>
      </x:c>
      <x:c r="F307" s="97" t="str">
        <x:v>FRS-1912</x:v>
      </x:c>
      <x:c r="G307" s="97" t="str">
        <x:v>S27</x:v>
      </x:c>
      <x:c r="H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I307" s="97" t="str">
        <x:v>F069</x:v>
      </x:c>
      <x:c r="J307" s="97" t="str"/>
    </x:row>
    <x:row r="308">
      <x:c r="A308" s="97" t="str">
        <x:v>I334</x:v>
      </x:c>
      <x:c r="B308" s="97" t="str">
        <x:v>Mary Alice</x:v>
      </x:c>
      <x:c r="C308" s="97" t="str">
        <x:v>F</x:v>
      </x:c>
      <x:c r="D308" s="97" t="str"/>
      <x:c r="E308" s="97" t="str"/>
      <x:c r="F308" s="97" t="str">
        <x:v>OWNER-MARY-ALICE</x:v>
      </x:c>
      <x:c r="G308" s="97" t="str">
        <x:v>S28</x:v>
      </x:c>
      <x:c r="H308" s="97" t="str">
        <x:v>Owner-confirmed biological mother of Chris Vollmer. No surname or other living details inferred.</x:v>
      </x:c>
      <x:c r="I308" s="97" t="str"/>
      <x:c r="J308" s="97" t="str">
        <x:v>F144</x:v>
      </x:c>
    </x:row>
    <x:row r="309">
      <x:c r="A309" s="97" t="str">
        <x:v>I335</x:v>
      </x:c>
      <x:c r="B309" s="97" t="str">
        <x:v>Chris Vollmer</x:v>
      </x:c>
      <x:c r="C309" s="97" t="str">
        <x:v>U</x:v>
      </x:c>
      <x:c r="D309" s="97" t="str"/>
      <x:c r="E309" s="97" t="str"/>
      <x:c r="F309" s="97" t="str">
        <x:v>OWNER-CHRIS-VOLLMER</x:v>
      </x:c>
      <x:c r="G309" s="97" t="str">
        <x:v>S28</x:v>
      </x:c>
      <x:c r="H309" s="97" t="str">
        <x:v>Owner-confirmed child of Mary Alice and stepchild of Jan Muller Vollmer. Father not confirmed and intentionally left blank.</x:v>
      </x:c>
      <x:c r="I309" s="97" t="str">
        <x:v>F144</x:v>
      </x:c>
      <x:c r="J309" s="97" t="str"/>
    </x:row>
  </x:sheetData>
  <x:pageMargins left="0.7" right="0.7" top="0.75" bottom="0.75" header="0.3" footer="0.3"/>
  <x:tableParts count="1">
    <x:tablePart xmlns:r="http://schemas.openxmlformats.org/officeDocument/2006/relationships" r:id="R075838eae354468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72" hidden="0" customWidth="1"/>
    <x:col min="6" max="6" width="28" hidden="0" customWidth="1"/>
  </x:cols>
  <x:sheetData>
    <x:row r="1" ht="30" customHeight="1">
      <x:c r="A1" s="102" t="str">
        <x:v>family_id</x:v>
      </x:c>
      <x:c r="B1" s="102" t="str">
        <x:v>husband_id</x:v>
      </x:c>
      <x:c r="C1" s="102" t="str">
        <x:v>wife_id</x:v>
      </x:c>
      <x:c r="D1" s="102" t="str">
        <x:v>children_ids</x:v>
      </x:c>
      <x:c r="E1" s="102" t="str">
        <x:v>notes</x:v>
      </x:c>
      <x:c r="F1" s="102" t="str">
        <x:v>source_refs</x:v>
      </x:c>
    </x:row>
    <x:row r="2">
      <x:c r="A2" s="97" t="str">
        <x:v>F001</x:v>
      </x:c>
      <x:c r="B2" s="97" t="str">
        <x:v>I003</x:v>
      </x:c>
      <x:c r="C2" s="97" t="str">
        <x:v>I004</x:v>
      </x:c>
      <x:c r="D2" s="97" t="str">
        <x:v>I002;I177</x:v>
      </x:c>
      <x:c r="E2" s="97" t="str">
        <x:v>Collateral relationship merged from the extended-family research package.</x:v>
      </x:c>
      <x:c r="F2" s="97" t="str">
        <x:v>S27</x:v>
      </x:c>
    </x:row>
    <x:row r="3">
      <x:c r="A3" s="97" t="str">
        <x:v>F002</x:v>
      </x:c>
      <x:c r="B3" s="97" t="str">
        <x:v>I005</x:v>
      </x:c>
      <x:c r="C3" s="97" t="str">
        <x:v>I006</x:v>
      </x:c>
      <x:c r="D3" s="97" t="str">
        <x:v>I003;I178;I183</x:v>
      </x:c>
      <x:c r="E3" s="97" t="str">
        <x:v>Children reconstructed from the 1998 Art Muller family chart. | Collateral relationship merged from the extended-family research package.</x:v>
      </x:c>
      <x:c r="F3" s="97" t="str">
        <x:v>S27</x:v>
      </x:c>
    </x:row>
    <x:row r="4">
      <x:c r="A4" s="97" t="str">
        <x:v>F003</x:v>
      </x:c>
      <x:c r="B4" s="97" t="str">
        <x:v>I007</x:v>
      </x:c>
      <x:c r="C4" s="97" t="str">
        <x:v>I008</x:v>
      </x:c>
      <x:c r="D4" s="97" t="str">
        <x:v>I004;I193;I200;I202</x:v>
      </x:c>
      <x:c r="E4" s="97" t="str">
        <x:v>Collateral relationship merged from the extended-family research package. | Four-child McCormick sibling set; Gwen is a core sibling.</x:v>
      </x:c>
      <x:c r="F4" s="97" t="str">
        <x:v>S27</x:v>
      </x:c>
    </x:row>
    <x:row r="5">
      <x:c r="A5" s="97" t="str">
        <x:v>F004</x:v>
      </x:c>
      <x:c r="B5" s="97" t="str">
        <x:v>I009</x:v>
      </x:c>
      <x:c r="C5" s="97" t="str">
        <x:v>I010</x:v>
      </x:c>
      <x:c r="D5" s="97" t="str">
        <x:v>I005;I310;I311</x:v>
      </x:c>
      <x:c r="E5" s="97" t="str">
        <x:v>Collateral relationship merged from the extended-family research package.</x:v>
      </x:c>
      <x:c r="F5" s="97" t="str">
        <x:v>S27</x:v>
      </x:c>
    </x:row>
    <x:row r="6">
      <x:c r="A6" s="97" t="str">
        <x:v>F005</x:v>
      </x:c>
      <x:c r="B6" s="97" t="str">
        <x:v>I013</x:v>
      </x:c>
      <x:c r="C6" s="97" t="str">
        <x:v>I014</x:v>
      </x:c>
      <x:c r="D6" s="97" t="str">
        <x:v>I006;I314;I315</x:v>
      </x:c>
      <x:c r="E6" s="97" t="str">
        <x:v>Collateral relationship merged from the extended-family research package.</x:v>
      </x:c>
      <x:c r="F6" s="97" t="str">
        <x:v>S27</x:v>
      </x:c>
    </x:row>
    <x:row r="7">
      <x:c r="A7" s="97" t="str">
        <x:v>F006</x:v>
      </x:c>
      <x:c r="B7" s="97" t="str">
        <x:v>I017</x:v>
      </x:c>
      <x:c r="C7" s="97" t="str">
        <x:v>I018</x:v>
      </x:c>
      <x:c r="D7" s="97" t="str">
        <x:v>I009</x:v>
      </x:c>
      <x:c r="E7" s="97" t="str"/>
      <x:c r="F7" s="97" t="str"/>
    </x:row>
    <x:row r="8">
      <x:c r="A8" s="97" t="str">
        <x:v>F007</x:v>
      </x:c>
      <x:c r="B8" s="97" t="str">
        <x:v>I019</x:v>
      </x:c>
      <x:c r="C8" s="97" t="str">
        <x:v>I020</x:v>
      </x:c>
      <x:c r="D8" s="97" t="str">
        <x:v>I010</x:v>
      </x:c>
      <x:c r="E8" s="97" t="str"/>
      <x:c r="F8" s="97" t="str"/>
    </x:row>
    <x:row r="9">
      <x:c r="A9" s="97" t="str">
        <x:v>F008</x:v>
      </x:c>
      <x:c r="B9" s="97" t="str">
        <x:v>I021</x:v>
      </x:c>
      <x:c r="C9" s="97" t="str"/>
      <x:c r="D9" s="97" t="str">
        <x:v>I020</x:v>
      </x:c>
      <x:c r="E9" s="97" t="str"/>
      <x:c r="F9" s="97" t="str"/>
    </x:row>
    <x:row r="10">
      <x:c r="A10" s="97" t="str">
        <x:v>F009</x:v>
      </x:c>
      <x:c r="B10" s="97" t="str">
        <x:v>I022</x:v>
      </x:c>
      <x:c r="C10" s="97" t="str">
        <x:v>I023</x:v>
      </x:c>
      <x:c r="D10" s="97" t="str">
        <x:v>I013</x:v>
      </x:c>
      <x:c r="E10" s="97" t="str"/>
      <x:c r="F10" s="97" t="str"/>
    </x:row>
    <x:row r="11">
      <x:c r="A11" s="97" t="str">
        <x:v>F010</x:v>
      </x:c>
      <x:c r="B11" s="97" t="str">
        <x:v>I024</x:v>
      </x:c>
      <x:c r="C11" s="97" t="str">
        <x:v>I025</x:v>
      </x:c>
      <x:c r="D11" s="97" t="str">
        <x:v>I022</x:v>
      </x:c>
      <x:c r="E11" s="97" t="str"/>
      <x:c r="F11" s="97" t="str"/>
    </x:row>
    <x:row r="12">
      <x:c r="A12" s="97" t="str">
        <x:v>F011</x:v>
      </x:c>
      <x:c r="B12" s="97" t="str">
        <x:v>I026</x:v>
      </x:c>
      <x:c r="C12" s="97" t="str">
        <x:v>I027</x:v>
      </x:c>
      <x:c r="D12" s="97" t="str">
        <x:v>I024</x:v>
      </x:c>
      <x:c r="E12" s="97" t="str"/>
      <x:c r="F12" s="97" t="str"/>
    </x:row>
    <x:row r="13">
      <x:c r="A13" s="97" t="str">
        <x:v>F012</x:v>
      </x:c>
      <x:c r="B13" s="97" t="str">
        <x:v>I028</x:v>
      </x:c>
      <x:c r="C13" s="97" t="str">
        <x:v>I029</x:v>
      </x:c>
      <x:c r="D13" s="97" t="str">
        <x:v>I025</x:v>
      </x:c>
      <x:c r="E13" s="97" t="str"/>
      <x:c r="F13" s="97" t="str"/>
    </x:row>
    <x:row r="14">
      <x:c r="A14" s="97" t="str">
        <x:v>F013</x:v>
      </x:c>
      <x:c r="B14" s="97" t="str">
        <x:v>I030</x:v>
      </x:c>
      <x:c r="C14" s="97" t="str">
        <x:v>I031</x:v>
      </x:c>
      <x:c r="D14" s="97" t="str">
        <x:v>I026</x:v>
      </x:c>
      <x:c r="E14" s="97" t="str"/>
      <x:c r="F14" s="97" t="str"/>
    </x:row>
    <x:row r="15">
      <x:c r="A15" s="97" t="str">
        <x:v>F014</x:v>
      </x:c>
      <x:c r="B15" s="97" t="str">
        <x:v>I032</x:v>
      </x:c>
      <x:c r="C15" s="97" t="str">
        <x:v>I033</x:v>
      </x:c>
      <x:c r="D15" s="97" t="str">
        <x:v>I027</x:v>
      </x:c>
      <x:c r="E15" s="97" t="str"/>
      <x:c r="F15" s="97" t="str"/>
    </x:row>
    <x:row r="16">
      <x:c r="A16" s="97" t="str">
        <x:v>F015</x:v>
      </x:c>
      <x:c r="B16" s="97" t="str">
        <x:v>I034</x:v>
      </x:c>
      <x:c r="C16" s="97" t="str">
        <x:v>I035</x:v>
      </x:c>
      <x:c r="D16" s="97" t="str">
        <x:v>I028</x:v>
      </x:c>
      <x:c r="E16" s="97" t="str"/>
      <x:c r="F16" s="97" t="str"/>
    </x:row>
    <x:row r="17">
      <x:c r="A17" s="97" t="str">
        <x:v>F016</x:v>
      </x:c>
      <x:c r="B17" s="97" t="str">
        <x:v>I036</x:v>
      </x:c>
      <x:c r="C17" s="97" t="str">
        <x:v>I037</x:v>
      </x:c>
      <x:c r="D17" s="97" t="str">
        <x:v>I030</x:v>
      </x:c>
      <x:c r="E17" s="97" t="str"/>
      <x:c r="F17" s="97" t="str"/>
    </x:row>
    <x:row r="18">
      <x:c r="A18" s="97" t="str">
        <x:v>F017</x:v>
      </x:c>
      <x:c r="B18" s="97" t="str">
        <x:v>I038</x:v>
      </x:c>
      <x:c r="C18" s="97" t="str"/>
      <x:c r="D18" s="97" t="str">
        <x:v>I031</x:v>
      </x:c>
      <x:c r="E18" s="97" t="str"/>
      <x:c r="F18" s="97" t="str"/>
    </x:row>
    <x:row r="19">
      <x:c r="A19" s="97" t="str">
        <x:v>F018</x:v>
      </x:c>
      <x:c r="B19" s="97" t="str">
        <x:v>I039</x:v>
      </x:c>
      <x:c r="C19" s="97" t="str">
        <x:v>I040</x:v>
      </x:c>
      <x:c r="D19" s="97" t="str">
        <x:v>I032</x:v>
      </x:c>
      <x:c r="E19" s="97" t="str"/>
      <x:c r="F19" s="97" t="str"/>
    </x:row>
    <x:row r="20">
      <x:c r="A20" s="97" t="str">
        <x:v>F019</x:v>
      </x:c>
      <x:c r="B20" s="97" t="str">
        <x:v>I041</x:v>
      </x:c>
      <x:c r="C20" s="97" t="str">
        <x:v>I042</x:v>
      </x:c>
      <x:c r="D20" s="97" t="str">
        <x:v>I034</x:v>
      </x:c>
      <x:c r="E20" s="97" t="str"/>
      <x:c r="F20" s="97" t="str"/>
    </x:row>
    <x:row r="21">
      <x:c r="A21" s="97" t="str">
        <x:v>F020</x:v>
      </x:c>
      <x:c r="B21" s="97" t="str">
        <x:v>I043</x:v>
      </x:c>
      <x:c r="C21" s="97" t="str">
        <x:v>I044</x:v>
      </x:c>
      <x:c r="D21" s="97" t="str">
        <x:v>I035</x:v>
      </x:c>
      <x:c r="E21" s="97" t="str"/>
      <x:c r="F21" s="97" t="str"/>
    </x:row>
    <x:row r="22">
      <x:c r="A22" s="97" t="str">
        <x:v>F021</x:v>
      </x:c>
      <x:c r="B22" s="97" t="str">
        <x:v>I045</x:v>
      </x:c>
      <x:c r="C22" s="97" t="str"/>
      <x:c r="D22" s="97" t="str">
        <x:v>I037</x:v>
      </x:c>
      <x:c r="E22" s="97" t="str"/>
      <x:c r="F22" s="97" t="str"/>
    </x:row>
    <x:row r="23">
      <x:c r="A23" s="97" t="str">
        <x:v>F022</x:v>
      </x:c>
      <x:c r="B23" s="97" t="str">
        <x:v>I046</x:v>
      </x:c>
      <x:c r="C23" s="97" t="str">
        <x:v>I047</x:v>
      </x:c>
      <x:c r="D23" s="97" t="str">
        <x:v>I039</x:v>
      </x:c>
      <x:c r="E23" s="97" t="str"/>
      <x:c r="F23" s="97" t="str"/>
    </x:row>
    <x:row r="24">
      <x:c r="A24" s="97" t="str">
        <x:v>F023</x:v>
      </x:c>
      <x:c r="B24" s="97" t="str">
        <x:v>I048</x:v>
      </x:c>
      <x:c r="C24" s="97" t="str">
        <x:v>I049</x:v>
      </x:c>
      <x:c r="D24" s="97" t="str">
        <x:v>I040</x:v>
      </x:c>
      <x:c r="E24" s="97" t="str"/>
      <x:c r="F24" s="97" t="str"/>
    </x:row>
    <x:row r="25">
      <x:c r="A25" s="97" t="str">
        <x:v>F024</x:v>
      </x:c>
      <x:c r="B25" s="97" t="str">
        <x:v>I050</x:v>
      </x:c>
      <x:c r="C25" s="97" t="str">
        <x:v>I051</x:v>
      </x:c>
      <x:c r="D25" s="97" t="str">
        <x:v>I041</x:v>
      </x:c>
      <x:c r="E25" s="97" t="str"/>
      <x:c r="F25" s="97" t="str"/>
    </x:row>
    <x:row r="26">
      <x:c r="A26" s="97" t="str">
        <x:v>F025</x:v>
      </x:c>
      <x:c r="B26" s="97" t="str">
        <x:v>I052</x:v>
      </x:c>
      <x:c r="C26" s="97" t="str"/>
      <x:c r="D26" s="97" t="str">
        <x:v>I042</x:v>
      </x:c>
      <x:c r="E26" s="97" t="str"/>
      <x:c r="F26" s="97" t="str"/>
    </x:row>
    <x:row r="27">
      <x:c r="A27" s="97" t="str">
        <x:v>F026</x:v>
      </x:c>
      <x:c r="B27" s="97" t="str">
        <x:v>I053</x:v>
      </x:c>
      <x:c r="C27" s="97" t="str">
        <x:v>I054</x:v>
      </x:c>
      <x:c r="D27" s="97" t="str">
        <x:v>I043</x:v>
      </x:c>
      <x:c r="E27" s="97" t="str"/>
      <x:c r="F27" s="97" t="str"/>
    </x:row>
    <x:row r="28">
      <x:c r="A28" s="97" t="str">
        <x:v>F027</x:v>
      </x:c>
      <x:c r="B28" s="97" t="str">
        <x:v>I055</x:v>
      </x:c>
      <x:c r="C28" s="97" t="str">
        <x:v>I056</x:v>
      </x:c>
      <x:c r="D28" s="97" t="str">
        <x:v>I044</x:v>
      </x:c>
      <x:c r="E28" s="97" t="str"/>
      <x:c r="F28" s="97" t="str"/>
    </x:row>
    <x:row r="29">
      <x:c r="A29" s="97" t="str">
        <x:v>F028</x:v>
      </x:c>
      <x:c r="B29" s="97" t="str">
        <x:v>I057</x:v>
      </x:c>
      <x:c r="C29" s="97" t="str">
        <x:v>I058</x:v>
      </x:c>
      <x:c r="D29" s="97" t="str">
        <x:v>I046</x:v>
      </x:c>
      <x:c r="E29" s="97" t="str"/>
      <x:c r="F29" s="97" t="str"/>
    </x:row>
    <x:row r="30">
      <x:c r="A30" s="97" t="str">
        <x:v>F029</x:v>
      </x:c>
      <x:c r="B30" s="97" t="str">
        <x:v>I059</x:v>
      </x:c>
      <x:c r="C30" s="97" t="str">
        <x:v>I060</x:v>
      </x:c>
      <x:c r="D30" s="97" t="str">
        <x:v>I048</x:v>
      </x:c>
      <x:c r="E30" s="97" t="str"/>
      <x:c r="F30" s="97" t="str"/>
    </x:row>
    <x:row r="31">
      <x:c r="A31" s="97" t="str">
        <x:v>F030</x:v>
      </x:c>
      <x:c r="B31" s="97" t="str">
        <x:v>I061</x:v>
      </x:c>
      <x:c r="C31" s="97" t="str">
        <x:v>I062</x:v>
      </x:c>
      <x:c r="D31" s="97" t="str">
        <x:v>I049</x:v>
      </x:c>
      <x:c r="E31" s="97" t="str"/>
      <x:c r="F31" s="97" t="str"/>
    </x:row>
    <x:row r="32">
      <x:c r="A32" s="97" t="str">
        <x:v>F031</x:v>
      </x:c>
      <x:c r="B32" s="97" t="str">
        <x:v>I063</x:v>
      </x:c>
      <x:c r="C32" s="97" t="str">
        <x:v>I064</x:v>
      </x:c>
      <x:c r="D32" s="97" t="str">
        <x:v>I050</x:v>
      </x:c>
      <x:c r="E32" s="97" t="str"/>
      <x:c r="F32" s="97" t="str"/>
    </x:row>
    <x:row r="33">
      <x:c r="A33" s="97" t="str">
        <x:v>F032</x:v>
      </x:c>
      <x:c r="B33" s="97" t="str">
        <x:v>I065</x:v>
      </x:c>
      <x:c r="C33" s="97" t="str">
        <x:v>I066</x:v>
      </x:c>
      <x:c r="D33" s="97" t="str">
        <x:v>I051</x:v>
      </x:c>
      <x:c r="E33" s="97" t="str"/>
      <x:c r="F33" s="97" t="str"/>
    </x:row>
    <x:row r="34">
      <x:c r="A34" s="97" t="str">
        <x:v>F033</x:v>
      </x:c>
      <x:c r="B34" s="97" t="str">
        <x:v>I065</x:v>
      </x:c>
      <x:c r="C34" s="97" t="str">
        <x:v>I076</x:v>
      </x:c>
      <x:c r="D34" s="97" t="str">
        <x:v>I070</x:v>
      </x:c>
      <x:c r="E34" s="97" t="str"/>
      <x:c r="F34" s="97" t="str"/>
    </x:row>
    <x:row r="35">
      <x:c r="A35" s="97" t="str">
        <x:v>F034</x:v>
      </x:c>
      <x:c r="B35" s="97" t="str">
        <x:v>I067</x:v>
      </x:c>
      <x:c r="C35" s="97" t="str">
        <x:v>I068</x:v>
      </x:c>
      <x:c r="D35" s="97" t="str">
        <x:v>I052</x:v>
      </x:c>
      <x:c r="E35" s="97" t="str"/>
      <x:c r="F35" s="97" t="str"/>
    </x:row>
    <x:row r="36">
      <x:c r="A36" s="97" t="str">
        <x:v>F035</x:v>
      </x:c>
      <x:c r="B36" s="97" t="str">
        <x:v>I069</x:v>
      </x:c>
      <x:c r="C36" s="97" t="str">
        <x:v>I070</x:v>
      </x:c>
      <x:c r="D36" s="97" t="str">
        <x:v>I053</x:v>
      </x:c>
      <x:c r="E36" s="97" t="str"/>
      <x:c r="F36" s="97" t="str"/>
    </x:row>
    <x:row r="37">
      <x:c r="A37" s="97" t="str">
        <x:v>F036</x:v>
      </x:c>
      <x:c r="B37" s="97" t="str">
        <x:v>I071</x:v>
      </x:c>
      <x:c r="C37" s="97" t="str">
        <x:v>I072</x:v>
      </x:c>
      <x:c r="D37" s="97" t="str">
        <x:v>I054</x:v>
      </x:c>
      <x:c r="E37" s="97" t="str"/>
      <x:c r="F37" s="97" t="str"/>
    </x:row>
    <x:row r="38">
      <x:c r="A38" s="97" t="str">
        <x:v>F037</x:v>
      </x:c>
      <x:c r="B38" s="97" t="str">
        <x:v>I073</x:v>
      </x:c>
      <x:c r="C38" s="97" t="str">
        <x:v>I074</x:v>
      </x:c>
      <x:c r="D38" s="97" t="str">
        <x:v>I063</x:v>
      </x:c>
      <x:c r="E38" s="97" t="str"/>
      <x:c r="F38" s="97" t="str"/>
    </x:row>
    <x:row r="39">
      <x:c r="A39" s="97" t="str">
        <x:v>F038</x:v>
      </x:c>
      <x:c r="B39" s="97" t="str">
        <x:v>I075</x:v>
      </x:c>
      <x:c r="C39" s="97" t="str">
        <x:v>I076</x:v>
      </x:c>
      <x:c r="D39" s="97" t="str">
        <x:v>I065</x:v>
      </x:c>
      <x:c r="E39" s="97" t="str"/>
      <x:c r="F39" s="97" t="str"/>
    </x:row>
    <x:row r="40">
      <x:c r="A40" s="97" t="str">
        <x:v>F039</x:v>
      </x:c>
      <x:c r="B40" s="97" t="str">
        <x:v>I077</x:v>
      </x:c>
      <x:c r="C40" s="97" t="str">
        <x:v>I078</x:v>
      </x:c>
      <x:c r="D40" s="97" t="str">
        <x:v>I066</x:v>
      </x:c>
      <x:c r="E40" s="97" t="str"/>
      <x:c r="F40" s="97" t="str"/>
    </x:row>
    <x:row r="41">
      <x:c r="A41" s="97" t="str">
        <x:v>F040</x:v>
      </x:c>
      <x:c r="B41" s="97" t="str">
        <x:v>I079</x:v>
      </x:c>
      <x:c r="C41" s="97" t="str">
        <x:v>I080</x:v>
      </x:c>
      <x:c r="D41" s="97" t="str">
        <x:v>I067</x:v>
      </x:c>
      <x:c r="E41" s="97" t="str"/>
      <x:c r="F41" s="97" t="str"/>
    </x:row>
    <x:row r="42">
      <x:c r="A42" s="97" t="str">
        <x:v>F041</x:v>
      </x:c>
      <x:c r="B42" s="97" t="str">
        <x:v>I081</x:v>
      </x:c>
      <x:c r="C42" s="97" t="str"/>
      <x:c r="D42" s="97" t="str">
        <x:v>I068</x:v>
      </x:c>
      <x:c r="E42" s="97" t="str"/>
      <x:c r="F42" s="97" t="str"/>
    </x:row>
    <x:row r="43">
      <x:c r="A43" s="97" t="str">
        <x:v>F042</x:v>
      </x:c>
      <x:c r="B43" s="97" t="str">
        <x:v>I082</x:v>
      </x:c>
      <x:c r="C43" s="97" t="str">
        <x:v>I083</x:v>
      </x:c>
      <x:c r="D43" s="97" t="str">
        <x:v>I069</x:v>
      </x:c>
      <x:c r="E43" s="97" t="str"/>
      <x:c r="F43" s="97" t="str"/>
    </x:row>
    <x:row r="44">
      <x:c r="A44" s="97" t="str">
        <x:v>F043</x:v>
      </x:c>
      <x:c r="B44" s="97" t="str">
        <x:v>I084</x:v>
      </x:c>
      <x:c r="C44" s="97" t="str">
        <x:v>I085</x:v>
      </x:c>
      <x:c r="D44" s="97" t="str">
        <x:v>I071</x:v>
      </x:c>
      <x:c r="E44" s="97" t="str"/>
      <x:c r="F44" s="97" t="str"/>
    </x:row>
    <x:row r="45">
      <x:c r="A45" s="97" t="str">
        <x:v>F044</x:v>
      </x:c>
      <x:c r="B45" s="97" t="str">
        <x:v>I086</x:v>
      </x:c>
      <x:c r="C45" s="97" t="str">
        <x:v>I087</x:v>
      </x:c>
      <x:c r="D45" s="97" t="str">
        <x:v>I072</x:v>
      </x:c>
      <x:c r="E45" s="97" t="str"/>
      <x:c r="F45" s="97" t="str"/>
    </x:row>
    <x:row r="46">
      <x:c r="A46" s="97" t="str">
        <x:v>F045</x:v>
      </x:c>
      <x:c r="B46" s="97" t="str">
        <x:v>I088</x:v>
      </x:c>
      <x:c r="C46" s="97" t="str"/>
      <x:c r="D46" s="97" t="str">
        <x:v>I078</x:v>
      </x:c>
      <x:c r="E46" s="97" t="str"/>
      <x:c r="F46" s="97" t="str"/>
    </x:row>
    <x:row r="47">
      <x:c r="A47" s="97" t="str">
        <x:v>F046</x:v>
      </x:c>
      <x:c r="B47" s="97" t="str">
        <x:v>I089</x:v>
      </x:c>
      <x:c r="C47" s="97" t="str">
        <x:v>I090</x:v>
      </x:c>
      <x:c r="D47" s="97" t="str">
        <x:v>I083</x:v>
      </x:c>
      <x:c r="E47" s="97" t="str"/>
      <x:c r="F47" s="97" t="str"/>
    </x:row>
    <x:row r="48">
      <x:c r="A48" s="97" t="str">
        <x:v>F047</x:v>
      </x:c>
      <x:c r="B48" s="97" t="str">
        <x:v>I091</x:v>
      </x:c>
      <x:c r="C48" s="97" t="str"/>
      <x:c r="D48" s="97" t="str">
        <x:v>I084</x:v>
      </x:c>
      <x:c r="E48" s="97" t="str"/>
      <x:c r="F48" s="97" t="str"/>
    </x:row>
    <x:row r="49">
      <x:c r="A49" s="97" t="str">
        <x:v>F048</x:v>
      </x:c>
      <x:c r="B49" s="97" t="str">
        <x:v>I092</x:v>
      </x:c>
      <x:c r="C49" s="97" t="str">
        <x:v>I093</x:v>
      </x:c>
      <x:c r="D49" s="97" t="str">
        <x:v>I085</x:v>
      </x:c>
      <x:c r="E49" s="97" t="str"/>
      <x:c r="F49" s="97" t="str"/>
    </x:row>
    <x:row r="50">
      <x:c r="A50" s="97" t="str">
        <x:v>F049</x:v>
      </x:c>
      <x:c r="B50" s="97" t="str">
        <x:v>I094</x:v>
      </x:c>
      <x:c r="C50" s="97" t="str">
        <x:v>I095</x:v>
      </x:c>
      <x:c r="D50" s="97" t="str">
        <x:v>I086</x:v>
      </x:c>
      <x:c r="E50" s="97" t="str"/>
      <x:c r="F50" s="97" t="str"/>
    </x:row>
    <x:row r="51">
      <x:c r="A51" s="97" t="str">
        <x:v>F050</x:v>
      </x:c>
      <x:c r="B51" s="97" t="str">
        <x:v>I096</x:v>
      </x:c>
      <x:c r="C51" s="97" t="str"/>
      <x:c r="D51" s="97" t="str">
        <x:v>I087</x:v>
      </x:c>
      <x:c r="E51" s="97" t="str"/>
      <x:c r="F51" s="97" t="str"/>
    </x:row>
    <x:row r="52">
      <x:c r="A52" s="97" t="str">
        <x:v>F051</x:v>
      </x:c>
      <x:c r="B52" s="97" t="str">
        <x:v>I097</x:v>
      </x:c>
      <x:c r="C52" s="97" t="str">
        <x:v>I098</x:v>
      </x:c>
      <x:c r="D52" s="97" t="str">
        <x:v>I089</x:v>
      </x:c>
      <x:c r="E52" s="97" t="str"/>
      <x:c r="F52" s="97" t="str"/>
    </x:row>
    <x:row r="53">
      <x:c r="A53" s="97" t="str">
        <x:v>F052</x:v>
      </x:c>
      <x:c r="B53" s="97" t="str">
        <x:v>I099</x:v>
      </x:c>
      <x:c r="C53" s="97" t="str">
        <x:v>I100</x:v>
      </x:c>
      <x:c r="D53" s="97" t="str">
        <x:v>I090</x:v>
      </x:c>
      <x:c r="E53" s="97" t="str"/>
      <x:c r="F53" s="97" t="str"/>
    </x:row>
    <x:row r="54">
      <x:c r="A54" s="97" t="str">
        <x:v>F053</x:v>
      </x:c>
      <x:c r="B54" s="97" t="str">
        <x:v>I101</x:v>
      </x:c>
      <x:c r="C54" s="97" t="str">
        <x:v>I102</x:v>
      </x:c>
      <x:c r="D54" s="97" t="str">
        <x:v>I092</x:v>
      </x:c>
      <x:c r="E54" s="97" t="str"/>
      <x:c r="F54" s="97" t="str"/>
    </x:row>
    <x:row r="55">
      <x:c r="A55" s="97" t="str">
        <x:v>F054</x:v>
      </x:c>
      <x:c r="B55" s="97" t="str">
        <x:v>I103</x:v>
      </x:c>
      <x:c r="C55" s="97" t="str">
        <x:v>I104</x:v>
      </x:c>
      <x:c r="D55" s="97" t="str">
        <x:v>I093</x:v>
      </x:c>
      <x:c r="E55" s="97" t="str"/>
      <x:c r="F55" s="97" t="str"/>
    </x:row>
    <x:row r="56">
      <x:c r="A56" s="97" t="str">
        <x:v>F055</x:v>
      </x:c>
      <x:c r="B56" s="97" t="str">
        <x:v>I105</x:v>
      </x:c>
      <x:c r="C56" s="97" t="str">
        <x:v>I106</x:v>
      </x:c>
      <x:c r="D56" s="97" t="str">
        <x:v>I097</x:v>
      </x:c>
      <x:c r="E56" s="97" t="str"/>
      <x:c r="F56" s="97" t="str"/>
    </x:row>
    <x:row r="57">
      <x:c r="A57" s="97" t="str">
        <x:v>F056</x:v>
      </x:c>
      <x:c r="B57" s="97" t="str">
        <x:v>I107</x:v>
      </x:c>
      <x:c r="C57" s="97" t="str"/>
      <x:c r="D57" s="97" t="str">
        <x:v>I098</x:v>
      </x:c>
      <x:c r="E57" s="97" t="str"/>
      <x:c r="F57" s="97" t="str"/>
    </x:row>
    <x:row r="58">
      <x:c r="A58" s="97" t="str">
        <x:v>F057</x:v>
      </x:c>
      <x:c r="B58" s="97" t="str">
        <x:v>I108</x:v>
      </x:c>
      <x:c r="C58" s="97" t="str">
        <x:v>I109</x:v>
      </x:c>
      <x:c r="D58" s="97" t="str">
        <x:v>I099</x:v>
      </x:c>
      <x:c r="E58" s="97" t="str"/>
      <x:c r="F58" s="97" t="str"/>
    </x:row>
    <x:row r="59">
      <x:c r="A59" s="97" t="str">
        <x:v>F058</x:v>
      </x:c>
      <x:c r="B59" s="97" t="str">
        <x:v>I110</x:v>
      </x:c>
      <x:c r="C59" s="97" t="str">
        <x:v>I111</x:v>
      </x:c>
      <x:c r="D59" s="97" t="str">
        <x:v>I100</x:v>
      </x:c>
      <x:c r="E59" s="97" t="str"/>
      <x:c r="F59" s="97" t="str"/>
    </x:row>
    <x:row r="60">
      <x:c r="A60" s="97" t="str">
        <x:v>F059</x:v>
      </x:c>
      <x:c r="B60" s="97" t="str">
        <x:v>I112</x:v>
      </x:c>
      <x:c r="C60" s="97" t="str">
        <x:v>I113</x:v>
      </x:c>
      <x:c r="D60" s="97" t="str">
        <x:v>I101</x:v>
      </x:c>
      <x:c r="E60" s="97" t="str"/>
      <x:c r="F60" s="97" t="str"/>
    </x:row>
    <x:row r="61">
      <x:c r="A61" s="97" t="str">
        <x:v>F060</x:v>
      </x:c>
      <x:c r="B61" s="97" t="str">
        <x:v>I114</x:v>
      </x:c>
      <x:c r="C61" s="97" t="str">
        <x:v>I115</x:v>
      </x:c>
      <x:c r="D61" s="97" t="str">
        <x:v>I007;I320;I324</x:v>
      </x:c>
      <x:c r="E61" s="97" t="str">
        <x:v>Collateral relationship merged from the extended-family research package.</x:v>
      </x:c>
      <x:c r="F61" s="97" t="str">
        <x:v>S27</x:v>
      </x:c>
    </x:row>
    <x:row r="62">
      <x:c r="A62" s="97" t="str">
        <x:v>F061</x:v>
      </x:c>
      <x:c r="B62" s="97" t="str">
        <x:v>I116</x:v>
      </x:c>
      <x:c r="C62" s="97" t="str">
        <x:v>I117</x:v>
      </x:c>
      <x:c r="D62" s="97" t="str">
        <x:v>I114</x:v>
      </x:c>
      <x:c r="E62" s="97" t="str"/>
      <x:c r="F62" s="97" t="str"/>
    </x:row>
    <x:row r="63">
      <x:c r="A63" s="97" t="str">
        <x:v>F062</x:v>
      </x:c>
      <x:c r="B63" s="97" t="str">
        <x:v>I118</x:v>
      </x:c>
      <x:c r="C63" s="97" t="str">
        <x:v>I119</x:v>
      </x:c>
      <x:c r="D63" s="97" t="str">
        <x:v>I116</x:v>
      </x:c>
      <x:c r="E63" s="97" t="str"/>
      <x:c r="F63" s="97" t="str"/>
    </x:row>
    <x:row r="64">
      <x:c r="A64" s="97" t="str">
        <x:v>F063</x:v>
      </x:c>
      <x:c r="B64" s="97" t="str">
        <x:v>I120</x:v>
      </x:c>
      <x:c r="C64" s="97" t="str">
        <x:v>I121</x:v>
      </x:c>
      <x:c r="D64" s="97" t="str">
        <x:v>I115</x:v>
      </x:c>
      <x:c r="E64" s="97" t="str"/>
      <x:c r="F64" s="97" t="str"/>
    </x:row>
    <x:row r="65">
      <x:c r="A65" s="97" t="str">
        <x:v>F064</x:v>
      </x:c>
      <x:c r="B65" s="97" t="str">
        <x:v>I122</x:v>
      </x:c>
      <x:c r="C65" s="97" t="str">
        <x:v>I123</x:v>
      </x:c>
      <x:c r="D65" s="97" t="str">
        <x:v>I120</x:v>
      </x:c>
      <x:c r="E65" s="97" t="str"/>
      <x:c r="F65" s="97" t="str"/>
    </x:row>
    <x:row r="66">
      <x:c r="A66" s="97" t="str">
        <x:v>F065</x:v>
      </x:c>
      <x:c r="B66" s="97" t="str">
        <x:v>I124</x:v>
      </x:c>
      <x:c r="C66" s="97" t="str">
        <x:v>I125</x:v>
      </x:c>
      <x:c r="D66" s="97" t="str">
        <x:v>I117</x:v>
      </x:c>
      <x:c r="E66" s="97" t="str"/>
      <x:c r="F66" s="97" t="str"/>
    </x:row>
    <x:row r="67">
      <x:c r="A67" s="97" t="str">
        <x:v>F066</x:v>
      </x:c>
      <x:c r="B67" s="97" t="str">
        <x:v>I126</x:v>
      </x:c>
      <x:c r="C67" s="97" t="str"/>
      <x:c r="D67" s="97" t="str">
        <x:v>I122</x:v>
      </x:c>
      <x:c r="E67" s="97" t="str"/>
      <x:c r="F67" s="97" t="str"/>
    </x:row>
    <x:row r="68">
      <x:c r="A68" s="97" t="str">
        <x:v>F067</x:v>
      </x:c>
      <x:c r="B68" s="97" t="str">
        <x:v>I127</x:v>
      </x:c>
      <x:c r="C68" s="97" t="str">
        <x:v>I132</x:v>
      </x:c>
      <x:c r="D68" s="97" t="str">
        <x:v>I126</x:v>
      </x:c>
      <x:c r="E68" s="97" t="str"/>
      <x:c r="F68" s="97" t="str"/>
    </x:row>
    <x:row r="69">
      <x:c r="A69" s="97" t="str">
        <x:v>F068</x:v>
      </x:c>
      <x:c r="B69" s="97" t="str">
        <x:v>I128</x:v>
      </x:c>
      <x:c r="C69" s="97" t="str">
        <x:v>I129</x:v>
      </x:c>
      <x:c r="D69" s="97" t="str">
        <x:v>I123</x:v>
      </x:c>
      <x:c r="E69" s="97" t="str"/>
      <x:c r="F69" s="97" t="str"/>
    </x:row>
    <x:row r="70">
      <x:c r="A70" s="97" t="str">
        <x:v>F069</x:v>
      </x:c>
      <x:c r="B70" s="97" t="str">
        <x:v>I130</x:v>
      </x:c>
      <x:c r="C70" s="97" t="str">
        <x:v>I131</x:v>
      </x:c>
      <x:c r="D70" s="97" t="str">
        <x:v>I008;I327;I328;I329;I332;I333</x:v>
      </x:c>
      <x:c r="E70" s="97" t="str">
        <x:v>Collateral relationship merged from the extended-family research package.</x:v>
      </x:c>
      <x:c r="F70" s="97" t="str">
        <x:v>S27</x:v>
      </x:c>
    </x:row>
    <x:row r="71">
      <x:c r="A71" s="97" t="str">
        <x:v>F070</x:v>
      </x:c>
      <x:c r="B71" s="97" t="str">
        <x:v>I133</x:v>
      </x:c>
      <x:c r="C71" s="97" t="str">
        <x:v>I134</x:v>
      </x:c>
      <x:c r="D71" s="97" t="str">
        <x:v>I130</x:v>
      </x:c>
      <x:c r="E71" s="97" t="str"/>
      <x:c r="F71" s="97" t="str"/>
    </x:row>
    <x:row r="72">
      <x:c r="A72" s="97" t="str">
        <x:v>F071</x:v>
      </x:c>
      <x:c r="B72" s="97" t="str">
        <x:v>I135</x:v>
      </x:c>
      <x:c r="C72" s="97" t="str">
        <x:v>I136</x:v>
      </x:c>
      <x:c r="D72" s="97" t="str">
        <x:v>I131</x:v>
      </x:c>
      <x:c r="E72" s="97" t="str"/>
      <x:c r="F72" s="97" t="str"/>
    </x:row>
    <x:row r="73">
      <x:c r="A73" s="97" t="str">
        <x:v>F072</x:v>
      </x:c>
      <x:c r="B73" s="97" t="str">
        <x:v>I137</x:v>
      </x:c>
      <x:c r="C73" s="97" t="str">
        <x:v>I138</x:v>
      </x:c>
      <x:c r="D73" s="97" t="str">
        <x:v>I135</x:v>
      </x:c>
      <x:c r="E73" s="97" t="str"/>
      <x:c r="F73" s="97" t="str"/>
    </x:row>
    <x:row r="74">
      <x:c r="A74" s="97" t="str">
        <x:v>F073</x:v>
      </x:c>
      <x:c r="B74" s="97" t="str">
        <x:v>I139</x:v>
      </x:c>
      <x:c r="C74" s="97" t="str">
        <x:v>I140</x:v>
      </x:c>
      <x:c r="D74" s="97" t="str">
        <x:v>I137</x:v>
      </x:c>
      <x:c r="E74" s="97" t="str"/>
      <x:c r="F74" s="97" t="str"/>
    </x:row>
    <x:row r="75">
      <x:c r="A75" s="97" t="str">
        <x:v>F074</x:v>
      </x:c>
      <x:c r="B75" s="97" t="str">
        <x:v>I141</x:v>
      </x:c>
      <x:c r="C75" s="97" t="str">
        <x:v>I142</x:v>
      </x:c>
      <x:c r="D75" s="97" t="str">
        <x:v>I139</x:v>
      </x:c>
      <x:c r="E75" s="97" t="str"/>
      <x:c r="F75" s="97" t="str"/>
    </x:row>
    <x:row r="76">
      <x:c r="A76" s="97" t="str">
        <x:v>F075</x:v>
      </x:c>
      <x:c r="B76" s="97" t="str">
        <x:v>I143</x:v>
      </x:c>
      <x:c r="C76" s="97" t="str">
        <x:v>I144</x:v>
      </x:c>
      <x:c r="D76" s="97" t="str">
        <x:v>I141</x:v>
      </x:c>
      <x:c r="E76" s="97" t="str"/>
      <x:c r="F76" s="97" t="str"/>
    </x:row>
    <x:row r="77">
      <x:c r="A77" s="97" t="str">
        <x:v>F076</x:v>
      </x:c>
      <x:c r="B77" s="97" t="str">
        <x:v>I145</x:v>
      </x:c>
      <x:c r="C77" s="97" t="str">
        <x:v>I146</x:v>
      </x:c>
      <x:c r="D77" s="97" t="str">
        <x:v>I140</x:v>
      </x:c>
      <x:c r="E77" s="97" t="str"/>
      <x:c r="F77" s="97" t="str"/>
    </x:row>
    <x:row r="78">
      <x:c r="A78" s="97" t="str">
        <x:v>F077</x:v>
      </x:c>
      <x:c r="B78" s="97" t="str">
        <x:v>I147</x:v>
      </x:c>
      <x:c r="C78" s="97" t="str">
        <x:v>I148</x:v>
      </x:c>
      <x:c r="D78" s="97" t="str">
        <x:v>I138</x:v>
      </x:c>
      <x:c r="E78" s="97" t="str"/>
      <x:c r="F78" s="97" t="str"/>
    </x:row>
    <x:row r="79">
      <x:c r="A79" s="97" t="str">
        <x:v>F078</x:v>
      </x:c>
      <x:c r="B79" s="97" t="str">
        <x:v>I149</x:v>
      </x:c>
      <x:c r="C79" s="97" t="str">
        <x:v>I150</x:v>
      </x:c>
      <x:c r="D79" s="97" t="str">
        <x:v>I143</x:v>
      </x:c>
      <x:c r="E79" s="97" t="str"/>
      <x:c r="F79" s="97" t="str"/>
    </x:row>
    <x:row r="80">
      <x:c r="A80" s="97" t="str">
        <x:v>F079</x:v>
      </x:c>
      <x:c r="B80" s="97" t="str">
        <x:v>I151</x:v>
      </x:c>
      <x:c r="C80" s="97" t="str"/>
      <x:c r="D80" s="97" t="str">
        <x:v>I149</x:v>
      </x:c>
      <x:c r="E80" s="97" t="str"/>
      <x:c r="F80" s="97" t="str"/>
    </x:row>
    <x:row r="81">
      <x:c r="A81" s="97" t="str">
        <x:v>F080</x:v>
      </x:c>
      <x:c r="B81" s="97" t="str">
        <x:v>I152</x:v>
      </x:c>
      <x:c r="C81" s="97" t="str">
        <x:v>I153</x:v>
      </x:c>
      <x:c r="D81" s="97" t="str">
        <x:v>I142</x:v>
      </x:c>
      <x:c r="E81" s="97" t="str"/>
      <x:c r="F81" s="97" t="str"/>
    </x:row>
    <x:row r="82">
      <x:c r="A82" s="97" t="str">
        <x:v>F081</x:v>
      </x:c>
      <x:c r="B82" s="97" t="str">
        <x:v>I154</x:v>
      </x:c>
      <x:c r="C82" s="97" t="str">
        <x:v>I155</x:v>
      </x:c>
      <x:c r="D82" s="97" t="str">
        <x:v>I136</x:v>
      </x:c>
      <x:c r="E82" s="97" t="str"/>
      <x:c r="F82" s="97" t="str"/>
    </x:row>
    <x:row r="83">
      <x:c r="A83" s="97" t="str">
        <x:v>F082</x:v>
      </x:c>
      <x:c r="B83" s="97" t="str">
        <x:v>I157</x:v>
      </x:c>
      <x:c r="C83" s="97" t="str"/>
      <x:c r="D83" s="97" t="str">
        <x:v>I151</x:v>
      </x:c>
      <x:c r="E83" s="97" t="str"/>
      <x:c r="F83" s="97" t="str"/>
    </x:row>
    <x:row r="84">
      <x:c r="A84" s="97" t="str">
        <x:v>F083</x:v>
      </x:c>
      <x:c r="B84" s="97" t="str">
        <x:v>I158</x:v>
      </x:c>
      <x:c r="C84" s="97" t="str">
        <x:v>I159</x:v>
      </x:c>
      <x:c r="D84" s="97" t="str">
        <x:v>I147</x:v>
      </x:c>
      <x:c r="E84" s="97" t="str"/>
      <x:c r="F84" s="97" t="str"/>
    </x:row>
    <x:row r="85">
      <x:c r="A85" s="97" t="str">
        <x:v>F084</x:v>
      </x:c>
      <x:c r="B85" s="97" t="str">
        <x:v>I160</x:v>
      </x:c>
      <x:c r="C85" s="97" t="str"/>
      <x:c r="D85" s="97" t="str">
        <x:v>I148</x:v>
      </x:c>
      <x:c r="E85" s="97" t="str"/>
      <x:c r="F85" s="97" t="str"/>
    </x:row>
    <x:row r="86">
      <x:c r="A86" s="97" t="str">
        <x:v>F085</x:v>
      </x:c>
      <x:c r="B86" s="97" t="str">
        <x:v>I161</x:v>
      </x:c>
      <x:c r="C86" s="97" t="str">
        <x:v>I162</x:v>
      </x:c>
      <x:c r="D86" s="97" t="str">
        <x:v>I154</x:v>
      </x:c>
      <x:c r="E86" s="97" t="str"/>
      <x:c r="F86" s="97" t="str"/>
    </x:row>
    <x:row r="87">
      <x:c r="A87" s="97" t="str">
        <x:v>F086</x:v>
      </x:c>
      <x:c r="B87" s="97" t="str">
        <x:v>I163</x:v>
      </x:c>
      <x:c r="C87" s="97" t="str"/>
      <x:c r="D87" s="97" t="str">
        <x:v>I155</x:v>
      </x:c>
      <x:c r="E87" s="97" t="str"/>
      <x:c r="F87" s="97" t="str"/>
    </x:row>
    <x:row r="88">
      <x:c r="A88" s="97" t="str">
        <x:v>F087</x:v>
      </x:c>
      <x:c r="B88" s="97" t="str">
        <x:v>I164</x:v>
      </x:c>
      <x:c r="C88" s="97" t="str">
        <x:v>I165</x:v>
      </x:c>
      <x:c r="D88" s="97" t="str">
        <x:v>I161</x:v>
      </x:c>
      <x:c r="E88" s="97" t="str"/>
      <x:c r="F88" s="97" t="str"/>
    </x:row>
    <x:row r="89">
      <x:c r="A89" s="97" t="str">
        <x:v>F088</x:v>
      </x:c>
      <x:c r="B89" s="97" t="str">
        <x:v>I166</x:v>
      </x:c>
      <x:c r="C89" s="97" t="str">
        <x:v>I167</x:v>
      </x:c>
      <x:c r="D89" s="97" t="str">
        <x:v>I164</x:v>
      </x:c>
      <x:c r="E89" s="97" t="str"/>
      <x:c r="F89" s="97" t="str"/>
    </x:row>
    <x:row r="90">
      <x:c r="A90" s="97" t="str">
        <x:v>F089</x:v>
      </x:c>
      <x:c r="B90" s="97" t="str">
        <x:v>I168</x:v>
      </x:c>
      <x:c r="C90" s="97" t="str">
        <x:v>I169</x:v>
      </x:c>
      <x:c r="D90" s="97" t="str">
        <x:v>I165</x:v>
      </x:c>
      <x:c r="E90" s="97" t="str"/>
      <x:c r="F90" s="97" t="str"/>
    </x:row>
    <x:row r="91">
      <x:c r="A91" s="97" t="str">
        <x:v>F090</x:v>
      </x:c>
      <x:c r="B91" s="97" t="str">
        <x:v>I170</x:v>
      </x:c>
      <x:c r="C91" s="97" t="str">
        <x:v>I171</x:v>
      </x:c>
      <x:c r="D91" s="97" t="str">
        <x:v>I167</x:v>
      </x:c>
      <x:c r="E91" s="97" t="str"/>
      <x:c r="F91" s="97" t="str"/>
    </x:row>
    <x:row r="92">
      <x:c r="A92" s="97" t="str">
        <x:v>F091</x:v>
      </x:c>
      <x:c r="B92" s="97" t="str">
        <x:v>I172</x:v>
      </x:c>
      <x:c r="C92" s="97" t="str">
        <x:v>I173</x:v>
      </x:c>
      <x:c r="D92" s="97" t="str">
        <x:v>I166</x:v>
      </x:c>
      <x:c r="E92" s="97" t="str"/>
      <x:c r="F92" s="97" t="str"/>
    </x:row>
    <x:row r="93">
      <x:c r="A93" s="97" t="str">
        <x:v>F092</x:v>
      </x:c>
      <x:c r="B93" s="97" t="str">
        <x:v>I174</x:v>
      </x:c>
      <x:c r="C93" s="97" t="str"/>
      <x:c r="D93" s="97" t="str">
        <x:v>I169</x:v>
      </x:c>
      <x:c r="E93" s="97" t="str"/>
      <x:c r="F93" s="97" t="str"/>
    </x:row>
    <x:row r="94">
      <x:c r="A94" s="97" t="str">
        <x:v>F093</x:v>
      </x:c>
      <x:c r="B94" s="97" t="str">
        <x:v>I179</x:v>
      </x:c>
      <x:c r="C94" s="97" t="str">
        <x:v>I178</x:v>
      </x:c>
      <x:c r="D94" s="97" t="str">
        <x:v>I180;I181;I182</x:v>
      </x:c>
      <x:c r="E94" s="97" t="str">
        <x:v>James is the corrected third child name; earlier draft said Janet.</x:v>
      </x:c>
      <x:c r="F94" s="97" t="str"/>
    </x:row>
    <x:row r="95">
      <x:c r="A95" s="97" t="str">
        <x:v>F094</x:v>
      </x:c>
      <x:c r="B95" s="97" t="str">
        <x:v>I184</x:v>
      </x:c>
      <x:c r="C95" s="97" t="str">
        <x:v>I183</x:v>
      </x:c>
      <x:c r="D95" s="97" t="str">
        <x:v>I185;I187;I189;I191</x:v>
      </x:c>
      <x:c r="E95" s="97" t="str"/>
      <x:c r="F95" s="97" t="str"/>
    </x:row>
    <x:row r="96">
      <x:c r="A96" s="97" t="str">
        <x:v>F095</x:v>
      </x:c>
      <x:c r="B96" s="97" t="str">
        <x:v>I176</x:v>
      </x:c>
      <x:c r="C96" s="97" t="str">
        <x:v>I002</x:v>
      </x:c>
      <x:c r="D96" s="97" t="str">
        <x:v>I001;I175</x:v>
      </x:c>
      <x:c r="E96" s="97" t="str">
        <x:v>Jan is Fredric and Arianna's biological mother; Henry is recorded as their father in the recovered canonical package.</x:v>
      </x:c>
      <x:c r="F96" s="97" t="str">
        <x:v>S28</x:v>
      </x:c>
    </x:row>
    <x:row r="97">
      <x:c r="A97" s="97" t="str">
        <x:v>F096</x:v>
      </x:c>
      <x:c r="B97" s="97" t="str">
        <x:v>I193</x:v>
      </x:c>
      <x:c r="C97" s="97" t="str">
        <x:v>I194</x:v>
      </x:c>
      <x:c r="D97" s="97" t="str">
        <x:v>I195;I197;I199</x:v>
      </x:c>
      <x:c r="E97" s="97" t="str"/>
      <x:c r="F97" s="97" t="str"/>
    </x:row>
    <x:row r="98">
      <x:c r="A98" s="97" t="str">
        <x:v>F097</x:v>
      </x:c>
      <x:c r="B98" s="97" t="str">
        <x:v>I203</x:v>
      </x:c>
      <x:c r="C98" s="97" t="str">
        <x:v>I202</x:v>
      </x:c>
      <x:c r="D98" s="97" t="str">
        <x:v>I204;I205</x:v>
      </x:c>
      <x:c r="E98" s="97" t="str">
        <x:v>Carey is the one and only daughter; Mark is the other child.</x:v>
      </x:c>
      <x:c r="F98" s="97" t="str"/>
    </x:row>
    <x:row r="99">
      <x:c r="A99" s="97" t="str">
        <x:v>F098</x:v>
      </x:c>
      <x:c r="B99" s="97" t="str">
        <x:v>I186</x:v>
      </x:c>
      <x:c r="C99" s="97" t="str">
        <x:v>I185</x:v>
      </x:c>
      <x:c r="D99" s="97" t="str"/>
      <x:c r="E99" s="97" t="str">
        <x:v>Dave and Kathy Werblo</x:v>
      </x:c>
      <x:c r="F99" s="97" t="str"/>
    </x:row>
    <x:row r="100">
      <x:c r="A100" s="97" t="str">
        <x:v>F099</x:v>
      </x:c>
      <x:c r="B100" s="97" t="str">
        <x:v>I187</x:v>
      </x:c>
      <x:c r="C100" s="97" t="str">
        <x:v>I188</x:v>
      </x:c>
      <x:c r="D100" s="97" t="str"/>
      <x:c r="E100" s="97" t="str">
        <x:v>John and Celeste</x:v>
      </x:c>
      <x:c r="F100" s="97" t="str"/>
    </x:row>
    <x:row r="101">
      <x:c r="A101" s="97" t="str">
        <x:v>F100</x:v>
      </x:c>
      <x:c r="B101" s="97" t="str">
        <x:v>I190</x:v>
      </x:c>
      <x:c r="C101" s="97" t="str">
        <x:v>I189</x:v>
      </x:c>
      <x:c r="D101" s="97" t="str"/>
      <x:c r="E101" s="97" t="str">
        <x:v>Gordon and Susan Galbraith</x:v>
      </x:c>
      <x:c r="F101" s="97" t="str"/>
    </x:row>
    <x:row r="102">
      <x:c r="A102" s="97" t="str">
        <x:v>F101</x:v>
      </x:c>
      <x:c r="B102" s="97" t="str">
        <x:v>I192</x:v>
      </x:c>
      <x:c r="C102" s="97" t="str">
        <x:v>I191</x:v>
      </x:c>
      <x:c r="D102" s="97" t="str"/>
      <x:c r="E102" s="97" t="str">
        <x:v>Historical spouse shown in 1998 chart</x:v>
      </x:c>
      <x:c r="F102" s="97" t="str"/>
    </x:row>
    <x:row r="103">
      <x:c r="A103" s="97" t="str">
        <x:v>F102</x:v>
      </x:c>
      <x:c r="B103" s="97" t="str">
        <x:v>I196</x:v>
      </x:c>
      <x:c r="C103" s="97" t="str">
        <x:v>I195</x:v>
      </x:c>
      <x:c r="D103" s="97" t="str"/>
      <x:c r="E103" s="97" t="str">
        <x:v>John and Sandy Hill</x:v>
      </x:c>
      <x:c r="F103" s="97" t="str"/>
    </x:row>
    <x:row r="104">
      <x:c r="A104" s="97" t="str">
        <x:v>F103</x:v>
      </x:c>
      <x:c r="B104" s="97" t="str">
        <x:v>I197</x:v>
      </x:c>
      <x:c r="C104" s="97" t="str">
        <x:v>I198</x:v>
      </x:c>
      <x:c r="D104" s="97" t="str"/>
      <x:c r="E104" s="97" t="str">
        <x:v>Ross and Carrie McCormick</x:v>
      </x:c>
      <x:c r="F104" s="97" t="str"/>
    </x:row>
    <x:row r="105">
      <x:c r="A105" s="97" t="str">
        <x:v>F104</x:v>
      </x:c>
      <x:c r="B105" s="97" t="str">
        <x:v>I200</x:v>
      </x:c>
      <x:c r="C105" s="97" t="str">
        <x:v>I201</x:v>
      </x:c>
      <x:c r="D105" s="97" t="str"/>
      <x:c r="E105" s="97" t="str">
        <x:v>Charles and Judy McCormick</x:v>
      </x:c>
      <x:c r="F105" s="97" t="str"/>
    </x:row>
    <x:row r="106">
      <x:c r="A106" s="97" t="str">
        <x:v>F105</x:v>
      </x:c>
      <x:c r="B106" s="97" t="str">
        <x:v>I207</x:v>
      </x:c>
      <x:c r="C106" s="97" t="str">
        <x:v>I218</x:v>
      </x:c>
      <x:c r="D106" s="97" t="str">
        <x:v>I176;I269</x:v>
      </x:c>
      <x:c r="E106" s="97" t="str">
        <x:v>Collateral relationship merged from the extended-family research package. | Relationship merged from the records-first Vollmer-Marsh research package.</x:v>
      </x:c>
      <x:c r="F106" s="97" t="str">
        <x:v>S26;S27</x:v>
      </x:c>
    </x:row>
    <x:row r="107">
      <x:c r="A107" s="97" t="str">
        <x:v>F106</x:v>
      </x:c>
      <x:c r="B107" s="97" t="str">
        <x:v>I208</x:v>
      </x:c>
      <x:c r="C107" s="97" t="str">
        <x:v>I211</x:v>
      </x:c>
      <x:c r="D107" s="97" t="str">
        <x:v>I207;I270</x:v>
      </x:c>
      <x:c r="E107" s="97" t="str">
        <x:v>Collateral relationship merged from the extended-family research package. | Relationship merged from the records-first Vollmer-Marsh research package.</x:v>
      </x:c>
      <x:c r="F107" s="97" t="str">
        <x:v>S26;S27</x:v>
      </x:c>
    </x:row>
    <x:row r="108">
      <x:c r="A108" s="97" t="str">
        <x:v>F107</x:v>
      </x:c>
      <x:c r="B108" s="97" t="str">
        <x:v>I209</x:v>
      </x:c>
      <x:c r="C108" s="97" t="str">
        <x:v>I210</x:v>
      </x:c>
      <x:c r="D108" s="97" t="str">
        <x:v>I208;I282</x:v>
      </x:c>
      <x:c r="E108" s="97" t="str">
        <x:v>Collateral relationship merged from the extended-family research package. | Relationship merged from the records-first Vollmer-Marsh research package.</x:v>
      </x:c>
      <x:c r="F108" s="97" t="str">
        <x:v>S26;S27</x:v>
      </x:c>
    </x:row>
    <x:row r="109">
      <x:c r="A109" s="97" t="str">
        <x:v>F108</x:v>
      </x:c>
      <x:c r="B109" s="97" t="str">
        <x:v>I212</x:v>
      </x:c>
      <x:c r="C109" s="97" t="str">
        <x:v>I213</x:v>
      </x:c>
      <x:c r="D109" s="97" t="str">
        <x:v>I211</x:v>
      </x:c>
      <x:c r="E109" s="97" t="str">
        <x:v>Relationship merged from the records-first Vollmer-Marsh research package.</x:v>
      </x:c>
      <x:c r="F109" s="97" t="str">
        <x:v>S26</x:v>
      </x:c>
    </x:row>
    <x:row r="110">
      <x:c r="A110" s="97" t="str">
        <x:v>F109</x:v>
      </x:c>
      <x:c r="B110" s="97" t="str">
        <x:v>I214</x:v>
      </x:c>
      <x:c r="C110" s="97" t="str">
        <x:v>I215</x:v>
      </x:c>
      <x:c r="D110" s="97" t="str">
        <x:v>I212</x:v>
      </x:c>
      <x:c r="E110" s="97" t="str">
        <x:v>Relationship merged from the records-first Vollmer-Marsh research package.</x:v>
      </x:c>
      <x:c r="F110" s="97" t="str">
        <x:v>S26</x:v>
      </x:c>
    </x:row>
    <x:row r="111">
      <x:c r="A111" s="97" t="str">
        <x:v>F110</x:v>
      </x:c>
      <x:c r="B111" s="97" t="str">
        <x:v>I216</x:v>
      </x:c>
      <x:c r="C111" s="97" t="str">
        <x:v>I217</x:v>
      </x:c>
      <x:c r="D111" s="97" t="str">
        <x:v>I213</x:v>
      </x:c>
      <x:c r="E111" s="97" t="str">
        <x:v>Relationship merged from the records-first Vollmer-Marsh research package.</x:v>
      </x:c>
      <x:c r="F111" s="97" t="str">
        <x:v>S26</x:v>
      </x:c>
    </x:row>
    <x:row r="112">
      <x:c r="A112" s="97" t="str">
        <x:v>F111</x:v>
      </x:c>
      <x:c r="B112" s="97" t="str">
        <x:v>I219</x:v>
      </x:c>
      <x:c r="C112" s="97" t="str">
        <x:v>I264</x:v>
      </x:c>
      <x:c r="D112" s="97" t="str">
        <x:v>I218;I274;I277</x:v>
      </x:c>
      <x:c r="E112" s="97" t="str">
        <x:v>Collateral relationship merged from the extended-family research package. | Relationship merged from the records-first Vollmer-Marsh research package.</x:v>
      </x:c>
      <x:c r="F112" s="97" t="str">
        <x:v>S26;S27</x:v>
      </x:c>
    </x:row>
    <x:row r="113">
      <x:c r="A113" s="97" t="str">
        <x:v>F112</x:v>
      </x:c>
      <x:c r="B113" s="97" t="str">
        <x:v>I220</x:v>
      </x:c>
      <x:c r="C113" s="97" t="str">
        <x:v>I235</x:v>
      </x:c>
      <x:c r="D113" s="97" t="str">
        <x:v>I219;I283</x:v>
      </x:c>
      <x:c r="E113" s="97" t="str">
        <x:v>Collateral relationship merged from the extended-family research package. | Relationship merged from the records-first Vollmer-Marsh research package.</x:v>
      </x:c>
      <x:c r="F113" s="97" t="str">
        <x:v>S26;S27</x:v>
      </x:c>
    </x:row>
    <x:row r="114">
      <x:c r="A114" s="97" t="str">
        <x:v>F113</x:v>
      </x:c>
      <x:c r="B114" s="97" t="str">
        <x:v>I221</x:v>
      </x:c>
      <x:c r="C114" s="97" t="str">
        <x:v>I222</x:v>
      </x:c>
      <x:c r="D114" s="97" t="str">
        <x:v>I220</x:v>
      </x:c>
      <x:c r="E114" s="97" t="str">
        <x:v>Relationship merged from the records-first Vollmer-Marsh research package.</x:v>
      </x:c>
      <x:c r="F114" s="97" t="str">
        <x:v>S26</x:v>
      </x:c>
    </x:row>
    <x:row r="115">
      <x:c r="A115" s="97" t="str">
        <x:v>F114</x:v>
      </x:c>
      <x:c r="B115" s="97" t="str">
        <x:v>I223</x:v>
      </x:c>
      <x:c r="C115" s="97" t="str">
        <x:v>I224</x:v>
      </x:c>
      <x:c r="D115" s="97" t="str">
        <x:v>I222</x:v>
      </x:c>
      <x:c r="E115" s="97" t="str">
        <x:v>Relationship merged from the records-first Vollmer-Marsh research package.</x:v>
      </x:c>
      <x:c r="F115" s="97" t="str">
        <x:v>S26</x:v>
      </x:c>
    </x:row>
    <x:row r="116">
      <x:c r="A116" s="97" t="str">
        <x:v>F115</x:v>
      </x:c>
      <x:c r="B116" s="97" t="str">
        <x:v>I225</x:v>
      </x:c>
      <x:c r="C116" s="97" t="str">
        <x:v>I226</x:v>
      </x:c>
      <x:c r="D116" s="97" t="str">
        <x:v>I223</x:v>
      </x:c>
      <x:c r="E116" s="97" t="str">
        <x:v>Relationship merged from the records-first Vollmer-Marsh research package.</x:v>
      </x:c>
      <x:c r="F116" s="97" t="str">
        <x:v>S26</x:v>
      </x:c>
    </x:row>
    <x:row r="117">
      <x:c r="A117" s="97" t="str">
        <x:v>F116</x:v>
      </x:c>
      <x:c r="B117" s="97" t="str">
        <x:v>I227</x:v>
      </x:c>
      <x:c r="C117" s="97" t="str">
        <x:v>I228</x:v>
      </x:c>
      <x:c r="D117" s="97" t="str">
        <x:v>I225</x:v>
      </x:c>
      <x:c r="E117" s="97" t="str">
        <x:v>Relationship merged from the records-first Vollmer-Marsh research package.</x:v>
      </x:c>
      <x:c r="F117" s="97" t="str">
        <x:v>S26</x:v>
      </x:c>
    </x:row>
    <x:row r="118">
      <x:c r="A118" s="97" t="str">
        <x:v>F117</x:v>
      </x:c>
      <x:c r="B118" s="97" t="str">
        <x:v>I229</x:v>
      </x:c>
      <x:c r="C118" s="97" t="str">
        <x:v>I230</x:v>
      </x:c>
      <x:c r="D118" s="97" t="str">
        <x:v>I227</x:v>
      </x:c>
      <x:c r="E118" s="97" t="str">
        <x:v>Relationship merged from the records-first Vollmer-Marsh research package.</x:v>
      </x:c>
      <x:c r="F118" s="97" t="str">
        <x:v>S26</x:v>
      </x:c>
    </x:row>
    <x:row r="119">
      <x:c r="A119" s="97" t="str">
        <x:v>F118</x:v>
      </x:c>
      <x:c r="B119" s="97" t="str">
        <x:v>I231</x:v>
      </x:c>
      <x:c r="C119" s="97" t="str">
        <x:v>I232</x:v>
      </x:c>
      <x:c r="D119" s="97" t="str">
        <x:v>I228</x:v>
      </x:c>
      <x:c r="E119" s="97" t="str">
        <x:v>Relationship merged from the records-first Vollmer-Marsh research package.</x:v>
      </x:c>
      <x:c r="F119" s="97" t="str">
        <x:v>S26</x:v>
      </x:c>
    </x:row>
    <x:row r="120">
      <x:c r="A120" s="97" t="str">
        <x:v>F119</x:v>
      </x:c>
      <x:c r="B120" s="97" t="str">
        <x:v>I233</x:v>
      </x:c>
      <x:c r="C120" s="97" t="str">
        <x:v>I234</x:v>
      </x:c>
      <x:c r="D120" s="97" t="str">
        <x:v>I229</x:v>
      </x:c>
      <x:c r="E120" s="97" t="str">
        <x:v>Relationship merged from the records-first Vollmer-Marsh research package.</x:v>
      </x:c>
      <x:c r="F120" s="97" t="str">
        <x:v>S26</x:v>
      </x:c>
    </x:row>
    <x:row r="121">
      <x:c r="A121" s="97" t="str">
        <x:v>F120</x:v>
      </x:c>
      <x:c r="B121" s="97" t="str">
        <x:v>I236</x:v>
      </x:c>
      <x:c r="C121" s="97" t="str">
        <x:v>I238</x:v>
      </x:c>
      <x:c r="D121" s="97" t="str">
        <x:v>I235</x:v>
      </x:c>
      <x:c r="E121" s="97" t="str">
        <x:v>Relationship merged from the records-first Vollmer-Marsh research package.</x:v>
      </x:c>
      <x:c r="F121" s="97" t="str">
        <x:v>S26</x:v>
      </x:c>
    </x:row>
    <x:row r="122">
      <x:c r="A122" s="97" t="str">
        <x:v>F121</x:v>
      </x:c>
      <x:c r="B122" s="97" t="str">
        <x:v>I237</x:v>
      </x:c>
      <x:c r="C122" s="97" t="str"/>
      <x:c r="D122" s="97" t="str">
        <x:v>I236</x:v>
      </x:c>
      <x:c r="E122" s="97" t="str">
        <x:v>Relationship merged from the records-first Vollmer-Marsh research package.</x:v>
      </x:c>
      <x:c r="F122" s="97" t="str">
        <x:v>S26</x:v>
      </x:c>
    </x:row>
    <x:row r="123">
      <x:c r="A123" s="97" t="str">
        <x:v>F122</x:v>
      </x:c>
      <x:c r="B123" s="97" t="str">
        <x:v>I239</x:v>
      </x:c>
      <x:c r="C123" s="97" t="str">
        <x:v>I240</x:v>
      </x:c>
      <x:c r="D123" s="97" t="str">
        <x:v>I238</x:v>
      </x:c>
      <x:c r="E123" s="97" t="str">
        <x:v>Relationship merged from the records-first Vollmer-Marsh research package.</x:v>
      </x:c>
      <x:c r="F123" s="97" t="str">
        <x:v>S26</x:v>
      </x:c>
    </x:row>
    <x:row r="124">
      <x:c r="A124" s="97" t="str">
        <x:v>F123</x:v>
      </x:c>
      <x:c r="B124" s="97" t="str">
        <x:v>I241</x:v>
      </x:c>
      <x:c r="C124" s="97" t="str">
        <x:v>I242</x:v>
      </x:c>
      <x:c r="D124" s="97" t="str">
        <x:v>I239</x:v>
      </x:c>
      <x:c r="E124" s="97" t="str">
        <x:v>Relationship merged from the records-first Vollmer-Marsh research package.</x:v>
      </x:c>
      <x:c r="F124" s="97" t="str">
        <x:v>S26</x:v>
      </x:c>
    </x:row>
    <x:row r="125">
      <x:c r="A125" s="97" t="str">
        <x:v>F124</x:v>
      </x:c>
      <x:c r="B125" s="97" t="str">
        <x:v>I243</x:v>
      </x:c>
      <x:c r="C125" s="97" t="str">
        <x:v>I244</x:v>
      </x:c>
      <x:c r="D125" s="97" t="str">
        <x:v>I240</x:v>
      </x:c>
      <x:c r="E125" s="97" t="str">
        <x:v>Relationship merged from the records-first Vollmer-Marsh research package.</x:v>
      </x:c>
      <x:c r="F125" s="97" t="str">
        <x:v>S26</x:v>
      </x:c>
    </x:row>
    <x:row r="126">
      <x:c r="A126" s="97" t="str">
        <x:v>F125</x:v>
      </x:c>
      <x:c r="B126" s="97" t="str">
        <x:v>I245</x:v>
      </x:c>
      <x:c r="C126" s="97" t="str">
        <x:v>I246</x:v>
      </x:c>
      <x:c r="D126" s="97" t="str">
        <x:v>I241</x:v>
      </x:c>
      <x:c r="E126" s="97" t="str">
        <x:v>Relationship merged from the records-first Vollmer-Marsh research package.</x:v>
      </x:c>
      <x:c r="F126" s="97" t="str">
        <x:v>S26</x:v>
      </x:c>
    </x:row>
    <x:row r="127">
      <x:c r="A127" s="97" t="str">
        <x:v>F126</x:v>
      </x:c>
      <x:c r="B127" s="97" t="str">
        <x:v>I247</x:v>
      </x:c>
      <x:c r="C127" s="97" t="str">
        <x:v>I248</x:v>
      </x:c>
      <x:c r="D127" s="97" t="str">
        <x:v>I245</x:v>
      </x:c>
      <x:c r="E127" s="97" t="str">
        <x:v>Relationship merged from the records-first Vollmer-Marsh research package.</x:v>
      </x:c>
      <x:c r="F127" s="97" t="str">
        <x:v>S26</x:v>
      </x:c>
    </x:row>
    <x:row r="128">
      <x:c r="A128" s="97" t="str">
        <x:v>F127</x:v>
      </x:c>
      <x:c r="B128" s="97" t="str">
        <x:v>I249</x:v>
      </x:c>
      <x:c r="C128" s="97" t="str">
        <x:v>I250</x:v>
      </x:c>
      <x:c r="D128" s="97" t="str">
        <x:v>I246</x:v>
      </x:c>
      <x:c r="E128" s="97" t="str">
        <x:v>Relationship merged from the records-first Vollmer-Marsh research package.</x:v>
      </x:c>
      <x:c r="F128" s="97" t="str">
        <x:v>S26</x:v>
      </x:c>
    </x:row>
    <x:row r="129">
      <x:c r="A129" s="97" t="str">
        <x:v>F128</x:v>
      </x:c>
      <x:c r="B129" s="97" t="str">
        <x:v>I252</x:v>
      </x:c>
      <x:c r="C129" s="97" t="str">
        <x:v>I253</x:v>
      </x:c>
      <x:c r="D129" s="97" t="str">
        <x:v>I247</x:v>
      </x:c>
      <x:c r="E129" s="97" t="str">
        <x:v>Relationship merged from the records-first Vollmer-Marsh research package.</x:v>
      </x:c>
      <x:c r="F129" s="97" t="str">
        <x:v>S26</x:v>
      </x:c>
    </x:row>
    <x:row r="130">
      <x:c r="A130" s="97" t="str">
        <x:v>F129</x:v>
      </x:c>
      <x:c r="B130" s="97" t="str">
        <x:v>I251</x:v>
      </x:c>
      <x:c r="C130" s="97" t="str">
        <x:v>I254</x:v>
      </x:c>
      <x:c r="D130" s="97" t="str">
        <x:v>I248</x:v>
      </x:c>
      <x:c r="E130" s="97" t="str">
        <x:v>Relationship merged from the records-first Vollmer-Marsh research package.</x:v>
      </x:c>
      <x:c r="F130" s="97" t="str">
        <x:v>S26</x:v>
      </x:c>
    </x:row>
    <x:row r="131">
      <x:c r="A131" s="97" t="str">
        <x:v>F130</x:v>
      </x:c>
      <x:c r="B131" s="97" t="str">
        <x:v>I258</x:v>
      </x:c>
      <x:c r="C131" s="97" t="str">
        <x:v>I259</x:v>
      </x:c>
      <x:c r="D131" s="97" t="str">
        <x:v>I249</x:v>
      </x:c>
      <x:c r="E131" s="97" t="str">
        <x:v>Relationship merged from the records-first Vollmer-Marsh research package.</x:v>
      </x:c>
      <x:c r="F131" s="97" t="str">
        <x:v>S26</x:v>
      </x:c>
    </x:row>
    <x:row r="132">
      <x:c r="A132" s="97" t="str">
        <x:v>F131</x:v>
      </x:c>
      <x:c r="B132" s="97" t="str">
        <x:v>I260</x:v>
      </x:c>
      <x:c r="C132" s="97" t="str">
        <x:v>I261</x:v>
      </x:c>
      <x:c r="D132" s="97" t="str">
        <x:v>I250</x:v>
      </x:c>
      <x:c r="E132" s="97" t="str">
        <x:v>Relationship merged from the records-first Vollmer-Marsh research package.</x:v>
      </x:c>
      <x:c r="F132" s="97" t="str">
        <x:v>S26</x:v>
      </x:c>
    </x:row>
    <x:row r="133">
      <x:c r="A133" s="97" t="str">
        <x:v>F132</x:v>
      </x:c>
      <x:c r="B133" s="97" t="str">
        <x:v>I255</x:v>
      </x:c>
      <x:c r="C133" s="97" t="str">
        <x:v>I256</x:v>
      </x:c>
      <x:c r="D133" s="97" t="str">
        <x:v>I251</x:v>
      </x:c>
      <x:c r="E133" s="97" t="str">
        <x:v>Relationship merged from the records-first Vollmer-Marsh research package.</x:v>
      </x:c>
      <x:c r="F133" s="97" t="str">
        <x:v>S26</x:v>
      </x:c>
    </x:row>
    <x:row r="134">
      <x:c r="A134" s="97" t="str">
        <x:v>F133</x:v>
      </x:c>
      <x:c r="B134" s="97" t="str">
        <x:v>I257</x:v>
      </x:c>
      <x:c r="C134" s="97" t="str"/>
      <x:c r="D134" s="97" t="str">
        <x:v>I254</x:v>
      </x:c>
      <x:c r="E134" s="97" t="str">
        <x:v>Relationship merged from the records-first Vollmer-Marsh research package.</x:v>
      </x:c>
      <x:c r="F134" s="97" t="str">
        <x:v>S26</x:v>
      </x:c>
    </x:row>
    <x:row r="135">
      <x:c r="A135" s="97" t="str">
        <x:v>F134</x:v>
      </x:c>
      <x:c r="B135" s="97" t="str">
        <x:v>I262</x:v>
      </x:c>
      <x:c r="C135" s="97" t="str">
        <x:v>I263</x:v>
      </x:c>
      <x:c r="D135" s="97" t="str">
        <x:v>I261</x:v>
      </x:c>
      <x:c r="E135" s="97" t="str">
        <x:v>Relationship merged from the records-first Vollmer-Marsh research package.</x:v>
      </x:c>
      <x:c r="F135" s="97" t="str">
        <x:v>S26</x:v>
      </x:c>
    </x:row>
    <x:row r="136">
      <x:c r="A136" s="97" t="str">
        <x:v>F135</x:v>
      </x:c>
      <x:c r="B136" s="97" t="str">
        <x:v>I265</x:v>
      </x:c>
      <x:c r="C136" s="97" t="str">
        <x:v>I268</x:v>
      </x:c>
      <x:c r="D136" s="97" t="str">
        <x:v>I264;I284;I285;I294</x:v>
      </x:c>
      <x:c r="E136" s="97" t="str">
        <x:v>Collateral relationship merged from the extended-family research package. | Relationship merged from the records-first Vollmer-Marsh research package.</x:v>
      </x:c>
      <x:c r="F136" s="97" t="str">
        <x:v>S26;S27</x:v>
      </x:c>
    </x:row>
    <x:row r="137">
      <x:c r="A137" s="97" t="str">
        <x:v>F136</x:v>
      </x:c>
      <x:c r="B137" s="97" t="str">
        <x:v>I266</x:v>
      </x:c>
      <x:c r="C137" s="97" t="str">
        <x:v>I267</x:v>
      </x:c>
      <x:c r="D137" s="97" t="str">
        <x:v>I265</x:v>
      </x:c>
      <x:c r="E137" s="97" t="str">
        <x:v>Relationship merged from the records-first Vollmer-Marsh research package.</x:v>
      </x:c>
      <x:c r="F137" s="97" t="str">
        <x:v>S26</x:v>
      </x:c>
    </x:row>
    <x:row r="138">
      <x:c r="A138" s="97" t="str">
        <x:v>F137</x:v>
      </x:c>
      <x:c r="B138" s="97" t="str">
        <x:v>I271</x:v>
      </x:c>
      <x:c r="C138" s="97" t="str">
        <x:v>I270</x:v>
      </x:c>
      <x:c r="D138" s="97" t="str">
        <x:v>I272;I273</x:v>
      </x:c>
      <x:c r="E138" s="97" t="str">
        <x:v>Collateral relationship merged from the extended-family research package.</x:v>
      </x:c>
      <x:c r="F138" s="97" t="str">
        <x:v>S27</x:v>
      </x:c>
    </x:row>
    <x:row r="139">
      <x:c r="A139" s="97" t="str">
        <x:v>F138</x:v>
      </x:c>
      <x:c r="B139" s="97" t="str">
        <x:v>I275</x:v>
      </x:c>
      <x:c r="C139" s="97" t="str">
        <x:v>I274</x:v>
      </x:c>
      <x:c r="D139" s="97" t="str">
        <x:v>I276</x:v>
      </x:c>
      <x:c r="E139" s="97" t="str">
        <x:v>Collateral relationship merged from the extended-family research package.</x:v>
      </x:c>
      <x:c r="F139" s="97" t="str">
        <x:v>S27</x:v>
      </x:c>
    </x:row>
    <x:row r="140">
      <x:c r="A140" s="97" t="str">
        <x:v>F139</x:v>
      </x:c>
      <x:c r="B140" s="97" t="str">
        <x:v>I277</x:v>
      </x:c>
      <x:c r="C140" s="97" t="str">
        <x:v>I278</x:v>
      </x:c>
      <x:c r="D140" s="97" t="str">
        <x:v>I279;I280;I281</x:v>
      </x:c>
      <x:c r="E140" s="97" t="str">
        <x:v>Collateral relationship merged from the extended-family research package.</x:v>
      </x:c>
      <x:c r="F140" s="97" t="str">
        <x:v>S27</x:v>
      </x:c>
    </x:row>
    <x:row r="141">
      <x:c r="A141" s="97" t="str">
        <x:v>F140</x:v>
      </x:c>
      <x:c r="B141" s="97" t="str">
        <x:v>I286</x:v>
      </x:c>
      <x:c r="C141" s="97" t="str">
        <x:v>I285</x:v>
      </x:c>
      <x:c r="D141" s="97" t="str">
        <x:v>I287;I288;I289;I290;I291;I292;I293</x:v>
      </x:c>
      <x:c r="E141" s="97" t="str">
        <x:v>Collateral relationship merged from the extended-family research package.</x:v>
      </x:c>
      <x:c r="F141" s="97" t="str">
        <x:v>S27</x:v>
      </x:c>
    </x:row>
    <x:row r="142">
      <x:c r="A142" s="97" t="str">
        <x:v>F141</x:v>
      </x:c>
      <x:c r="B142" s="97" t="str">
        <x:v>I315</x:v>
      </x:c>
      <x:c r="C142" s="97" t="str">
        <x:v>I316</x:v>
      </x:c>
      <x:c r="D142" s="97" t="str">
        <x:v>I317</x:v>
      </x:c>
      <x:c r="E142" s="97" t="str">
        <x:v>Collateral relationship merged from the extended-family research package.</x:v>
      </x:c>
      <x:c r="F142" s="97" t="str">
        <x:v>S27</x:v>
      </x:c>
    </x:row>
    <x:row r="143">
      <x:c r="A143" s="97" t="str">
        <x:v>F142</x:v>
      </x:c>
      <x:c r="B143" s="97" t="str">
        <x:v>I321</x:v>
      </x:c>
      <x:c r="C143" s="97" t="str">
        <x:v>I320</x:v>
      </x:c>
      <x:c r="D143" s="97" t="str">
        <x:v>I322;I323</x:v>
      </x:c>
      <x:c r="E143" s="97" t="str">
        <x:v>Collateral relationship merged from the extended-family research package.</x:v>
      </x:c>
      <x:c r="F143" s="97" t="str">
        <x:v>S27</x:v>
      </x:c>
    </x:row>
    <x:row r="144">
      <x:c r="A144" s="97" t="str">
        <x:v>F143</x:v>
      </x:c>
      <x:c r="B144" s="97" t="str">
        <x:v>I329</x:v>
      </x:c>
      <x:c r="C144" s="97" t="str">
        <x:v>I330</x:v>
      </x:c>
      <x:c r="D144" s="97" t="str">
        <x:v>I331</x:v>
      </x:c>
      <x:c r="E144" s="97" t="str">
        <x:v>Collateral relationship merged from the extended-family research package.</x:v>
      </x:c>
      <x:c r="F144" s="97" t="str">
        <x:v>S27</x:v>
      </x:c>
    </x:row>
    <x:row r="145">
      <x:c r="A145" s="97" t="str">
        <x:v>F144</x:v>
      </x:c>
      <x:c r="B145" s="97" t="str"/>
      <x:c r="C145" s="97" t="str">
        <x:v>I334</x:v>
      </x:c>
      <x:c r="D145" s="97" t="str">
        <x:v>I335</x:v>
      </x:c>
      <x:c r="E145" s="97" t="str">
        <x:v>Chris's father was not confirmed and is intentionally omitted.</x:v>
      </x:c>
      <x:c r="F145" s="97" t="str">
        <x:v>S28</x:v>
      </x:c>
    </x:row>
  </x:sheetData>
  <x:pageMargins left="0.7" right="0.7" top="0.75" bottom="0.75" header="0.3" footer="0.3"/>
  <x:tableParts count="1">
    <x:tablePart xmlns:r="http://schemas.openxmlformats.org/officeDocument/2006/relationships" r:id="R814fb72d9ad448e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and Chris Vollmer</x:v>
      </x:c>
      <x:c r="C29" s="97" t="str">
        <x:v>Fredric Muller Vollmer</x:v>
      </x:c>
      <x:c r="D29" s="97" t="str">
        <x:v>1 SEP 2026</x:v>
      </x:c>
      <x:c r="E29" s="97" t="str">
        <x:v>Jan is Fredric's biological mother; Mary Alice is Chris Vollmer's mother; Jan is Chris's stepmother. Chris's father was not stated.</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RECORD-1648-06-15_deborah-hopkins_birth-register</x:v>
      </x:c>
      <x:c r="B32" s="97" t="str">
        <x:v>1648-06-15_deborah-hopkins_birth-register.jpg</x:v>
      </x:c>
      <x:c r="C32" s="97" t="str"/>
      <x:c r="D32" s="97" t="str"/>
      <x:c r="E32" s="97" t="str">
        <x:v>4e6dd607655f9c2b251e3974596d63276178e76761116b370a8b16e0219f3f98</x:v>
      </x:c>
      <x:c r="F32" s="97" t="str">
        <x:v>preserved original or derivative record</x:v>
      </x:c>
    </x:row>
    <x:row r="33">
      <x:c r="A33" s="97" t="str">
        <x:v>RECORD-1667-02-05_ephraim-doane_mary-knowles_marriage-register</x:v>
      </x:c>
      <x:c r="B33" s="97" t="str">
        <x:v>1667-02-05_ephraim-doane_mary-knowles_marriage-register.jpg</x:v>
      </x:c>
      <x:c r="C33" s="97" t="str"/>
      <x:c r="D33" s="97" t="str"/>
      <x:c r="E33" s="97" t="str">
        <x:v>89ae0910e197b39bd902ca52685d144ab55193a340c5e6d3dbeb15a811487faa</x:v>
      </x:c>
      <x:c r="F33" s="97" t="str">
        <x:v>preserved original or derivative record</x:v>
      </x:c>
    </x:row>
    <x:row r="34">
      <x:c r="A34" s="97" t="str">
        <x:v>RECORD-1682-02-04_joshua-cook_birth-register</x:v>
      </x:c>
      <x:c r="B34" s="97" t="str">
        <x:v>1682-02-04_joshua-cook_birth-register.jpg</x:v>
      </x:c>
      <x:c r="C34" s="97" t="str"/>
      <x:c r="D34" s="97" t="str"/>
      <x:c r="E34" s="97" t="str">
        <x:v>726be1a255bf2abe13e2cdc2d149bcddf7dfb1702c466ab4e215d38133e9ea46</x:v>
      </x:c>
      <x:c r="F34" s="97" t="str">
        <x:v>preserved original or derivative record</x:v>
      </x:c>
    </x:row>
    <x:row r="35">
      <x:c r="A35" s="97" t="str">
        <x:v>RECORD-1682-04_patience-doane_birth-register</x:v>
      </x:c>
      <x:c r="B35" s="97" t="str">
        <x:v>1682-04_patience-doane_birth-register.jpg</x:v>
      </x:c>
      <x:c r="C35" s="97" t="str"/>
      <x:c r="D35" s="97" t="str"/>
      <x:c r="E35" s="97" t="str">
        <x:v>c754af467f7252cd6952af7bc5948ce2ca5f77fdb7c7e60a6941088448c32e4a</x:v>
      </x:c>
      <x:c r="F35" s="97" t="str">
        <x:v>preserved original or derivative record</x:v>
      </x:c>
    </x:row>
    <x:row r="36">
      <x:c r="A36" s="97" t="str">
        <x:v>RECORD-1696_joshua-lane_birth-record</x:v>
      </x:c>
      <x:c r="B36" s="97" t="str">
        <x:v>1696_joshua-lane_birth-record.jpg</x:v>
      </x:c>
      <x:c r="C36" s="97" t="str"/>
      <x:c r="D36" s="97" t="str"/>
      <x:c r="E36" s="97" t="str">
        <x:v>23c17bccf0b93d5ca970ddc6458dc14f264e129c5650c13a9e613dc57e94371e</x:v>
      </x:c>
      <x:c r="F36" s="97" t="str">
        <x:v>preserved original or derivative record</x:v>
      </x:c>
    </x:row>
    <x:row r="37">
      <x:c r="A37" s="97" t="str">
        <x:v>RECORD-1717_joshua-lane_bathsheba-robie_marriage-record</x:v>
      </x:c>
      <x:c r="B37" s="97" t="str">
        <x:v>1717_joshua-lane_bathsheba-robie_marriage-record.jpg</x:v>
      </x:c>
      <x:c r="C37" s="97" t="str"/>
      <x:c r="D37" s="97" t="str"/>
      <x:c r="E37" s="97" t="str">
        <x:v>15e63b00090b98e21bb4ae4d28cc0d2a620bbe75946c63efe681f5b512fb6b9c</x:v>
      </x:c>
      <x:c r="F37" s="97" t="str">
        <x:v>preserved original or derivative record</x:v>
      </x:c>
    </x:row>
    <x:row r="38">
      <x:c r="A38" s="97" t="str">
        <x:v>RECORD-1718_samuel-lane_birth-record</x:v>
      </x:c>
      <x:c r="B38" s="97" t="str">
        <x:v>1718_samuel-lane_birth-record.jpg</x:v>
      </x:c>
      <x:c r="C38" s="97" t="str"/>
      <x:c r="D38" s="97" t="str"/>
      <x:c r="E38" s="97" t="str">
        <x:v>0200f2252b3392cf2fa2ecb3d58b9ddef31b998ce5d76ef552bfab2ee7eda016</x:v>
      </x:c>
      <x:c r="F38" s="97" t="str">
        <x:v>preserved original or derivative record</x:v>
      </x:c>
    </x:row>
    <x:row r="39">
      <x:c r="A39" s="97" t="str">
        <x:v>RECORD-1722_mary-james_birth-record</x:v>
      </x:c>
      <x:c r="B39" s="97" t="str">
        <x:v>1722_mary-james_birth-record.jpg</x:v>
      </x:c>
      <x:c r="C39" s="97" t="str"/>
      <x:c r="D39" s="97" t="str"/>
      <x:c r="E39" s="97" t="str">
        <x:v>189899f04cbc5dc801896487041938515771118dabdb1af87ed6662a4f6ffcd9</x:v>
      </x:c>
      <x:c r="F39" s="97" t="str">
        <x:v>preserved original or derivative record</x:v>
      </x:c>
    </x:row>
    <x:row r="40">
      <x:c r="A40" s="97" t="str">
        <x:v>RECORD-1741-12-24_samuel-lane_mary-james_marriage</x:v>
      </x:c>
      <x:c r="B40" s="97" t="str">
        <x:v>1741-12-24_samuel-lane_mary-james_marriage.jpg</x:v>
      </x:c>
      <x:c r="C40" s="97" t="str"/>
      <x:c r="D40" s="97" t="str"/>
      <x:c r="E40" s="97" t="str">
        <x:v>fd6d017aaaa9f3c51bd77b7c6a0a007e08a6b28b3eacd4323314c75ced5f61b4</x:v>
      </x:c>
      <x:c r="F40" s="97" t="str">
        <x:v>preserved original or derivative record</x:v>
      </x:c>
    </x:row>
    <x:row r="41">
      <x:c r="A41" s="97" t="str">
        <x:v>RECORD-1748-02-09_joshua-lane_nh-birth</x:v>
      </x:c>
      <x:c r="B41" s="97" t="str">
        <x:v>1748-02-09_joshua-lane_nh-birth.jpg</x:v>
      </x:c>
      <x:c r="C41" s="97" t="str"/>
      <x:c r="D41" s="97" t="str"/>
      <x:c r="E41" s="97" t="str">
        <x:v>8b75cc1094090d59c00e82213eddedaf9393a4953d2ae2703bcc6fafbe5fa72b</x:v>
      </x:c>
      <x:c r="F41" s="97" t="str">
        <x:v>preserved original or derivative record</x:v>
      </x:c>
    </x:row>
    <x:row r="42">
      <x:c r="A42" s="97" t="str">
        <x:v>RECORD-1769-11-15_joshua-lane_hannah-tilton_marriage</x:v>
      </x:c>
      <x:c r="B42" s="97" t="str">
        <x:v>1769-11-15_joshua-lane_hannah-tilton_marriage.jpg</x:v>
      </x:c>
      <x:c r="C42" s="97" t="str"/>
      <x:c r="D42" s="97" t="str"/>
      <x:c r="E42" s="97" t="str">
        <x:v>9d1f204134ed96a42e5c7ddfe10e1265e03ae8c7af976cc6723f3836c6037d3e</x:v>
      </x:c>
      <x:c r="F42" s="97" t="str">
        <x:v>preserved original or derivative record</x:v>
      </x:c>
    </x:row>
    <x:row r="43">
      <x:c r="A43" s="97" t="str">
        <x:v>RECORD-1771-12-08_stephen-lane_nh-birth</x:v>
      </x:c>
      <x:c r="B43" s="97" t="str">
        <x:v>1771-12-08_stephen-lane_nh-birth.jpg</x:v>
      </x:c>
      <x:c r="C43" s="97" t="str"/>
      <x:c r="D43" s="97" t="str"/>
      <x:c r="E43" s="97" t="str">
        <x:v>4e983a0346e7c1b3d08b50d78c339d06a10d4ba9e23b8d7a2c932aa69343fd72</x:v>
      </x:c>
      <x:c r="F43" s="97" t="str">
        <x:v>preserved original or derivative record</x:v>
      </x:c>
    </x:row>
    <x:row r="44">
      <x:c r="A44" s="97" t="str">
        <x:v>RECORD-1774-02-26_levi-cook_birth-register</x:v>
      </x:c>
      <x:c r="B44" s="97" t="str">
        <x:v>1774-02-26_levi-cook_birth-register.jpg</x:v>
      </x:c>
      <x:c r="C44" s="97" t="str"/>
      <x:c r="D44" s="97" t="str"/>
      <x:c r="E44" s="97" t="str">
        <x:v>da32fa229e920c36321196b78361e9ea6df2ae57d08d34cf81279f9f727c5e26</x:v>
      </x:c>
      <x:c r="F44" s="97" t="str">
        <x:v>preserved original or derivative record</x:v>
      </x:c>
    </x:row>
    <x:row r="45">
      <x:c r="A45" s="97" t="str">
        <x:v>RECORD-1779-01-07_betsey-brown_birth-register</x:v>
      </x:c>
      <x:c r="B45" s="97" t="str">
        <x:v>1779-01-07_betsey-brown_birth-register.jpg</x:v>
      </x:c>
      <x:c r="C45" s="97" t="str"/>
      <x:c r="D45" s="97" t="str"/>
      <x:c r="E45" s="97" t="str">
        <x:v>c43c3675e73e795d5d4ef90d64e64e746f1f9da1cf41ea0f2bbcddd01b50bfba</x:v>
      </x:c>
      <x:c r="F45" s="97" t="str">
        <x:v>preserved original or derivative record</x:v>
      </x:c>
    </x:row>
    <x:row r="46">
      <x:c r="A46" s="97" t="str">
        <x:v>RECORD-1794-07-24_levi-cook_betsey-brown_marriage-register</x:v>
      </x:c>
      <x:c r="B46" s="97" t="str">
        <x:v>1794-07-24_levi-cook_betsey-brown_marriage-register.jpg</x:v>
      </x:c>
      <x:c r="C46" s="97" t="str"/>
      <x:c r="D46" s="97" t="str"/>
      <x:c r="E46" s="97" t="str">
        <x:v>f3faf328a3ca886129787a18975b1c4892c5a5ed6bac9bebe5d6d4eb867f379f</x:v>
      </x:c>
      <x:c r="F46" s="97" t="str">
        <x:v>preserved original or derivative record</x:v>
      </x:c>
    </x:row>
    <x:row r="47">
      <x:c r="A47" s="97" t="str">
        <x:v>RECORD-1797-06-05_stephen-lane_lois-currier_marriage</x:v>
      </x:c>
      <x:c r="B47" s="97" t="str">
        <x:v>1797-06-05_stephen-lane_lois-currier_marriage.jpg</x:v>
      </x:c>
      <x:c r="C47" s="97" t="str"/>
      <x:c r="D47" s="97" t="str"/>
      <x:c r="E47" s="97" t="str">
        <x:v>6dd9495e06654018e796489a805f91471bd33329204c0b5171ee5425a898b280</x:v>
      </x:c>
      <x:c r="F47" s="97" t="str">
        <x:v>preserved original or derivative record</x:v>
      </x:c>
    </x:row>
    <x:row r="48">
      <x:c r="A48" s="97" t="str">
        <x:v>RECORD-1807-02-03_mary-lane_nh-birth-card</x:v>
      </x:c>
      <x:c r="B48" s="97" t="str">
        <x:v>1807-02-03_mary-lane_nh-birth-card.jpg</x:v>
      </x:c>
      <x:c r="C48" s="97" t="str"/>
      <x:c r="D48" s="97" t="str"/>
      <x:c r="E48" s="97" t="str">
        <x:v>54e52adccc86fbb08e9fd36c8ad80efbb130eb34178bf7f4cae9bfe9fae15351</x:v>
      </x:c>
      <x:c r="F48" s="97" t="str">
        <x:v>preserved original or derivative record</x:v>
      </x:c>
    </x:row>
    <x:row r="49">
      <x:c r="A49" s="97" t="str">
        <x:v>RECORD-1840-09-16_stephen-lane_will</x:v>
      </x:c>
      <x:c r="B49" s="97" t="str">
        <x:v>1840-09-16_stephen-lane_will.jpg</x:v>
      </x:c>
      <x:c r="C49" s="97" t="str"/>
      <x:c r="D49" s="97" t="str"/>
      <x:c r="E49" s="97" t="str">
        <x:v>773c3a78efbeac6efc48f53d6d01f7556aade77197bb59cb85265cb67c5b4f99</x:v>
      </x:c>
      <x:c r="F49" s="97" t="str">
        <x:v>preserved original or derivative record</x:v>
      </x:c>
    </x:row>
    <x:row r="50">
      <x:c r="A50" s="97" t="str">
        <x:v>RECORD-1841-05-05_stephen-lane_probate-letters</x:v>
      </x:c>
      <x:c r="B50" s="97" t="str">
        <x:v>1841-05-05_stephen-lane_probate-letters.jpg</x:v>
      </x:c>
      <x:c r="C50" s="97" t="str"/>
      <x:c r="D50" s="97" t="str"/>
      <x:c r="E50" s="97" t="str">
        <x:v>dca2ab0c7608fe5ca72e5d18e3bb9d920173d4535609fca51f115c9de62c2c04</x:v>
      </x:c>
      <x:c r="F50" s="97" t="str">
        <x:v>preserved original or derivative record</x:v>
      </x:c>
    </x:row>
    <x:row r="51">
      <x:c r="A51" s="97" t="str">
        <x:v>RECORD-1846-10-30_levi-cook_will_genesee</x:v>
      </x:c>
      <x:c r="B51" s="97" t="str">
        <x:v>1846-10-30_levi-cook_will_genesee.jpg</x:v>
      </x:c>
      <x:c r="C51" s="97" t="str"/>
      <x:c r="D51" s="97" t="str"/>
      <x:c r="E51" s="97" t="str">
        <x:v>ca99721390ba6f33558e3a0ce805f614dabed6ee6aab6dce762506bf16f00235</x:v>
      </x:c>
      <x:c r="F51" s="97" t="str">
        <x:v>preserved original or derivative record</x:v>
      </x:c>
    </x:row>
    <x:row r="52">
      <x:c r="A52" s="97" t="str">
        <x:v>RECORD-1862_peter-william-mcnaughton_civil-war-town-register</x:v>
      </x:c>
      <x:c r="B52" s="97" t="str">
        <x:v>1862_peter-william-mcnaughton_civil-war-town-register.jpg</x:v>
      </x:c>
      <x:c r="C52" s="97" t="str"/>
      <x:c r="D52" s="97" t="str"/>
      <x:c r="E52" s="97" t="str">
        <x:v>7e767cf4e9ce3792ea381e5dcea992eade9ac9d7e361eae2e6927ed41b52a9b4</x:v>
      </x:c>
      <x:c r="F52" s="97" t="str">
        <x:v>preserved original or derivative record</x:v>
      </x:c>
    </x:row>
    <x:row r="53">
      <x:c r="A53" s="97" t="str">
        <x:v>RECORD-1868_relief-mcnaughton_dependent-pension-numerical-index</x:v>
      </x:c>
      <x:c r="B53" s="97" t="str">
        <x:v>1868_relief-mcnaughton_dependent-pension-numerical-index.jpg</x:v>
      </x:c>
      <x:c r="C53" s="97" t="str"/>
      <x:c r="D53" s="97" t="str"/>
      <x:c r="E53" s="97" t="str">
        <x:v>122349eb44bcbf808eaa9d841bec77cb9b433ff01d7b88dd9f862441a237ed6e</x:v>
      </x:c>
      <x:c r="F53" s="97" t="str">
        <x:v>preserved original or derivative record</x:v>
      </x:c>
    </x:row>
    <x:row r="54">
      <x:c r="A54" s="97" t="str">
        <x:v>RECORD-1882-08-21_henry-vollmer_arrival-main</x:v>
      </x:c>
      <x:c r="B54" s="97" t="str">
        <x:v>1882-08-21_henry-vollmer_arrival-main.jpg</x:v>
      </x:c>
      <x:c r="C54" s="97" t="str"/>
      <x:c r="D54" s="97" t="str"/>
      <x:c r="E54" s="97" t="str">
        <x:v>319186b29241957f4be18e4f2c4d350679c5b0c36f6ee3330ba90a62dbca0b24</x:v>
      </x:c>
      <x:c r="F54" s="97" t="str">
        <x:v>preserved original or derivative record</x:v>
      </x:c>
    </x:row>
    <x:row r="55">
      <x:c r="A55" s="97" t="str">
        <x:v>RECORD-1882-08-21_vollmer-family_arrival-main_page-0289</x:v>
      </x:c>
      <x:c r="B55" s="97" t="str">
        <x:v>1882-08-21_vollmer-family_arrival-main_page-0289.jpg</x:v>
      </x:c>
      <x:c r="C55" s="97" t="str"/>
      <x:c r="D55" s="97" t="str"/>
      <x:c r="E55" s="97" t="str">
        <x:v>747649d753285ae52234547090101c60660612500bc3132a35f57b13a0ce9e11</x:v>
      </x:c>
      <x:c r="F55" s="97" t="str">
        <x:v>preserved original or derivative record</x:v>
      </x:c>
    </x:row>
    <x:row r="56">
      <x:c r="A56" s="97" t="str">
        <x:v>RECORD-1883-08-12_themes-pepper_anna-stelling_marriage-certificate</x:v>
      </x:c>
      <x:c r="B56" s="97" t="str">
        <x:v>1883-08-12_themes-pepper_anna-stelling_marriage-certificate.pdf</x:v>
      </x:c>
      <x:c r="C56" s="97" t="str"/>
      <x:c r="D56" s="97" t="str"/>
      <x:c r="E56" s="97" t="str">
        <x:v>2a89c49df0051c74dbc241741e7b75dbabeff093782428e3a3b82cd002de44bd</x:v>
      </x:c>
      <x:c r="F56" s="97" t="str">
        <x:v>preserved original or derivative record</x:v>
      </x:c>
    </x:row>
    <x:row r="57">
      <x:c r="A57" s="97" t="str">
        <x:v>RECORD-1884-03-14_female-pepper_birth-certificate</x:v>
      </x:c>
      <x:c r="B57" s="97" t="str">
        <x:v>1884-03-14_female-pepper_birth-certificate.pdf</x:v>
      </x:c>
      <x:c r="C57" s="97" t="str"/>
      <x:c r="D57" s="97" t="str"/>
      <x:c r="E57" s="97" t="str">
        <x:v>d457e8478154d51688ddd777101aee2501f89ef8f4515eab0a8cf431076d7180</x:v>
      </x:c>
      <x:c r="F57" s="97" t="str">
        <x:v>preserved original or derivative record</x:v>
      </x:c>
    </x:row>
    <x:row r="58">
      <x:c r="A58" s="97" t="str">
        <x:v>RECORD-1892_henry-vollmer_ny-state-census</x:v>
      </x:c>
      <x:c r="B58" s="97" t="str">
        <x:v>1892_henry-vollmer_ny-state-census.jpg</x:v>
      </x:c>
      <x:c r="C58" s="97" t="str"/>
      <x:c r="D58" s="97" t="str"/>
      <x:c r="E58" s="97" t="str">
        <x:v>480f9a9c4d79a918392467e6ebf758452a8d200ad3692cb7f436a4654d688421</x:v>
      </x:c>
      <x:c r="F58" s="97" t="str">
        <x:v>preserved original or derivative record</x:v>
      </x:c>
    </x:row>
    <x:row r="59">
      <x:c r="A59" s="97" t="str">
        <x:v>RECORD-1896_mary-a-mcnaughton_widow-pension-index</x:v>
      </x:c>
      <x:c r="B59" s="97" t="str">
        <x:v>1896_mary-a-mcnaughton_widow-pension-index.jpg</x:v>
      </x:c>
      <x:c r="C59" s="97" t="str"/>
      <x:c r="D59" s="97" t="str"/>
      <x:c r="E59" s="97" t="str">
        <x:v>14d064d694dc478f36bb570e78e29368a0259693dfb7217c05975c508bd01db8</x:v>
      </x:c>
      <x:c r="F59" s="97" t="str">
        <x:v>preserved original or derivative record</x:v>
      </x:c>
    </x:row>
    <x:row r="60">
      <x:c r="A60" s="97" t="str">
        <x:v>RECORD-1901_mayflower-descendant-vol3_john-doane-will</x:v>
      </x:c>
      <x:c r="B60" s="97" t="str">
        <x:v>1901_mayflower-descendant-vol3_john-doane-will.pdf</x:v>
      </x:c>
      <x:c r="C60" s="97" t="str"/>
      <x:c r="D60" s="97" t="str"/>
      <x:c r="E60" s="97" t="str">
        <x:v>4d7d359130d69d3db9e5ebdec3f22833c097c0e9dad4e5602047f370bd057518</x:v>
      </x:c>
      <x:c r="F60" s="97" t="str">
        <x:v>preserved original or derivative record</x:v>
      </x:c>
    </x:row>
    <x:row r="61">
      <x:c r="A61" s="97" t="str">
        <x:v>RECORD-1904_mayflower-descendant-vol6_eastham-vital-records</x:v>
      </x:c>
      <x:c r="B61" s="97" t="str">
        <x:v>1904_mayflower-descendant-vol6_eastham-vital-records.pdf</x:v>
      </x:c>
      <x:c r="C61" s="97" t="str"/>
      <x:c r="D61" s="97" t="str"/>
      <x:c r="E61" s="97" t="str">
        <x:v>105a13412229bb5489c9e245faa82209405ec7199e5fe371dc17a09d1351ba3a</x:v>
      </x:c>
      <x:c r="F61" s="97" t="str">
        <x:v>preserved original or derivative record</x:v>
      </x:c>
    </x:row>
    <x:row r="62">
      <x:c r="A62" s="97" t="str">
        <x:v>RECORD-1905-08-05_henry-jj-vollmer_marriage-certificate</x:v>
      </x:c>
      <x:c r="B62" s="97" t="str">
        <x:v>1905-08-05_henry-jj-vollmer_marriage-certificate.pdf</x:v>
      </x:c>
      <x:c r="C62" s="97" t="str"/>
      <x:c r="D62" s="97" t="str"/>
      <x:c r="E62" s="97" t="str">
        <x:v>59b537c81462fcba56c9827e5a015dacefafd451442735b8db6a37fcccabe2a9</x:v>
      </x:c>
      <x:c r="F62" s="97" t="str">
        <x:v>preserved original or derivative record</x:v>
      </x:c>
    </x:row>
    <x:row r="63">
      <x:c r="A63" s="97" t="str">
        <x:v>RECORD-1910_frederick-carrie-doris-andrew-marsh_us-census</x:v>
      </x:c>
      <x:c r="B63" s="97" t="str">
        <x:v>1910_frederick-carrie-doris-andrew-marsh_us-census.jpg</x:v>
      </x:c>
      <x:c r="C63" s="97" t="str"/>
      <x:c r="D63" s="97" t="str"/>
      <x:c r="E63" s="97" t="str">
        <x:v>88afa43f7bb90fc8248f9158ccae50b081e820e9e690022c2ec446434ce47bf4</x:v>
      </x:c>
      <x:c r="F63" s="97" t="str">
        <x:v>preserved original or derivative record</x:v>
      </x:c>
    </x:row>
    <x:row r="64">
      <x:c r="A64" s="97" t="str">
        <x:v>RECORD-1910_henry-madie-charles-vollmer_us-census</x:v>
      </x:c>
      <x:c r="B64" s="97" t="str">
        <x:v>1910_henry-madie-charles-vollmer_us-census.jpg</x:v>
      </x:c>
      <x:c r="C64" s="97" t="str"/>
      <x:c r="D64" s="97" t="str"/>
      <x:c r="E64" s="97" t="str">
        <x:v>5506a666f811c403bc06da8594751a45791c6f2f60ec7d61bf02be7d70f5bade</x:v>
      </x:c>
      <x:c r="F64" s="97" t="str">
        <x:v>preserved original or derivative record</x:v>
      </x:c>
    </x:row>
    <x:row r="65">
      <x:c r="A65" s="97" t="str">
        <x:v>RECORD-1917-03-10_frederick-g-vollmer_death-certificate</x:v>
      </x:c>
      <x:c r="B65" s="97" t="str">
        <x:v>1917-03-10_frederick-g-vollmer_death-certificate.pdf</x:v>
      </x:c>
      <x:c r="C65" s="97" t="str"/>
      <x:c r="D65" s="97" t="str"/>
      <x:c r="E65" s="97" t="str">
        <x:v>eb970b4f9f3954c566fe8b3cd5d245162172d247dfc39f93aec396307c88bfc1</x:v>
      </x:c>
      <x:c r="F65" s="97" t="str">
        <x:v>preserved original or derivative record</x:v>
      </x:c>
    </x:row>
    <x:row r="66">
      <x:c r="A66" s="97" t="str">
        <x:v>RECORD-1918_henry-john-joseph-volmer_wwi-draft-card</x:v>
      </x:c>
      <x:c r="B66" s="97" t="str">
        <x:v>1918_henry-john-joseph-volmer_wwi-draft-card.jpg</x:v>
      </x:c>
      <x:c r="C66" s="97" t="str"/>
      <x:c r="D66" s="97" t="str"/>
      <x:c r="E66" s="97" t="str">
        <x:v>6a929ffb761b504b27bc2cdf2f905fc2ea0b7351cd0554fdd8f38256494367f6</x:v>
      </x:c>
      <x:c r="F66" s="97" t="str">
        <x:v>preserved original or derivative record</x:v>
      </x:c>
    </x:row>
    <x:row r="67">
      <x:c r="A67" s="97" t="str">
        <x:v>RECORD-1919-01-03_madie-vollmer_death-certificate</x:v>
      </x:c>
      <x:c r="B67" s="97" t="str">
        <x:v>1919-01-03_madie-vollmer_death-certificate.pdf</x:v>
      </x:c>
      <x:c r="C67" s="97" t="str"/>
      <x:c r="D67" s="97" t="str"/>
      <x:c r="E67" s="97" t="str">
        <x:v>8f8be8c3cb340d5032a2d61e4ed5b578e782c0176054592aee8e48abe1174734</x:v>
      </x:c>
      <x:c r="F67" s="97" t="str">
        <x:v>preserved original or derivative record</x:v>
      </x:c>
    </x:row>
    <x:row r="68">
      <x:c r="A68" s="97" t="str">
        <x:v>RECORD-1919-12-17_mary-mcnaughton_ny-death-index</x:v>
      </x:c>
      <x:c r="B68" s="97" t="str">
        <x:v>1919-12-17_mary-mcnaughton_ny-death-index.jpg</x:v>
      </x:c>
      <x:c r="C68" s="97" t="str"/>
      <x:c r="D68" s="97" t="str"/>
      <x:c r="E68" s="97" t="str">
        <x:v>2ccad7fd75e95b52575500ee7ff48c3285db4b0d6680654727bf58c704044b3d</x:v>
      </x:c>
      <x:c r="F68" s="97" t="str">
        <x:v>preserved original or derivative record</x:v>
      </x:c>
    </x:row>
    <x:row r="69">
      <x:c r="A69" s="97" t="str">
        <x:v>RECORD-1940-10-16_charles-frederick-vollmer_wwii-draft-card</x:v>
      </x:c>
      <x:c r="B69" s="97" t="str">
        <x:v>1940-10-16_charles-frederick-vollmer_wwii-draft-card.jpg</x:v>
      </x:c>
      <x:c r="C69" s="97" t="str"/>
      <x:c r="D69" s="97" t="str"/>
      <x:c r="E69" s="97" t="str">
        <x:v>e755e1f176b897bc6ea96a2ad3bf6697b9634d65f315c438ebefa97638897160</x:v>
      </x:c>
      <x:c r="F69" s="97" t="str">
        <x:v>preserved original or derivative record</x:v>
      </x:c>
    </x:row>
    <x:row r="70">
      <x:c r="A70" s="97" t="str">
        <x:v>RECORD-1940_charles-doris-henry-vollmer_us-census</x:v>
      </x:c>
      <x:c r="B70" s="97" t="str">
        <x:v>1940_charles-doris-henry-vollmer_us-census.jpg</x:v>
      </x:c>
      <x:c r="C70" s="97" t="str"/>
      <x:c r="D70" s="97" t="str"/>
      <x:c r="E70" s="97" t="str">
        <x:v>408d8f6dd3a769e32af16d8cc59f762113000942a482dafa1b9ea01431c71ebb</x:v>
      </x:c>
      <x:c r="F70" s="97" t="str">
        <x:v>preserved original or derivative record</x:v>
      </x:c>
    </x:row>
    <x:row r="71">
      <x:c r="A71" s="97" t="str">
        <x:v>RECORD-giles-hopkins_17th-century-records_pilgrim-hall</x:v>
      </x:c>
      <x:c r="B71" s="97" t="str">
        <x:v>giles-hopkins_17th-century-records_pilgrim-hall.pdf</x:v>
      </x:c>
      <x:c r="C71" s="97" t="str"/>
      <x:c r="D71" s="97" t="str"/>
      <x:c r="E71" s="97" t="str">
        <x:v>1dbca70bd43b7dd62a3e12bc3b9ee230d8baa0dd37b80cc53ab48ec757763e01</x:v>
      </x:c>
      <x:c r="F71" s="97" t="str">
        <x:v>preserved original or derivative record</x:v>
      </x:c>
    </x:row>
    <x:row r="72">
      <x:c r="A72" s="97" t="str">
        <x:v>RECORD-plymouth-colony-records-vol1_1639-marriage</x:v>
      </x:c>
      <x:c r="B72" s="97" t="str">
        <x:v>plymouth-colony-records-vol1_1639-marriage.pdf</x:v>
      </x:c>
      <x:c r="C72" s="97" t="str"/>
      <x:c r="D72" s="97" t="str"/>
      <x:c r="E72" s="97" t="str">
        <x:v>243bba40de735bf7deedf4046c40f190526cb1c5cc891ef97a348248067d6cbd</x:v>
      </x:c>
      <x:c r="F72" s="97" t="str">
        <x:v>preserved original or derivative record</x:v>
      </x:c>
    </x:row>
    <x:row r="73">
      <x:c r="A73" s="97" t="str">
        <x:v>RECORD-relief-mcnaughton_mother-pension-index</x:v>
      </x:c>
      <x:c r="B73" s="97" t="str">
        <x:v>relief-mcnaughton_mother-pension-index.jpg</x:v>
      </x:c>
      <x:c r="C73" s="97" t="str"/>
      <x:c r="D73" s="97" t="str"/>
      <x:c r="E73" s="97" t="str">
        <x:v>4c481d5447084325803d01ea3fb19e1485b4d96fd24cc06c3c83ed32580e90f7</x:v>
      </x:c>
      <x:c r="F73" s="97" t="str">
        <x:v>preserved original or derivative record</x:v>
      </x:c>
    </x:row>
  </x:sheetData>
  <x:pageMargins left="0.7" right="0.7" top="0.75" bottom="0.75" header="0.3" footer="0.3"/>
  <x:tableParts count="1">
    <x:tablePart xmlns:r="http://schemas.openxmlformats.org/officeDocument/2006/relationships" r:id="Ra3fdbc4ba24a4d4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People'!$A$2:$A$309)</x:f>
        <x:v>308</x:v>
      </x:c>
      <x:c r="C5" s="80"/>
      <x:c r="D5" s="94" t="str">
        <x:v>Jan is Fredric's biological mother</x:v>
      </x:c>
      <x:c r="E5" s="95" t="str">
        <x:f>IF(COUNTIF('Consolidated People'!$B$2:$B$309,"Jan Muller Vollmer")=1,"Confirmed","Review")</x:f>
        <x:v>Confirmed</x:v>
      </x:c>
      <x:c r="F5" s="94" t="str">
        <x:v>Biological parent link in GEDCOM family F095</x:v>
      </x:c>
    </x:row>
    <x:row r="6" ht="28" customHeight="1">
      <x:c r="A6" s="89" t="str">
        <x:v>Families</x:v>
      </x:c>
      <x:c r="B6" s="92" t="n">
        <x:f>COUNTA('Consolidated Families'!$A$2:$A$145)</x:f>
        <x:v>144</x:v>
      </x:c>
      <x:c r="C6" s="80"/>
      <x:c r="D6" s="94" t="str">
        <x:v>Mary Alice is Chris Vollmer's mother</x:v>
      </x:c>
      <x:c r="E6" s="95" t="str">
        <x:f>IF(COUNTIF('Consolidated People'!$B$2:$B$309,"Mary Alice")=1,"Confirmed","Review")</x:f>
        <x:v>Confirmed</x:v>
      </x:c>
      <x:c r="F6" s="94" t="str">
        <x:v>Biological parent link retained for Chris</x:v>
      </x:c>
    </x:row>
    <x:row r="7" ht="28" customHeight="1">
      <x:c r="A7" s="89" t="str">
        <x:v>GEDCOM source records</x:v>
      </x:c>
      <x:c r="B7" s="92" t="n">
        <x:f>COUNTA('Consolidated Sources'!$A$2:$A$31)</x:f>
        <x:v>30</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Sources'!$A$2:$A$73)</x:f>
        <x:v>72</x:v>
      </x:c>
      <x:c r="C8" s="80"/>
      <x:c r="D8" s="94" t="str">
        <x:v>Chris's father</x:v>
      </x:c>
      <x:c r="E8" s="94" t="str">
        <x:v>Intentionally blank</x:v>
      </x:c>
      <x:c r="F8" s="94" t="str">
        <x:v>Not inferred from available evidence</x:v>
      </x:c>
    </x:row>
    <x:row r="9" ht="28" customHeight="1">
      <x:c r="A9" s="80"/>
      <x:c r="B9" s="80"/>
      <x:c r="C9" s="80"/>
      <x:c r="D9" s="94" t="str">
        <x:v>Janet Chaffee transcription</x:v>
      </x:c>
      <x:c r="E9" s="94" t="str">
        <x:v>Removed</x:v>
      </x:c>
      <x:c r="F9" s="94" t="str">
        <x:v>Corrected to James Chaffee throughout the consolidated tree</x:v>
      </x:c>
    </x:row>
    <x:row r="10" ht="28" customHeight="1">
      <x:c r="A10" s="80"/>
      <x:c r="B10" s="80"/>
      <x:c r="C10" s="80"/>
      <x:c r="D10" s="80"/>
      <x:c r="E10" s="80"/>
      <x:c r="F10" s="80"/>
    </x:row>
    <x:row r="11" ht="28" customHeight="1">
      <x:c r="A11" s="88" t="str">
        <x:v>Package component</x:v>
      </x:c>
      <x:c r="B11" s="88" t="str">
        <x:v>Role</x:v>
      </x:c>
      <x:c r="C11" s="88" t="str">
        <x:v>Rows / items</x:v>
      </x:c>
      <x:c r="D11" s="88" t="str">
        <x:v>Primary file</x:v>
      </x:c>
      <x:c r="E11" s="88" t="str">
        <x:v>Status</x:v>
      </x:c>
      <x:c r="F11" s="88" t="str">
        <x:v>Notes</x:v>
      </x:c>
    </x:row>
    <x:row r="12" ht="46" customHeight="1">
      <x:c r="A12" s="97" t="str">
        <x:v>GEDCOM</x:v>
      </x:c>
      <x:c r="B12" s="97" t="str">
        <x:v>Canonical tree structure</x:v>
      </x:c>
      <x:c r="C12" s="97" t="n">
        <x:v>308</x:v>
      </x:c>
      <x:c r="D12" s="97" t="str">
        <x:v>Fredric_Vollmer_Complete_Family_Tree.ged</x:v>
      </x:c>
      <x:c r="E12" s="97" t="str">
        <x:v>Current</x:v>
      </x:c>
      <x:c r="F12" s="97" t="str">
        <x:v>Import this file into genealogy software</x:v>
      </x:c>
    </x:row>
    <x:row r="13" ht="46" customHeight="1">
      <x:c r="A13" s="97" t="str">
        <x:v>Canonical JSON</x:v>
      </x:c>
      <x:c r="B13" s="97" t="str">
        <x:v>Structured mirror</x:v>
      </x:c>
      <x:c r="C13" s="97" t="n">
        <x:v>308</x:v>
      </x:c>
      <x:c r="D13" s="97" t="str">
        <x:v>Fredric_Vollmer_Complete_Family_Tree_Canonical_Data.json</x:v>
      </x:c>
      <x:c r="E13" s="97" t="str">
        <x:v>Current</x:v>
      </x:c>
      <x:c r="F13" s="97" t="str">
        <x:v>Machine-readable people, families, and sources</x:v>
      </x:c>
    </x:row>
    <x:row r="14" ht="46" customHeight="1">
      <x:c r="A14" s="97" t="str">
        <x:v>People ledger</x:v>
      </x:c>
      <x:c r="B14" s="97" t="str">
        <x:v>Person-level audit</x:v>
      </x:c>
      <x:c r="C14" s="97" t="n">
        <x:v>308</x:v>
      </x:c>
      <x:c r="D14" s="97" t="str">
        <x:v>Fredric_Vollmer_Complete_Family_Tree_People.csv</x:v>
      </x:c>
      <x:c r="E14" s="97" t="str">
        <x:v>Current</x:v>
      </x:c>
      <x:c r="F14" s="97" t="str">
        <x:v>One row per GEDCOM individual</x:v>
      </x:c>
    </x:row>
    <x:row r="15" ht="46" customHeight="1">
      <x:c r="A15" s="97" t="str">
        <x:v>Families ledger</x:v>
      </x:c>
      <x:c r="B15" s="97" t="str">
        <x:v>Family-level audit</x:v>
      </x:c>
      <x:c r="C15" s="97" t="n">
        <x:v>144</x:v>
      </x:c>
      <x:c r="D15" s="97" t="str">
        <x:v>Fredric_Vollmer_Complete_Family_Tree_Families.csv</x:v>
      </x:c>
      <x:c r="E15" s="97" t="str">
        <x:v>Current</x:v>
      </x:c>
      <x:c r="F15" s="97" t="str">
        <x:v>Parent, spouse, and child links</x:v>
      </x:c>
    </x:row>
    <x:row r="16" ht="46" customHeight="1">
      <x:c r="A16" s="97" t="str">
        <x:v>Sources ledger</x:v>
      </x:c>
      <x:c r="B16" s="97" t="str">
        <x:v>Citation and record index</x:v>
      </x:c>
      <x:c r="C16" s="97" t="n">
        <x:v>72</x:v>
      </x:c>
      <x:c r="D16" s="97" t="str">
        <x:v>Fredric_Vollmer_Complete_Family_Tree_Source_Inventory.csv</x:v>
      </x:c>
      <x:c r="E16" s="97" t="str">
        <x:v>Current</x:v>
      </x:c>
      <x:c r="F16" s="97" t="str">
        <x:v>Includes 30 GEDCOM sources and 42 preserved record files</x:v>
      </x:c>
    </x:row>
    <x:row r="17" ht="46" customHeight="1">
      <x:c r="A17" s="97" t="str">
        <x:v>Recovered workbook tabs</x:v>
      </x:c>
      <x:c r="B17" s="97" t="str">
        <x:v>Historical reference</x:v>
      </x:c>
      <x:c r="C17" s="97" t="n">
        <x:v>8</x:v>
      </x:c>
      <x:c r="D17" s="97" t="str">
        <x:v>Original tabs in this workbook</x:v>
      </x:c>
      <x:c r="E17" s="97" t="str">
        <x:v>Preserved</x:v>
      </x:c>
      <x:c r="F17" s="97" t="str">
        <x:v>Retained unchanged for provenance</x:v>
      </x:c>
    </x:row>
  </x:sheetData>
  <x:mergeCells>
    <x:mergeCell ref="A1:F1"/>
    <x:mergeCell ref="A2:F2"/>
  </x:mergeCells>
  <x:conditionalFormatting sqref="A12:F17">
    <x:cfRule type="expression" dxfId="4" priority="1">
      <x:formula>MOD(ROW(),2)=0</x:formula>
    </x:cfRule>
  </x:conditionalFormatting>
  <x:pageMargins left="0.7" right="0.7" top="0.75" bottom="0.75" header="0.3" footer="0.3"/>
</x:worksheet>
</file>