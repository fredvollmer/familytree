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8209e07d3e24031" /></Relationships>
</file>

<file path=xl/workbook.xml><?xml version="1.0" encoding="utf-8"?>
<x:workbook xmlns:x="http://schemas.openxmlformats.org/spreadsheetml/2006/main">
  <x:sheets>
    <x:sheet xmlns:r="http://schemas.openxmlformats.org/officeDocument/2006/relationships" name="Read Me" sheetId="1" r:id="Rf0411ffc7cca4d28"/>
    <x:sheet xmlns:r="http://schemas.openxmlformats.org/officeDocument/2006/relationships" name="Ancestor Index" sheetId="2" r:id="R5a4a76abbf8c4bea"/>
    <x:sheet xmlns:r="http://schemas.openxmlformats.org/officeDocument/2006/relationships" name="Relationships" sheetId="3" r:id="Ra1757ce148e04072"/>
    <x:sheet xmlns:r="http://schemas.openxmlformats.org/officeDocument/2006/relationships" name="Extended Family" sheetId="4" r:id="Rfb9f004a683a437f"/>
    <x:sheet xmlns:r="http://schemas.openxmlformats.org/officeDocument/2006/relationships" name="Household Audit" sheetId="5" r:id="R8a104588027b4f73"/>
    <x:sheet xmlns:r="http://schemas.openxmlformats.org/officeDocument/2006/relationships" name="Correction Log" sheetId="6" r:id="R1c4a479905f145c6"/>
    <x:sheet xmlns:r="http://schemas.openxmlformats.org/officeDocument/2006/relationships" name="Research Gaps" sheetId="7" r:id="R76389bd8f5f44efa"/>
    <x:sheet xmlns:r="http://schemas.openxmlformats.org/officeDocument/2006/relationships" name="Source Key" sheetId="8" r:id="R0596ae87ada243ab"/>
    <x:sheet xmlns:r="http://schemas.openxmlformats.org/officeDocument/2006/relationships" name="Consolidated People" sheetId="9" r:id="R70d3909d91ce49b8"/>
    <x:sheet xmlns:r="http://schemas.openxmlformats.org/officeDocument/2006/relationships" name="Consolidated Families" sheetId="10" r:id="R5c535e2b050a4ae5"/>
    <x:sheet xmlns:r="http://schemas.openxmlformats.org/officeDocument/2006/relationships" name="Consolidated Sources" sheetId="11" r:id="Rf11e5dd7a7a74bc1"/>
    <x:sheet xmlns:r="http://schemas.openxmlformats.org/officeDocument/2006/relationships" name="Vital Date Coverage" sheetId="12" r:id="R0eaddffb05be485e"/>
    <x:sheet xmlns:r="http://schemas.openxmlformats.org/officeDocument/2006/relationships" name="Occupation Coverage" sheetId="13" r:id="Rb81236686a2742cc"/>
    <x:sheet xmlns:r="http://schemas.openxmlformats.org/officeDocument/2006/relationships" name="Media Audit" sheetId="14" r:id="R7320c349299a4076"/>
    <x:sheet xmlns:r="http://schemas.openxmlformats.org/officeDocument/2006/relationships" name="Consolidated Overview" sheetId="15" r:id="R6fc5ab0558f84db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3">
    <x:font>
      <x:sz val="11"/>
      <x:name val="Carlito"/>
    </x:font>
    <x:font>
      <x:b/>
      <x:sz val="11"/>
      <x:color rgb="FFFFFFFF"/>
      <x:name val="Carlito"/>
    </x:font>
    <x:font>
      <x:b/>
      <x:sz val="11"/>
      <x:color rgb="FF17365D"/>
      <x:name val="Carlito"/>
    </x:font>
    <x:font>
      <x:sz val="11"/>
      <x:color rgb="FF000000"/>
      <x:name val="Carlito"/>
    </x:font>
    <x:font>
      <x:b/>
      <x:sz val="11"/>
      <x:color rgb="FF000000"/>
      <x:name val="Carlito"/>
    </x:font>
    <x:font>
      <x:b/>
      <x:color rgb="FFFFFFFF"/>
    </x:font>
    <x:font>
      <x:b/>
      <x:sz val="11"/>
      <x:color rgb="FFFFFFFF"/>
    </x:font>
    <x:font>
      <x:sz val="10"/>
      <x:name val="Aptos"/>
    </x:font>
    <x:font>
      <x:b/>
      <x:sz val="16"/>
      <x:color rgb="FFFFFFFF"/>
      <x:name val="Aptos"/>
    </x:font>
    <x:font>
      <x:b/>
      <x:sz val="11"/>
      <x:color rgb="FF17365D"/>
      <x:name val="Aptos"/>
    </x:font>
    <x:font>
      <x:b/>
      <x:sz val="10"/>
      <x:color rgb="FFFFFFFF"/>
      <x:name val="Aptos"/>
    </x:font>
    <x:font>
      <x:b/>
      <x:sz val="10"/>
      <x:color rgb="FF17365D"/>
      <x:name val="Aptos"/>
    </x:font>
    <x:font>
      <x:b/>
      <x:sz val="16"/>
      <x:color rgb="FFFFFFFF"/>
      <x:name val="Aptos Display"/>
    </x:font>
  </x:fonts>
  <x:fills count="11">
    <x:fill>
      <x:patternFill patternType="none"/>
    </x:fill>
    <x:fill>
      <x:patternFill patternType="gray125"/>
    </x:fill>
    <x:fill>
      <x:patternFill patternType="solid">
        <x:fgColor rgb="FF17365D"/>
      </x:patternFill>
    </x:fill>
    <x:fill>
      <x:patternFill patternType="solid">
        <x:fgColor rgb="FFD9E2F3"/>
      </x:patternFill>
    </x:fill>
    <x:fill>
      <x:patternFill patternType="solid">
        <x:fgColor rgb="FFF3F6F9"/>
      </x:patternFill>
    </x:fill>
    <x:fill>
      <x:patternFill patternType="solid">
        <x:fgColor rgb="FF17365D"/>
      </x:patternFill>
    </x:fill>
    <x:fill>
      <x:patternFill patternType="solid">
        <x:fgColor rgb="FFF4F8FB"/>
      </x:patternFill>
    </x:fill>
    <x:fill>
      <x:patternFill patternType="solid">
        <x:fgColor rgb="FF17365D"/>
      </x:patternFill>
    </x:fill>
    <x:fill>
      <x:patternFill patternType="solid">
        <x:fgColor rgb="FFD9E7F5"/>
      </x:patternFill>
    </x:fill>
    <x:fill>
      <x:patternFill patternType="solid">
        <x:fgColor rgb="FFF3F7FB"/>
      </x:patternFill>
    </x:fill>
    <x:fill>
      <x:patternFill patternType="solid">
        <x:fgColor rgb="FFE2F0D9"/>
      </x:patternFill>
    </x:fill>
  </x:fills>
  <x:borders count="3">
    <x:border/>
    <x:border/>
    <x:border>
      <x:bottom style="thin">
        <x:color rgb="FFB7C9D6"/>
      </x:bottom>
    </x:border>
  </x:borders>
  <x:cellStyleXfs count="1">
    <x:xf numFmtId="0" fontId="0" fillId="0" borderId="1"/>
  </x:cellStyleXfs>
  <x:cellXfs count="103">
    <x:xf numFmtId="0" fontId="0" fillId="0" borderId="0" xfId="0"/>
    <x:xf numFmtId="0" fontId="0" fillId="0" borderId="1" xfId="0"/>
    <x:xf numFmtId="0" fontId="0" fillId="2" borderId="0" xfId="0"/>
    <x:xf numFmtId="0" fontId="1" fillId="2" borderId="0" xfId="0"/>
    <x:xf numFmtId="0" fontId="1" fillId="2" borderId="0" xfId="0" applyAlignment="1">
      <x:alignment horizontal="center"/>
    </x:xf>
    <x:xf numFmtId="0" fontId="1" fillId="2" borderId="0" xfId="0" applyAlignment="1">
      <x:alignment horizontal="center" vertical="center"/>
    </x:xf>
    <x:xf numFmtId="0" fontId="0" fillId="2" borderId="1" xfId="0"/>
    <x:xf numFmtId="0" fontId="1" fillId="2" borderId="1" xfId="0"/>
    <x:xf numFmtId="0" fontId="1" fillId="2" borderId="1" xfId="0" applyAlignment="1">
      <x:alignment horizontal="center"/>
    </x:xf>
    <x:xf numFmtId="0" fontId="1" fillId="2" borderId="1" xfId="0" applyAlignment="1">
      <x:alignment horizontal="center" vertical="center"/>
    </x:xf>
    <x:xf numFmtId="0" fontId="0" fillId="3" borderId="0" xfId="0"/>
    <x:xf numFmtId="0" fontId="2" fillId="3" borderId="0" xfId="0"/>
    <x:xf numFmtId="0" fontId="2" fillId="3" borderId="0" xfId="0" applyAlignment="1">
      <x:alignment horizontal="center"/>
    </x:xf>
    <x:xf numFmtId="0" fontId="0" fillId="3" borderId="1" xfId="0"/>
    <x:xf numFmtId="0" fontId="2" fillId="3" borderId="1" xfId="0"/>
    <x:xf numFmtId="0" fontId="2" fillId="3" borderId="1" xfId="0" applyAlignment="1">
      <x:alignment horizontal="center"/>
    </x:xf>
    <x:xf numFmtId="0" fontId="0" fillId="4" borderId="0" xfId="0"/>
    <x:xf numFmtId="0" fontId="3" fillId="4" borderId="0" xfId="0"/>
    <x:xf numFmtId="0" fontId="3" fillId="4" borderId="0" xfId="0" applyAlignment="1">
      <x:alignment wrapText="1"/>
    </x:xf>
    <x:xf numFmtId="0" fontId="3" fillId="4" borderId="0" xfId="0" applyAlignment="1">
      <x:alignment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vertical="center" wrapText="1"/>
    </x:xf>
    <x:xf numFmtId="0" fontId="4" fillId="3" borderId="0" xfId="0"/>
    <x:xf numFmtId="0" fontId="4" fillId="3" borderId="0" xfId="0" applyAlignment="1">
      <x:alignment wrapText="1"/>
    </x:xf>
    <x:xf numFmtId="0" fontId="4" fillId="3" borderId="0" xfId="0" applyAlignment="1">
      <x:alignment vertical="center" wrapText="1"/>
    </x:xf>
    <x:xf numFmtId="0" fontId="4" fillId="3" borderId="1" xfId="0"/>
    <x:xf numFmtId="0" fontId="4" fillId="3" borderId="1" xfId="0" applyAlignment="1">
      <x:alignment wrapText="1"/>
    </x:xf>
    <x:xf numFmtId="0" fontId="4" fillId="3" borderId="1" xfId="0" applyAlignment="1">
      <x:alignment vertical="center" wrapText="1"/>
    </x:xf>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0" borderId="0" xfId="0" applyAlignment="1">
      <x:alignment wrapText="1"/>
    </x:xf>
    <x:xf numFmtId="0" fontId="0" fillId="0" borderId="1" xfId="0" applyAlignment="1">
      <x:alignment wrapText="1"/>
    </x:xf>
    <x:xf numFmtId="0" fontId="1" fillId="2" borderId="0" xfId="0" applyAlignment="1">
      <x:alignment horizontal="center" vertical="top" wrapText="1"/>
    </x:xf>
    <x:xf numFmtId="0" fontId="0" fillId="0" borderId="0" xfId="0" applyAlignment="1">
      <x:alignment vertical="top" wrapText="1"/>
    </x:xf>
    <x:xf numFmtId="0" fontId="1" fillId="2" borderId="1" xfId="0" applyAlignment="1">
      <x:alignment horizontal="center" vertical="top" wrapText="1"/>
    </x:xf>
    <x:xf numFmtId="0" fontId="0" fillId="0" borderId="1" xfId="0" applyAlignment="1">
      <x:alignment vertical="top" wrapText="1"/>
    </x:xf>
    <x:xf numFmtId="0" fontId="1" fillId="2" borderId="1" xfId="0" applyAlignment="1">
      <x:alignment vertical="top" wrapText="1"/>
    </x:xf>
    <x:xf numFmtId="0" fontId="2" fillId="3" borderId="1" xfId="0" applyAlignment="1">
      <x:alignment vertical="top" wrapText="1"/>
    </x:xf>
    <x:xf numFmtId="0" fontId="3" fillId="4" borderId="1" xfId="0" applyAlignment="1">
      <x:alignment vertical="top" wrapText="1"/>
    </x:xf>
    <x:xf numFmtId="0" fontId="4" fillId="3" borderId="0" xfId="0" applyAlignment="1">
      <x:alignment vertical="top" wrapText="1"/>
    </x:xf>
    <x:xf numFmtId="0" fontId="5" fillId="5" borderId="0" xfId="0" applyAlignment="1">
      <x:alignment vertical="top" wrapText="1"/>
    </x:xf>
    <x:xf numFmtId="0" fontId="6" fillId="5" borderId="0" xfId="0" applyAlignment="1">
      <x:alignment horizontal="center" vertical="center" wrapText="1"/>
    </x:xf>
    <x:xf numFmtId="0" fontId="0" fillId="6" borderId="2" xfId="0" applyAlignment="1">
      <x:alignment vertical="top" wrapText="1"/>
    </x:xf>
    <x:xf numFmtId="0" fontId="0" fillId="0" borderId="2" xfId="0" applyAlignment="1">
      <x:alignment vertical="top" wrapText="1"/>
    </x:xf>
    <x:xf numFmtId="0" fontId="1" fillId="2" borderId="0" xfId="0" applyAlignment="1">
      <x:alignment vertical="top"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6" fillId="2" borderId="0" xfId="0" applyNumberFormat="1" applyFont="1" applyFill="1" applyBorder="1" applyAlignment="1">
      <x:alignment horizontal="center" vertical="center" wrapText="1"/>
    </x:xf>
    <x:xf numFmtId="0" fontId="0" fillId="6" borderId="2"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7" fillId="0" borderId="0" xfId="0" applyNumberFormat="1" applyFont="1" applyFill="1" applyBorder="1"/>
    <x:xf numFmtId="0" fontId="7" fillId="7" borderId="0" xfId="0" applyNumberFormat="1" applyFont="1" applyFill="1" applyBorder="1"/>
    <x:xf numFmtId="0" fontId="8" fillId="7" borderId="0" xfId="0" applyNumberFormat="1" applyFont="1" applyFill="1" applyBorder="1"/>
    <x:xf numFmtId="0" fontId="8" fillId="7" borderId="0" xfId="0" applyNumberFormat="1" applyFont="1" applyFill="1" applyBorder="1" applyAlignment="1">
      <x:alignment vertical="center"/>
    </x:xf>
    <x:xf numFmtId="0" fontId="7"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10" fillId="7" borderId="0" xfId="0" applyNumberFormat="1" applyFont="1" applyFill="1" applyBorder="1"/>
    <x:xf numFmtId="0" fontId="10" fillId="7" borderId="0" xfId="0" applyNumberFormat="1" applyFont="1" applyFill="1" applyBorder="1" applyAlignment="1">
      <x:alignment vertical="center"/>
    </x:xf>
    <x:xf numFmtId="0" fontId="7" fillId="9" borderId="0" xfId="0" applyNumberFormat="1" applyFont="1" applyFill="1" applyBorder="1"/>
    <x:xf numFmtId="0" fontId="11" fillId="9" borderId="0" xfId="0" applyNumberFormat="1" applyFont="1" applyFill="1" applyBorder="1"/>
    <x:xf numFmtId="200" fontId="11" fillId="9" borderId="0" xfId="0" applyNumberFormat="1" applyFont="1" applyFill="1" applyBorder="1"/>
    <x:xf numFmtId="200" fontId="11" fillId="9" borderId="0" xfId="0" applyNumberFormat="1" applyFont="1" applyFill="1" applyBorder="1" applyAlignment="1">
      <x:alignment horizontal="right"/>
    </x:xf>
    <x:xf numFmtId="0" fontId="7" fillId="9" borderId="0" xfId="0" applyNumberFormat="1" applyFont="1" applyFill="1" applyBorder="1" applyAlignment="1">
      <x:alignment wrapText="1"/>
    </x:xf>
    <x:xf numFmtId="0" fontId="7" fillId="9" borderId="0" xfId="0" applyNumberFormat="1" applyFont="1" applyFill="1" applyBorder="1" applyAlignment="1">
      <x:alignment vertical="top" wrapText="1"/>
    </x:xf>
    <x:xf numFmtId="0" fontId="7" fillId="10" borderId="0" xfId="0" applyNumberFormat="1" applyFont="1" applyFill="1" applyBorder="1" applyAlignment="1">
      <x:alignment vertical="top" wrapText="1"/>
    </x:xf>
    <x:xf numFmtId="0" fontId="7" fillId="0" borderId="0" xfId="0" applyNumberFormat="1" applyFont="1" applyFill="1" applyBorder="1" applyAlignment="1">
      <x:alignment wrapText="1"/>
    </x:xf>
    <x:xf numFmtId="0" fontId="7" fillId="0" borderId="0" xfId="0" applyNumberFormat="1" applyFont="1" applyFill="1" applyBorder="1" applyAlignment="1">
      <x:alignment vertical="top" wrapText="1"/>
    </x:xf>
    <x:xf numFmtId="0" fontId="12" fillId="7" borderId="0" xfId="0" applyNumberFormat="1" applyFont="1" applyFill="1" applyBorder="1" applyAlignment="1">
      <x:alignment vertical="center"/>
    </x:xf>
    <x:xf numFmtId="0" fontId="7" fillId="0" borderId="0" xfId="0" applyNumberFormat="1" applyFont="1" applyFill="1" applyBorder="1" applyAlignment="1">
      <x:alignment vertical="top"/>
    </x:xf>
    <x:xf numFmtId="0" fontId="7" fillId="7" borderId="0" xfId="0" applyNumberFormat="1" applyFont="1" applyFill="1" applyBorder="1" applyAlignment="1">
      <x:alignment vertical="top" wrapText="1"/>
    </x:xf>
    <x:xf numFmtId="0" fontId="10" fillId="7" borderId="0" xfId="0" applyNumberFormat="1" applyFont="1" applyFill="1" applyBorder="1" applyAlignment="1">
      <x:alignment vertical="top" wrapText="1"/>
    </x:xf>
    <x:xf numFmtId="0" fontId="10" fillId="7" borderId="0" xfId="0" applyNumberFormat="1" applyFont="1" applyFill="1" applyBorder="1" applyAlignment="1">
      <x:alignment vertical="center" wrapText="1"/>
    </x:xf>
  </x:cellXfs>
  <x:cellStyles count="1">
    <x:cellStyle name="Normal" xfId="0"/>
  </x:cellStyles>
  <x:dxfs count="13">
    <x:dxf>
      <x:font>
        <x:b/>
        <x:color rgb="FF1B5E20"/>
      </x:font>
      <x:fill>
        <x:patternFill>
          <x:bgColor rgb="FFC6E0B4"/>
        </x:patternFill>
      </x:fill>
    </x:dxf>
    <x:dxf>
      <x:font>
        <x:b/>
        <x:color rgb="FF0D47A1"/>
      </x:font>
      <x:fill>
        <x:patternFill>
          <x:bgColor rgb="FFDDEBF7"/>
        </x:patternFill>
      </x:fill>
    </x:dxf>
    <x:dxf>
      <x:font>
        <x:b/>
        <x:color rgb="FF7F6000"/>
      </x:font>
      <x:fill>
        <x:patternFill>
          <x:bgColor rgb="FFFFF2CC"/>
        </x:patternFill>
      </x:fill>
    </x:dxf>
    <x:dxf>
      <x:font>
        <x:b/>
        <x:color rgb="FF8B0000"/>
      </x:font>
      <x:fill>
        <x:patternFill>
          <x:bgColor rgb="FFF4CCCC"/>
        </x:patternFill>
      </x:fill>
    </x:dxf>
    <x:dxf>
      <x:fill>
        <x:patternFill patternType="solid">
          <x:bgColor rgb="FFEAF3F8"/>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
      <x:fill>
        <x:patternFill patternType="solid">
          <x:bgColor rgb="FFE2F0D9"/>
        </x:patternFill>
      </x:fill>
    </x:dxf>
    <x:dxf>
      <x:fill>
        <x:patternFill patternType="solid">
          <x:bgColor rgb="FFFCE4D6"/>
        </x:patternFill>
      </x:fill>
    </x:dxf>
    <x:dxf>
      <x:fill>
        <x:patternFill patternType="solid">
          <x:bgColor rgb="FFE2F0D9"/>
        </x:patternFill>
      </x:fill>
    </x:dxf>
    <x:dxf>
      <x:fill>
        <x:patternFill patternType="solid">
          <x:bgColor rgb="FFFFF2CC"/>
        </x:patternFill>
      </x:fill>
    </x:dxf>
    <x:dxf>
      <x:fill>
        <x:patternFill patternType="solid">
          <x:bgColor rgb="FFFCE4D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97f9d7aa30494053" /><Relationship Type="http://schemas.openxmlformats.org/officeDocument/2006/relationships/theme" Target="/xl/theme/theme1.xml" Id="Ra93227828c9e4987" /><Relationship Type="http://schemas.openxmlformats.org/officeDocument/2006/relationships/sharedStrings" Target="/xl/sharedStrings.xml" Id="R52d1c86488f842c4" /><Relationship Type="http://schemas.openxmlformats.org/officeDocument/2006/relationships/worksheet" Target="/xl/worksheets/sheet1.xml" Id="Rf0411ffc7cca4d28" /><Relationship Type="http://schemas.openxmlformats.org/officeDocument/2006/relationships/worksheet" Target="/xl/worksheets/sheet2.xml" Id="R5a4a76abbf8c4bea" /><Relationship Type="http://schemas.openxmlformats.org/officeDocument/2006/relationships/worksheet" Target="/xl/worksheets/sheet3.xml" Id="Ra1757ce148e04072" /><Relationship Type="http://schemas.openxmlformats.org/officeDocument/2006/relationships/worksheet" Target="/xl/worksheets/sheet4.xml" Id="Rfb9f004a683a437f" /><Relationship Type="http://schemas.openxmlformats.org/officeDocument/2006/relationships/worksheet" Target="/xl/worksheets/sheet5.xml" Id="R8a104588027b4f73" /><Relationship Type="http://schemas.openxmlformats.org/officeDocument/2006/relationships/worksheet" Target="/xl/worksheets/sheet6.xml" Id="R1c4a479905f145c6" /><Relationship Type="http://schemas.openxmlformats.org/officeDocument/2006/relationships/worksheet" Target="/xl/worksheets/sheet7.xml" Id="R76389bd8f5f44efa" /><Relationship Type="http://schemas.openxmlformats.org/officeDocument/2006/relationships/worksheet" Target="/xl/worksheets/sheet8.xml" Id="R0596ae87ada243ab" /><Relationship Type="http://schemas.openxmlformats.org/officeDocument/2006/relationships/worksheet" Target="/xl/worksheets/sheet9.xml" Id="R70d3909d91ce49b8" /><Relationship Type="http://schemas.openxmlformats.org/officeDocument/2006/relationships/worksheet" Target="/xl/worksheets/sheet10.xml" Id="R5c535e2b050a4ae5" /><Relationship Type="http://schemas.openxmlformats.org/officeDocument/2006/relationships/worksheet" Target="/xl/worksheets/sheet11.xml" Id="Rf11e5dd7a7a74bc1" /><Relationship Type="http://schemas.openxmlformats.org/officeDocument/2006/relationships/worksheet" Target="/xl/worksheets/sheet12.xml" Id="R0eaddffb05be485e" /><Relationship Type="http://schemas.openxmlformats.org/officeDocument/2006/relationships/worksheet" Target="/xl/worksheets/sheet13.xml" Id="Rb81236686a2742cc" /><Relationship Type="http://schemas.openxmlformats.org/officeDocument/2006/relationships/worksheet" Target="/xl/worksheets/sheet14.xml" Id="R7320c349299a4076" /><Relationship Type="http://schemas.openxmlformats.org/officeDocument/2006/relationships/worksheet" Target="/xl/worksheets/sheet15.xml" Id="R6fc5ab0558f84dbd" /></Relationships>
</file>

<file path=xl/drawings/_rels/drawing1.xml.rels>&#65279;<?xml version="1.0" encoding="utf-8"?><Relationships xmlns="http://schemas.openxmlformats.org/package/2006/relationships"><Relationship Type="http://schemas.openxmlformats.org/officeDocument/2006/relationships/chart" Target="/xl/drawings/charts/chart1.xml" Id="R149815a8a70f4205"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People in the current dataset by branch</a:t>
            </a:r>
          </a:p>
        </c:rich>
      </c:tx>
    </c:title>
    <c:plotArea>
      <c:barChart>
        <c:barDir val="col"/>
        <c:grouping val="clustered"/>
        <c:varyColors val="0"/>
        <c:ser>
          <c:idx val="0"/>
          <c:order val="0"/>
          <c:tx>
            <c:v>People</c:v>
          </c:tx>
          <c:spPr>
            <a:ln xmlns:a="http://schemas.openxmlformats.org/drawingml/2006/main">
              <a:prstDash val="solid"/>
            </a:ln>
          </c:spPr>
          <c:cat>
            <c:strRef>
              <c:f>'Read Me'!$A$14:$A$21</c:f>
              <c:strCache>
                <c:ptCount val="0"/>
              </c:strCache>
            </c:strRef>
          </c:cat>
          <c:val>
            <c:numRef>
              <c:f>'Read Me'!$B$14:$B$21</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12</xdr:row>
      <xdr:rowOff>0</xdr:rowOff>
    </xdr:from>
    <xdr:to>
      <xdr:col>8</xdr:col>
      <xdr:colOff>0</xdr:colOff>
      <xdr:row>31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49815a8a70f4205"/>
        </a:graphicData>
      </a:graphic>
    </xdr:graphicFrame>
    <xdr:clientData/>
  </xdr:twoCellAnchor>
</xdr:wsDr>
</file>

<file path=xl/tables/table1.xml><?xml version="1.0" encoding="utf-8"?>
<x:table xmlns:x="http://schemas.openxmlformats.org/spreadsheetml/2006/main" id="1" name="AncestorIndexTable" displayName="AncestorIndexTable" ref="A1:R170" headerRowCount="1" totalsRowCount="0" totalsRowShown="0">
  <x:tableColumns count="18">
    <x:tableColumn id="1" name="Person ID"/>
    <x:tableColumn id="2" name="Ahnentafel No."/>
    <x:tableColumn id="3" name="Generation"/>
    <x:tableColumn id="4" name="Name"/>
    <x:tableColumn id="5" name="Sex"/>
    <x:tableColumn id="6" name="Birth date"/>
    <x:tableColumn id="7" name="Birth year"/>
    <x:tableColumn id="8" name="Birth place"/>
    <x:tableColumn id="9" name="Death date"/>
    <x:tableColumn id="10" name="Death year"/>
    <x:tableColumn id="11" name="Death place"/>
    <x:tableColumn id="12" name="Branch"/>
    <x:tableColumn id="13" name="Confidence"/>
    <x:tableColumn id="14" name="Father"/>
    <x:tableColumn id="15" name="Mother"/>
    <x:tableColumn id="16" name="Path from Fredric"/>
    <x:tableColumn id="17" name="Evidence note"/>
    <x:tableColumn id="18" name="Source IDs"/>
  </x:tableColumns>
  <x:tableStyleInfo name="TableStyleMedium2" showFirstColumn="0" showLastColumn="0" showRowStripes="1" showColumnStripes="0"/>
</x:table>
</file>

<file path=xl/tables/table2.xml><?xml version="1.0" encoding="utf-8"?>
<x:table xmlns:x="http://schemas.openxmlformats.org/spreadsheetml/2006/main" id="2" name="RelationshipsTable" displayName="RelationshipsTable" ref="A1:I94" headerRowCount="1" totalsRowCount="0" totalsRowShown="0">
  <x:tableColumns count="9">
    <x:tableColumn id="1" name="Child ID"/>
    <x:tableColumn id="2" name="Child"/>
    <x:tableColumn id="3" name="Generation"/>
    <x:tableColumn id="4" name="Father ID"/>
    <x:tableColumn id="5" name="Father"/>
    <x:tableColumn id="6" name="Mother ID"/>
    <x:tableColumn id="7" name="Mother"/>
    <x:tableColumn id="8" name="Relationship confidence"/>
    <x:tableColumn id="9" name="Source IDs"/>
  </x:tableColumns>
  <x:tableStyleInfo name="TableStyleMedium2" showFirstColumn="0" showLastColumn="0" showRowStripes="1" showColumnStripes="0"/>
</x:table>
</file>

<file path=xl/tables/table3.xml><?xml version="1.0" encoding="utf-8"?>
<x:table xmlns:x="http://schemas.openxmlformats.org/spreadsheetml/2006/main" id="3" name="CorrectedExtendedFamily" displayName="CorrectedExtendedFamily" ref="A1:O40" headerRowCount="1">
  <x:autoFilter ref="A1:O40"/>
  <x:tableColumns count="15">
    <x:tableColumn id="1" name="ID"/>
    <x:tableColumn id="2" name="Person"/>
    <x:tableColumn id="3" name="Branch"/>
    <x:tableColumn id="4" name="Tier"/>
    <x:tableColumn id="5" name="Relationship to Fredric"/>
    <x:tableColumn id="6" name="Relationship to Jan"/>
    <x:tableColumn id="7" name="Spouse / partner"/>
    <x:tableColumn id="8" name="Parents"/>
    <x:tableColumn id="9" name="Children in bounded scope"/>
    <x:tableColumn id="10" name="Status"/>
    <x:tableColumn id="11" name="Confidence"/>
    <x:tableColumn id="12" name="Public-record evidence"/>
    <x:tableColumn id="13" name="Family-document evidence"/>
    <x:tableColumn id="14" name="Source IDs"/>
    <x:tableColumn id="15" name="Notes"/>
  </x:tableColumns>
  <x:tableStyleInfo name="TableStyleMedium2" showFirstColumn="0" showLastColumn="0" showRowStripes="1" showColumnStripes="0"/>
</x:table>
</file>

<file path=xl/tables/table4.xml><?xml version="1.0" encoding="utf-8"?>
<x:table xmlns:x="http://schemas.openxmlformats.org/spreadsheetml/2006/main" id="4" name="HouseholdAuditTable" displayName="HouseholdAuditTable" ref="A1:G9" headerRowCount="1">
  <x:autoFilter ref="A1:G9"/>
  <x:tableColumns count="7">
    <x:tableColumn id="1" name="Household"/>
    <x:tableColumn id="2" name="Branch"/>
    <x:tableColumn id="3" name="Children at bounded generation"/>
    <x:tableColumn id="4" name="Audit result"/>
    <x:tableColumn id="5" name="Confidence"/>
    <x:tableColumn id="6" name="Source IDs"/>
    <x:tableColumn id="7" name="Remaining record problem"/>
  </x:tableColumns>
  <x:tableStyleInfo name="TableStyleMedium2" showFirstColumn="0" showLastColumn="0" showRowStripes="1" showColumnStripes="0"/>
</x:table>
</file>

<file path=xl/tables/table5.xml><?xml version="1.0" encoding="utf-8"?>
<x:table xmlns:x="http://schemas.openxmlformats.org/spreadsheetml/2006/main" id="5" name="CorrectionLogTable" displayName="CorrectionLogTable" ref="A1:D8" headerRowCount="1">
  <x:autoFilter ref="A1:D8"/>
  <x:tableColumns count="4">
    <x:tableColumn id="1" name="Topic"/>
    <x:tableColumn id="2" name="Earlier treatment"/>
    <x:tableColumn id="3" name="Corrected treatment"/>
    <x:tableColumn id="4" name="Correction type"/>
  </x:tableColumns>
  <x:tableStyleInfo name="TableStyleMedium2" showFirstColumn="0" showLastColumn="0" showRowStripes="1" showColumnStripes="0"/>
</x:table>
</file>

<file path=xl/tables/table6.xml><?xml version="1.0" encoding="utf-8"?>
<x:table xmlns:x="http://schemas.openxmlformats.org/spreadsheetml/2006/main" id="6" name="ResearchGapsTable" displayName="ResearchGapsTable" ref="A1:E13" headerRowCount="1" totalsRowCount="0" totalsRowShown="0">
  <x:tableColumns count="5">
    <x:tableColumn id="1" name="Priority"/>
    <x:tableColumn id="2" name="Branch / person"/>
    <x:tableColumn id="3" name="Open question"/>
    <x:tableColumn id="4" name="Best next record or action"/>
    <x:tableColumn id="5" name="Why it matters"/>
  </x:tableColumns>
  <x:tableStyleInfo name="TableStyleMedium2" showFirstColumn="0" showLastColumn="0" showRowStripes="1" showColumnStripes="0"/>
</x:table>
</file>

<file path=xl/tables/table7.xml><?xml version="1.0" encoding="utf-8"?>
<x:table xmlns:x="http://schemas.openxmlformats.org/spreadsheetml/2006/main" id="7" name="SourceKeyTable" displayName="SourceKeyTable" ref="A1:E26" headerRowCount="1" totalsRowCount="0" totalsRowShown="0">
  <x:tableColumns count="5">
    <x:tableColumn id="1" name="Source ID"/>
    <x:tableColumn id="2" name="Title"/>
    <x:tableColumn id="3" name="Type"/>
    <x:tableColumn id="4" name="URL"/>
    <x:tableColumn id="5" name="Use / caution"/>
  </x:tableColumns>
  <x:tableStyleInfo name="TableStyleMedium2" showFirstColumn="0" showLastColumn="0" showRowStripes="1" showColumnStripes="0"/>
</x:table>
</file>

<file path=xl/tables/table8.xml><?xml version="1.0" encoding="utf-8"?>
<x:table xmlns:x="http://schemas.openxmlformats.org/spreadsheetml/2006/main" id="8" name="ConsolidatedPeopleTable" displayName="ConsolidatedPeopleTable" ref="A1:K329" headerRowCount="1" totalsRowCount="0" totalsRowShown="0">
  <x:autoFilter ref="A1:K329"/>
  <x:tableColumns count="11">
    <x:tableColumn id="1" name="individual_id"/>
    <x:tableColumn id="2" name="name"/>
    <x:tableColumn id="3" name="sex"/>
    <x:tableColumn id="4" name="birth"/>
    <x:tableColumn id="5" name="death"/>
    <x:tableColumn id="6" name="occupations_and_roles"/>
    <x:tableColumn id="7" name="local_ids"/>
    <x:tableColumn id="8" name="source_refs"/>
    <x:tableColumn id="9" name="notes"/>
    <x:tableColumn id="10" name="family_as_child"/>
    <x:tableColumn id="11" name="families_as_spouse"/>
  </x:tableColumns>
  <x:tableStyleInfo name="TableStyleMedium2" showFirstColumn="0" showLastColumn="0" showRowStripes="1" showColumnStripes="0"/>
</x:table>
</file>

<file path=xl/tables/table9.xml><?xml version="1.0" encoding="utf-8"?>
<x:table xmlns:x="http://schemas.openxmlformats.org/spreadsheetml/2006/main" id="9" name="ConsolidatedFamiliesTable" displayName="ConsolidatedFamiliesTable" ref="A1:G156" headerRowCount="1" totalsRowCount="0" totalsRowShown="0">
  <x:autoFilter ref="A1:G156"/>
  <x:tableColumns count="7">
    <x:tableColumn id="1" name="family_id"/>
    <x:tableColumn id="2" name="husband_id"/>
    <x:tableColumn id="3" name="wife_id"/>
    <x:tableColumn id="4" name="children_ids"/>
    <x:tableColumn id="5" name="marriage"/>
    <x:tableColumn id="6" name="notes"/>
    <x:tableColumn id="7" name="source_refs"/>
  </x:tableColumns>
  <x:tableStyleInfo name="TableStyleMedium2" showFirstColumn="0" showLastColumn="0" showRowStripes="1" showColumnStripes="0"/>
</x:table>
</file>

<file path=xl/tables/table10.xml><?xml version="1.0" encoding="utf-8"?>
<x:table xmlns:x="http://schemas.openxmlformats.org/spreadsheetml/2006/main" id="10" name="ConsolidatedSourcesTable" displayName="ConsolidatedSourcesTable" ref="A1:F92" headerRowCount="1" totalsRowCount="0" totalsRowShown="0">
  <x:autoFilter ref="A1:F92"/>
  <x:tableColumns count="6">
    <x:tableColumn id="1" name="source_id"/>
    <x:tableColumn id="2" name="title"/>
    <x:tableColumn id="3" name="author"/>
    <x:tableColumn id="4" name="date"/>
    <x:tableColumn id="5" name="notes"/>
    <x:tableColumn id="6" name="origin"/>
  </x:tableColumns>
  <x:tableStyleInfo name="TableStyleMedium2" showFirstColumn="0" showLastColumn="0" showRowStripes="1" showColumnStripes="0"/>
</x:table>
</file>

<file path=xl/tables/table11.xml><?xml version="1.0" encoding="utf-8"?>
<x:table xmlns:x="http://schemas.openxmlformats.org/spreadsheetml/2006/main" id="11" name="VitalDateCoverageTable" displayName="VitalDateCoverageTable" ref="A1:H329" headerRowCount="1" totalsRowCount="0" totalsRowShown="0">
  <x:autoFilter ref="A1:H329"/>
  <x:tableColumns count="8">
    <x:tableColumn id="1" name="individual_id"/>
    <x:tableColumn id="2" name="name"/>
    <x:tableColumn id="3" name="birth"/>
    <x:tableColumn id="4" name="birth_status"/>
    <x:tableColumn id="5" name="death"/>
    <x:tableColumn id="6" name="death_status"/>
    <x:tableColumn id="7" name="overall_status"/>
    <x:tableColumn id="8" name="source_refs"/>
  </x:tableColumns>
  <x:tableStyleInfo name="TableStyleMedium2" showFirstColumn="0" showLastColumn="0" showRowStripes="1" showColumnStripes="0"/>
</x:table>
</file>

<file path=xl/tables/table12.xml><?xml version="1.0" encoding="utf-8"?>
<x:table xmlns:x="http://schemas.openxmlformats.org/spreadsheetml/2006/main" id="12" name="OccupationCoverageTable" displayName="OccupationCoverageTable" ref="A1:I329" headerRowCount="1" totalsRowCount="0" totalsRowShown="0">
  <x:autoFilter ref="A1:I329"/>
  <x:tableColumns count="9">
    <x:tableColumn id="1" name="individual_id"/>
    <x:tableColumn id="2" name="name"/>
    <x:tableColumn id="3" name="occupations_and_roles"/>
    <x:tableColumn id="4" name="event_count"/>
    <x:tableColumn id="5" name="status"/>
    <x:tableColumn id="6" name="categories"/>
    <x:tableColumn id="7" name="source_refs"/>
    <x:tableColumn id="8" name="research_ids"/>
    <x:tableColumn id="9" name="coverage_note"/>
  </x:tableColumns>
  <x:tableStyleInfo name="TableStyleMedium2" showFirstColumn="0" showLastColumn="0" showRowStripes="1" showColumnStripes="0"/>
</x:table>
</file>

<file path=xl/tables/table13.xml><?xml version="1.0" encoding="utf-8"?>
<x:table xmlns:x="http://schemas.openxmlformats.org/spreadsheetml/2006/main" id="13" name="MediaAuditTable" displayName="MediaAuditTable" ref="A1:L375" headerRowCount="1" totalsRowCount="0" totalsRowShown="0">
  <x:autoFilter ref="A1:L375"/>
  <x:tableColumns count="12">
    <x:tableColumn id="1" name="row_type"/>
    <x:tableColumn id="2" name="id"/>
    <x:tableColumn id="3" name="name_or_title"/>
    <x:tableColumn id="4" name="portrait_status_or_evidence_status"/>
    <x:tableColumn id="5" name="portrait_or_file_path"/>
    <x:tableColumn id="6" name="external_url"/>
    <x:tableColumn id="7" name="person_ids"/>
    <x:tableColumn id="8" name="evidence_ids"/>
    <x:tableColumn id="9" name="source_refs"/>
    <x:tableColumn id="10" name="ledger_refs"/>
    <x:tableColumn id="11" name="preview_paths"/>
    <x:tableColumn id="12" name="rights_or_no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696d182271140d9" /></Relationships>
</file>

<file path=xl/worksheets/_rels/sheet2.xml.rels>&#65279;<?xml version="1.0" encoding="utf-8"?><Relationships xmlns="http://schemas.openxmlformats.org/package/2006/relationships"><Relationship Type="http://schemas.openxmlformats.org/officeDocument/2006/relationships/table" Target="/xl/tables/table1.xml" Id="Rbe7fd968e96a4ece" /></Relationships>
</file>

<file path=xl/worksheets/_rels/sheet3.xml.rels>&#65279;<?xml version="1.0" encoding="utf-8"?><Relationships xmlns="http://schemas.openxmlformats.org/package/2006/relationships"><Relationship Type="http://schemas.openxmlformats.org/officeDocument/2006/relationships/table" Target="/xl/tables/table2.xml" Id="R787cfa038aab4668" /></Relationships>
</file>

<file path=xl/worksheets/_rels/sheet4.xml.rels>&#65279;<?xml version="1.0" encoding="utf-8"?><Relationships xmlns="http://schemas.openxmlformats.org/package/2006/relationships"><Relationship Type="http://schemas.openxmlformats.org/officeDocument/2006/relationships/table" Target="/xl/tables/table3.xml" Id="Rf6347d2ba7654fbf" /></Relationships>
</file>

<file path=xl/worksheets/_rels/sheet5.xml.rels>&#65279;<?xml version="1.0" encoding="utf-8"?><Relationships xmlns="http://schemas.openxmlformats.org/package/2006/relationships"><Relationship Type="http://schemas.openxmlformats.org/officeDocument/2006/relationships/table" Target="/xl/tables/table4.xml" Id="Rfb7f3fd742064bed" /></Relationships>
</file>

<file path=xl/worksheets/_rels/sheet6.xml.rels>&#65279;<?xml version="1.0" encoding="utf-8"?><Relationships xmlns="http://schemas.openxmlformats.org/package/2006/relationships"><Relationship Type="http://schemas.openxmlformats.org/officeDocument/2006/relationships/table" Target="/xl/tables/table5.xml" Id="Rba4786c32c104d67" /></Relationships>
</file>

<file path=xl/worksheets/_rels/sheet7.xml.rels>&#65279;<?xml version="1.0" encoding="utf-8"?><Relationships xmlns="http://schemas.openxmlformats.org/package/2006/relationships"><Relationship Type="http://schemas.openxmlformats.org/officeDocument/2006/relationships/table" Target="/xl/tables/table6.xml" Id="Re5331d241c914b26" /></Relationships>
</file>

<file path=xl/worksheets/_rels/sheet8.xml.rels>&#65279;<?xml version="1.0" encoding="utf-8"?><Relationships xmlns="http://schemas.openxmlformats.org/package/2006/relationships"><Relationship Type="http://schemas.openxmlformats.org/officeDocument/2006/relationships/table" Target="/xl/tables/table7.xml" Id="Rd6e774ad15eb450e" /></Relationships>
</file>

<file path=xl/worksheets/_rels/sheet9.xml.rels>&#65279;<?xml version="1.0" encoding="utf-8"?><Relationships xmlns="http://schemas.openxmlformats.org/package/2006/relationships"><Relationship Type="http://schemas.openxmlformats.org/officeDocument/2006/relationships/table" Target="/xl/tables/table8.xml" Id="R73e067f42a694200" /></Relationships>
</file>

<file path=xl/worksheets/_rels/sheet10.xml.rels>&#65279;<?xml version="1.0" encoding="utf-8"?><Relationships xmlns="http://schemas.openxmlformats.org/package/2006/relationships"><Relationship Type="http://schemas.openxmlformats.org/officeDocument/2006/relationships/table" Target="/xl/tables/table9.xml" Id="Rcc4e3d7648814ecb" /></Relationships>
</file>

<file path=xl/worksheets/_rels/sheet11.xml.rels>&#65279;<?xml version="1.0" encoding="utf-8"?><Relationships xmlns="http://schemas.openxmlformats.org/package/2006/relationships"><Relationship Type="http://schemas.openxmlformats.org/officeDocument/2006/relationships/table" Target="/xl/tables/table10.xml" Id="R421f2bc3b10a4ce0" /></Relationships>
</file>

<file path=xl/worksheets/_rels/sheet12.xml.rels>&#65279;<?xml version="1.0" encoding="utf-8"?><Relationships xmlns="http://schemas.openxmlformats.org/package/2006/relationships"><Relationship Type="http://schemas.openxmlformats.org/officeDocument/2006/relationships/table" Target="/xl/tables/table11.xml" Id="Rf5ad72ac1dfa41d6" /></Relationships>
</file>

<file path=xl/worksheets/_rels/sheet13.xml.rels>&#65279;<?xml version="1.0" encoding="utf-8"?><Relationships xmlns="http://schemas.openxmlformats.org/package/2006/relationships"><Relationship Type="http://schemas.openxmlformats.org/officeDocument/2006/relationships/table" Target="/xl/tables/table12.xml" Id="Rac2907c1515b432a" /></Relationships>
</file>

<file path=xl/worksheets/_rels/sheet14.xml.rels>&#65279;<?xml version="1.0" encoding="utf-8"?><Relationships xmlns="http://schemas.openxmlformats.org/package/2006/relationships"><Relationship Type="http://schemas.openxmlformats.org/officeDocument/2006/relationships/table" Target="/xl/tables/table13.xml" Id="R64282ed278a04832" /></Relationships>
</file>

<file path=xl/worksheets/sheet1.xml><?xml version="1.0" encoding="utf-8"?>
<x:worksheet xmlns:x="http://schemas.openxmlformats.org/spreadsheetml/2006/main">
  <x:sheetFormatPr baseColWidth="8" defaultRowHeight="15"/>
  <x:cols>
    <x:col min="1" max="1" width="32" customWidth="1"/>
    <x:col min="2" max="2" width="46" customWidth="1"/>
    <x:col min="4" max="4" width="32" customWidth="1"/>
    <x:col min="5" max="5" width="18" customWidth="1"/>
  </x:cols>
  <x:sheetData>
    <x:row r="1" ht="28" customHeight="1">
      <x:c r="A1" s="42" t="inlineStr">
        <x:is>
          <x:t xml:space="preserve">Maternal Family Tree of Fredric Muller Vollmer — Records-First Corrected Edition</x:t>
        </x:is>
      </x:c>
      <x:c r="B1" s="41" t="n"/>
      <x:c r="C1" s="41" t="n"/>
      <x:c r="D1" s="41" t="n"/>
      <x:c r="E1" s="41" t="n"/>
      <x:c r="F1" s="41" t="n"/>
      <x:c r="G1" s="41" t="n"/>
      <x:c r="H1" s="41" t="n"/>
    </x:row>
    <x:row r="2" ht="28" customHeight="1">
      <x:c r="A2" s="43" t="inlineStr">
        <x:is>
          <x:t xml:space="preserve">Direct ancestry plus bounded collateral-family audit — 30 August 2026</x:t>
        </x:is>
      </x:c>
      <x:c r="B2" s="41" t="n"/>
      <x:c r="C2" s="41" t="n"/>
      <x:c r="D2" s="41" t="n"/>
      <x:c r="E2" s="41" t="n"/>
      <x:c r="F2" s="41" t="n"/>
      <x:c r="G2" s="41" t="n"/>
      <x:c r="H2" s="41" t="n"/>
    </x:row>
    <x:row r="3">
      <x:c r="A3" s="39" t="n"/>
      <x:c r="B3" s="39" t="n"/>
      <x:c r="C3" s="39" t="n"/>
      <x:c r="D3" s="39" t="n"/>
      <x:c r="E3" s="39" t="n"/>
      <x:c r="F3" s="39" t="n"/>
      <x:c r="G3" s="39" t="n"/>
      <x:c r="H3" s="39" t="n"/>
    </x:row>
    <x:row r="4" ht="66" customHeight="1">
      <x:c r="A4" s="44" t="inlineStr">
        <x:is>
          <x:t xml:space="preserve">Scope: the 169-person direct maternal ancestor register is retained. The corrected collateral extension reconstructs each grandparental household from the parents downward, adds Fredric’s immediate maternal family, and includes Jan’s aunts/uncles and first cousins on both the Muller/Lee and McCormick/Slaughter branches. Children of Jan’s cousins are outside scope. Living dates and private contact details are omitted.</x:t>
        </x:is>
      </x:c>
      <x:c r="B4" s="41" t="n"/>
      <x:c r="C4" s="41" t="n"/>
      <x:c r="D4" s="41" t="n"/>
      <x:c r="E4" s="41" t="n"/>
      <x:c r="F4" s="41" t="n"/>
      <x:c r="G4" s="41" t="n"/>
      <x:c r="H4" s="41" t="n"/>
    </x:row>
    <x:row r="5">
      <x:c r="A5" s="39" t="n"/>
      <x:c r="B5" s="39" t="n"/>
      <x:c r="C5" s="39" t="n"/>
      <x:c r="D5" s="39" t="n"/>
      <x:c r="E5" s="39" t="n"/>
      <x:c r="F5" s="39" t="n"/>
      <x:c r="G5" s="39" t="n"/>
      <x:c r="H5" s="39" t="n"/>
    </x:row>
    <x:row r="6">
      <x:c r="A6" s="45" t="inlineStr">
        <x:is>
          <x:t xml:space="preserve">Confidence</x:t>
        </x:is>
      </x:c>
      <x:c r="B6" s="45" t="inlineStr">
        <x:is>
          <x:t xml:space="preserve">Meaning</x:t>
        </x:is>
      </x:c>
      <x:c r="C6" s="39" t="n"/>
      <x:c r="D6" s="45" t="inlineStr">
        <x:is>
          <x:t xml:space="preserve">Metric</x:t>
        </x:is>
      </x:c>
      <x:c r="E6" s="45" t="inlineStr">
        <x:is>
          <x:t xml:space="preserve">Value</x:t>
        </x:is>
      </x:c>
      <x:c r="F6" s="39" t="n"/>
      <x:c r="G6" s="39" t="n"/>
      <x:c r="H6" s="39" t="n"/>
    </x:row>
    <x:row r="7" ht="44" customHeight="1">
      <x:c r="A7" s="39" t="inlineStr">
        <x:is>
          <x:t xml:space="preserve">A - Confirmed</x:t>
        </x:is>
      </x:c>
      <x:c r="B7" s="39" t="inlineStr">
        <x:is>
          <x:t xml:space="preserve">Strong primary/near-primary chain or close family evidence with corroboration</x:t>
        </x:is>
      </x:c>
      <x:c r="C7" s="39" t="n"/>
      <x:c r="D7" s="39" t="inlineStr">
        <x:is>
          <x:t xml:space="preserve">People in dataset</x:t>
        </x:is>
      </x:c>
      <x:c r="E7" s="39" t="n">
        <x:v>169</x:v>
      </x:c>
      <x:c r="F7" s="39" t="n"/>
      <x:c r="G7" s="39" t="n"/>
      <x:c r="H7" s="39" t="n"/>
    </x:row>
    <x:row r="8" ht="44" customHeight="1">
      <x:c r="A8" s="39" t="inlineStr">
        <x:is>
          <x:t xml:space="preserve">B - Strong</x:t>
        </x:is>
      </x:c>
      <x:c r="B8" s="39" t="inlineStr">
        <x:is>
          <x:t xml:space="preserve">Sourced secondary compilation, court/census/cemetery evidence, or record-referenced profile</x:t>
        </x:is>
      </x:c>
      <x:c r="C8" s="39" t="n"/>
      <x:c r="D8" s="39" t="inlineStr">
        <x:is>
          <x:t xml:space="preserve">Maximum generation</x:t>
        </x:is>
      </x:c>
      <x:c r="E8" s="39" t="n">
        <x:v>15</x:v>
      </x:c>
      <x:c r="F8" s="39" t="n"/>
      <x:c r="G8" s="39" t="n"/>
      <x:c r="H8" s="39" t="n"/>
    </x:row>
    <x:row r="9" ht="44" customHeight="1">
      <x:c r="A9" s="39" t="inlineStr">
        <x:is>
          <x:t xml:space="preserve">C - Provisional</x:t>
        </x:is>
      </x:c>
      <x:c r="B9" s="39" t="inlineStr">
        <x:is>
          <x:t xml:space="preserve">Family chart or incomplete proof; useful research lead</x:t>
        </x:is>
      </x:c>
      <x:c r="C9" s="39" t="n"/>
      <x:c r="D9" s="39" t="inlineStr">
        <x:is>
          <x:t xml:space="preserve">Confirmed (A)</x:t>
        </x:is>
      </x:c>
      <x:c r="E9" s="39" t="n">
        <x:f>COUNTIF('Ancestor Index'!$M:$M,"A - Confirmed")</x:f>
        <x:v>20</x:v>
      </x:c>
      <x:c r="F9" s="39" t="n"/>
      <x:c r="G9" s="39" t="n"/>
      <x:c r="H9" s="39" t="n"/>
    </x:row>
    <x:row r="10" ht="44" customHeight="1">
      <x:c r="A10" s="39" t="inlineStr">
        <x:is>
          <x:t xml:space="preserve">D - Traditional / disputed</x:t>
        </x:is>
      </x:c>
      <x:c r="B10" s="39" t="inlineStr">
        <x:is>
          <x:t xml:space="preserve">Inherited claim or disputed earlier link</x:t>
        </x:is>
      </x:c>
      <x:c r="C10" s="39" t="n"/>
      <x:c r="D10" s="39" t="inlineStr">
        <x:is>
          <x:t xml:space="preserve">Strong (B)</x:t>
        </x:is>
      </x:c>
      <x:c r="E10" s="39" t="n">
        <x:f>COUNTIF('Ancestor Index'!$M:$M,"B - Strong")</x:f>
        <x:v>108</x:v>
      </x:c>
      <x:c r="F10" s="39" t="n"/>
      <x:c r="G10" s="39" t="n"/>
      <x:c r="H10" s="39" t="n"/>
    </x:row>
    <x:row r="11" ht="44" customHeight="1">
      <x:c r="A11" s="39" t="n"/>
      <x:c r="B11" s="39" t="n"/>
      <x:c r="C11" s="39" t="n"/>
      <x:c r="D11" s="39" t="inlineStr">
        <x:is>
          <x:t xml:space="preserve">Provisional/disputed (C+D)</x:t>
        </x:is>
      </x:c>
      <x:c r="E11" s="39" t="n">
        <x:f>COUNTIF('Ancestor Index'!$M:$M,"C - Provisional")+COUNTIF('Ancestor Index'!$M:$M,"D - Traditional / disputed")</x:f>
        <x:v>41</x:v>
      </x:c>
      <x:c r="F11" s="39" t="n"/>
      <x:c r="G11" s="39" t="n"/>
      <x:c r="H11" s="39" t="n"/>
    </x:row>
    <x:row r="12">
      <x:c r="A12" s="39" t="n"/>
      <x:c r="B12" s="39" t="n"/>
      <x:c r="C12" s="39" t="n"/>
      <x:c r="D12" s="39" t="n"/>
      <x:c r="E12" s="39" t="n"/>
      <x:c r="F12" s="39" t="n"/>
      <x:c r="G12" s="39" t="n"/>
      <x:c r="H12" s="39" t="n"/>
    </x:row>
    <x:row r="13">
      <x:c r="A13" s="45" t="inlineStr">
        <x:is>
          <x:t xml:space="preserve">Branch</x:t>
        </x:is>
      </x:c>
      <x:c r="B13" s="45" t="inlineStr">
        <x:is>
          <x:t xml:space="preserve">People</x:t>
        </x:is>
      </x:c>
      <x:c r="C13" s="39" t="n"/>
      <x:c r="D13" s="39" t="n"/>
      <x:c r="E13" s="39" t="n"/>
      <x:c r="F13" s="39" t="n"/>
      <x:c r="G13" s="39" t="n"/>
      <x:c r="H13" s="39" t="n"/>
    </x:row>
    <x:row r="14">
      <x:c r="A14" s="39" t="inlineStr">
        <x:is>
          <x:t xml:space="preserve">Root</x:t>
        </x:is>
      </x:c>
      <x:c r="B14" s="39" t="n">
        <x:v>3</x:v>
      </x:c>
      <x:c r="C14" s="39" t="n"/>
      <x:c r="D14" s="39" t="n"/>
      <x:c r="E14" s="39" t="n"/>
      <x:c r="F14" s="39" t="n"/>
      <x:c r="G14" s="39" t="n"/>
      <x:c r="H14" s="39" t="n"/>
    </x:row>
    <x:row r="15">
      <x:c r="A15" s="39" t="inlineStr">
        <x:is>
          <x:t xml:space="preserve">Muller / Kleitz</x:t>
        </x:is>
      </x:c>
      <x:c r="B15" s="39" t="n">
        <x:v>9</x:v>
      </x:c>
      <x:c r="C15" s="39" t="n"/>
      <x:c r="D15" s="39" t="n"/>
      <x:c r="E15" s="39" t="n"/>
      <x:c r="F15" s="39" t="n"/>
      <x:c r="G15" s="39" t="n"/>
      <x:c r="H15" s="39" t="n"/>
    </x:row>
    <x:row r="16">
      <x:c r="A16" s="39" t="inlineStr">
        <x:is>
          <x:t xml:space="preserve">Lee / New England</x:t>
        </x:is>
      </x:c>
      <x:c r="B16" s="39" t="n">
        <x:v>95</x:v>
      </x:c>
      <x:c r="C16" s="39" t="n"/>
      <x:c r="D16" s="39" t="n"/>
      <x:c r="E16" s="39" t="n"/>
      <x:c r="F16" s="39" t="n"/>
      <x:c r="G16" s="39" t="n"/>
      <x:c r="H16" s="39" t="n"/>
    </x:row>
    <x:row r="17">
      <x:c r="A17" s="39" t="inlineStr">
        <x:is>
          <x:t xml:space="preserve">McCormick / O’Brien</x:t>
        </x:is>
      </x:c>
      <x:c r="B17" s="39" t="n">
        <x:v>8</x:v>
      </x:c>
      <x:c r="C17" s="39" t="n"/>
      <x:c r="D17" s="39" t="n"/>
      <x:c r="E17" s="39" t="n"/>
      <x:c r="F17" s="39" t="n"/>
      <x:c r="G17" s="39" t="n"/>
      <x:c r="H17" s="39" t="n"/>
    </x:row>
    <x:row r="18">
      <x:c r="A18" s="39" t="inlineStr">
        <x:is>
          <x:t xml:space="preserve">Brooks / Field</x:t>
        </x:is>
      </x:c>
      <x:c r="B18" s="39" t="n">
        <x:v>10</x:v>
      </x:c>
      <x:c r="C18" s="39" t="n"/>
      <x:c r="D18" s="39" t="n"/>
      <x:c r="E18" s="39" t="n"/>
      <x:c r="F18" s="39" t="n"/>
      <x:c r="G18" s="39" t="n"/>
      <x:c r="H18" s="39" t="n"/>
    </x:row>
    <x:row r="19">
      <x:c r="A19" s="39" t="inlineStr">
        <x:is>
          <x:t xml:space="preserve">Slaughter / Bush</x:t>
        </x:is>
      </x:c>
      <x:c r="B19" s="39" t="n">
        <x:v>4</x:v>
      </x:c>
      <x:c r="C19" s="39" t="n"/>
      <x:c r="D19" s="39" t="n"/>
      <x:c r="E19" s="39" t="n"/>
      <x:c r="F19" s="39" t="n"/>
      <x:c r="G19" s="39" t="n"/>
      <x:c r="H19" s="39" t="n"/>
    </x:row>
    <x:row r="20">
      <x:c r="A20" s="39" t="inlineStr">
        <x:is>
          <x:t xml:space="preserve">Rives / Harrison</x:t>
        </x:is>
      </x:c>
      <x:c r="B20" s="39" t="n">
        <x:v>23</x:v>
      </x:c>
      <x:c r="C20" s="39" t="n"/>
      <x:c r="D20" s="39" t="n"/>
      <x:c r="E20" s="39" t="n"/>
      <x:c r="F20" s="39" t="n"/>
      <x:c r="G20" s="39" t="n"/>
      <x:c r="H20" s="39" t="n"/>
    </x:row>
    <x:row r="21">
      <x:c r="A21" s="39" t="inlineStr">
        <x:is>
          <x:t xml:space="preserve">Agee / Ford / Bondurant</x:t>
        </x:is>
      </x:c>
      <x:c r="B21" s="39" t="n">
        <x:v>17</x:v>
      </x:c>
      <x:c r="C21" s="39" t="n"/>
      <x:c r="D21" s="39" t="n"/>
      <x:c r="E21" s="39" t="n"/>
      <x:c r="F21" s="39" t="n"/>
      <x:c r="G21" s="39" t="n"/>
      <x:c r="H21" s="39" t="n"/>
    </x:row>
    <x:row r="22">
      <x:c r="A22" s="39" t="n"/>
      <x:c r="B22" s="39" t="n"/>
      <x:c r="C22" s="39" t="n"/>
      <x:c r="D22" s="39" t="n"/>
      <x:c r="E22" s="39" t="n"/>
      <x:c r="F22" s="39" t="n"/>
      <x:c r="G22" s="39" t="n"/>
      <x:c r="H22" s="39" t="n"/>
    </x:row>
    <x:row r="23">
      <x:c r="A23" s="46" t="inlineStr">
        <x:is>
          <x:t xml:space="preserve">Collateral audit metric</x:t>
        </x:is>
      </x:c>
      <x:c r="B23" s="46" t="inlineStr">
        <x:is>
          <x:t xml:space="preserve">Value</x:t>
        </x:is>
      </x:c>
      <x:c r="C23" s="46" t="n"/>
      <x:c r="D23" s="46" t="n"/>
      <x:c r="E23" s="46" t="n"/>
      <x:c r="F23" s="46" t="n"/>
      <x:c r="G23" s="46" t="n"/>
      <x:c r="H23" s="46" t="n"/>
    </x:row>
    <x:row r="24">
      <x:c r="A24" s="39" t="inlineStr">
        <x:is>
          <x:t xml:space="preserve">People in corrected collateral dataset</x:t>
        </x:is>
      </x:c>
      <x:c r="B24" s="39" t="n">
        <x:v>39</x:v>
      </x:c>
      <x:c r="C24" s="39" t="n"/>
      <x:c r="D24" s="39" t="n"/>
      <x:c r="E24" s="39" t="n"/>
      <x:c r="F24" s="39" t="n"/>
      <x:c r="G24" s="39" t="n"/>
      <x:c r="H24" s="39" t="n"/>
    </x:row>
    <x:row r="25">
      <x:c r="A25" s="39" t="inlineStr">
        <x:is>
          <x:t xml:space="preserve">Households audited</x:t>
        </x:is>
      </x:c>
      <x:c r="B25" s="39" t="n">
        <x:v>8</x:v>
      </x:c>
      <x:c r="C25" s="39" t="n"/>
      <x:c r="D25" s="39" t="n"/>
      <x:c r="E25" s="39" t="n"/>
      <x:c r="F25" s="39" t="n"/>
      <x:c r="G25" s="39" t="n"/>
      <x:c r="H25" s="39" t="n"/>
    </x:row>
    <x:row r="26">
      <x:c r="A26" s="39" t="inlineStr">
        <x:is>
          <x:t xml:space="preserve">Jan first cousins identified</x:t>
        </x:is>
      </x:c>
      <x:c r="B26" s="39" t="n">
        <x:v>12</x:v>
      </x:c>
      <x:c r="C26" s="39" t="n"/>
      <x:c r="D26" s="39" t="n"/>
      <x:c r="E26" s="39" t="n"/>
      <x:c r="F26" s="39" t="n"/>
      <x:c r="G26" s="39" t="n"/>
      <x:c r="H26" s="39" t="n"/>
    </x:row>
    <x:row r="27">
      <x:c r="A27" s="39" t="inlineStr">
        <x:is>
          <x:t xml:space="preserve">Fredric maternal first cousins identified through Jan’s sibling line</x:t>
        </x:is>
      </x:c>
      <x:c r="B27" s="39" t="n">
        <x:v>0</x:v>
      </x:c>
      <x:c r="C27" s="39" t="n"/>
      <x:c r="D27" s="39" t="n"/>
      <x:c r="E27" s="39" t="n"/>
      <x:c r="F27" s="39" t="n"/>
      <x:c r="G27" s="39" t="n"/>
      <x:c r="H27" s="39" t="n"/>
    </x:row>
    <x:row r="28">
      <x:c r="A28" s="39" t="inlineStr">
        <x:is>
          <x:t xml:space="preserve">Unresolved descendant questions</x:t>
        </x:is>
      </x:c>
      <x:c r="B28" s="39" t="n">
        <x:v>2</x:v>
      </x:c>
      <x:c r="C28" s="39" t="n"/>
      <x:c r="D28" s="39" t="n"/>
      <x:c r="E28" s="39" t="n"/>
      <x:c r="F28" s="39" t="n"/>
      <x:c r="G28" s="39" t="n"/>
      <x:c r="H28" s="39" t="n"/>
    </x:row>
  </x:sheetData>
  <x:mergeCells>
    <x:mergeCell ref="A4:H4"/>
    <x:mergeCell ref="A2:H2"/>
    <x:mergeCell ref="A1:H1"/>
  </x:mergeCells>
  <x:pageMargins left="0.7" right="0.7" top="0.75" bottom="0.75" header="0.3" footer="0.3"/>
  <x:drawing xmlns:r="http://schemas.openxmlformats.org/officeDocument/2006/relationships" r:id="Ra696d182271140d9"/>
</x:worksheet>
</file>

<file path=xl/worksheets/sheet2.xml><?xml version="1.0" encoding="utf-8"?>
<x:worksheet xmlns:x="http://schemas.openxmlformats.org/spreadsheetml/2006/main">
  <x:sheetFormatPr baseColWidth="8" defaultRowHeight="15"/>
  <x:cols>
    <x:col min="1" max="1" width="12" customWidth="1"/>
    <x:col min="2" max="2" width="14" customWidth="1"/>
    <x:col min="3" max="3" width="10" customWidth="1"/>
    <x:col min="4" max="4" width="31" customWidth="1"/>
    <x:col min="5" max="5" width="7" customWidth="1"/>
    <x:col min="6" max="6" width="18" customWidth="1"/>
    <x:col min="7" max="7" width="10" customWidth="1"/>
    <x:col min="8" max="8" width="27" customWidth="1"/>
    <x:col min="9" max="9" width="18" customWidth="1"/>
    <x:col min="10" max="10" width="10" customWidth="1"/>
    <x:col min="11" max="11" width="27" customWidth="1"/>
    <x:col min="12" max="12" width="25" customWidth="1"/>
    <x:col min="13" max="13" width="24" customWidth="1"/>
    <x:col min="14" max="14" width="28" customWidth="1"/>
    <x:col min="15" max="15" width="28" customWidth="1"/>
    <x:col min="16" max="16" width="60" customWidth="1"/>
    <x:col min="17" max="17" width="62" customWidth="1"/>
    <x:col min="18" max="18" width="18" customWidth="1"/>
  </x:cols>
  <x:sheetData>
    <x:row r="1">
      <x:c r="A1" s="38" t="inlineStr">
        <x:is>
          <x:t xml:space="preserve">Person ID</x:t>
        </x:is>
      </x:c>
      <x:c r="B1" s="38" t="inlineStr">
        <x:is>
          <x:t xml:space="preserve">Ahnentafel No.</x:t>
        </x:is>
      </x:c>
      <x:c r="C1" s="38" t="inlineStr">
        <x:is>
          <x:t xml:space="preserve">Generation</x:t>
        </x:is>
      </x:c>
      <x:c r="D1" s="38" t="inlineStr">
        <x:is>
          <x:t xml:space="preserve">Name</x:t>
        </x:is>
      </x:c>
      <x:c r="E1" s="38" t="inlineStr">
        <x:is>
          <x:t xml:space="preserve">Sex</x:t>
        </x:is>
      </x:c>
      <x:c r="F1" s="38" t="inlineStr">
        <x:is>
          <x:t xml:space="preserve">Birth date</x:t>
        </x:is>
      </x:c>
      <x:c r="G1" s="38" t="inlineStr">
        <x:is>
          <x:t xml:space="preserve">Birth year</x:t>
        </x:is>
      </x:c>
      <x:c r="H1" s="38" t="inlineStr">
        <x:is>
          <x:t xml:space="preserve">Birth place</x:t>
        </x:is>
      </x:c>
      <x:c r="I1" s="38" t="inlineStr">
        <x:is>
          <x:t xml:space="preserve">Death date</x:t>
        </x:is>
      </x:c>
      <x:c r="J1" s="38" t="inlineStr">
        <x:is>
          <x:t xml:space="preserve">Death year</x:t>
        </x:is>
      </x:c>
      <x:c r="K1" s="38" t="inlineStr">
        <x:is>
          <x:t xml:space="preserve">Death place</x:t>
        </x:is>
      </x:c>
      <x:c r="L1" s="38" t="inlineStr">
        <x:is>
          <x:t xml:space="preserve">Branch</x:t>
        </x:is>
      </x:c>
      <x:c r="M1" s="38" t="inlineStr">
        <x:is>
          <x:t xml:space="preserve">Confidence</x:t>
        </x:is>
      </x:c>
      <x:c r="N1" s="38" t="inlineStr">
        <x:is>
          <x:t xml:space="preserve">Father</x:t>
        </x:is>
      </x:c>
      <x:c r="O1" s="38" t="inlineStr">
        <x:is>
          <x:t xml:space="preserve">Mother</x:t>
        </x:is>
      </x:c>
      <x:c r="P1" s="38" t="inlineStr">
        <x:is>
          <x:t xml:space="preserve">Path from Fredric</x:t>
        </x:is>
      </x:c>
      <x:c r="Q1" s="38" t="inlineStr">
        <x:is>
          <x:t xml:space="preserve">Evidence note</x:t>
        </x:is>
      </x:c>
      <x:c r="R1" s="38" t="inlineStr">
        <x:is>
          <x:t xml:space="preserve">Source IDs</x:t>
        </x:is>
      </x:c>
    </x:row>
    <x:row r="2">
      <x:c r="A2" s="39" t="inlineStr">
        <x:is>
          <x:t xml:space="preserve">I001</x:t>
        </x:is>
      </x:c>
      <x:c r="B2" s="39" t="inlineStr">
        <x:is>
          <x:t xml:space="preserve">1</x:t>
        </x:is>
      </x:c>
      <x:c r="C2" s="39" t="n">
        <x:v>0</x:v>
      </x:c>
      <x:c r="D2" s="39" t="inlineStr">
        <x:is>
          <x:t xml:space="preserve">Fredric Muller Vollmer</x:t>
        </x:is>
      </x:c>
      <x:c r="E2" s="39" t="inlineStr">
        <x:is>
          <x:t xml:space="preserve">M</x:t>
        </x:is>
      </x:c>
      <x:c r="F2" s="39" t="str"/>
      <x:c r="G2" s="39" t="n"/>
      <x:c r="H2" s="39" t="str"/>
      <x:c r="I2" s="39" t="str"/>
      <x:c r="J2" s="39" t="n"/>
      <x:c r="K2" s="39" t="str"/>
      <x:c r="L2" s="39" t="inlineStr">
        <x:is>
          <x:t xml:space="preserve">Root</x:t>
        </x:is>
      </x:c>
      <x:c r="M2" s="39" t="inlineStr">
        <x:is>
          <x:t xml:space="preserve">A - Confirmed</x:t>
        </x:is>
      </x:c>
      <x:c r="N2" s="39" t="str"/>
      <x:c r="O2" s="39" t="inlineStr">
        <x:is>
          <x:t xml:space="preserve">Jan Muller Vollmer</x:t>
        </x:is>
      </x:c>
      <x:c r="P2" s="39" t="inlineStr">
        <x:is>
          <x:t xml:space="preserve">Fredric Muller Vollmer</x:t>
        </x:is>
      </x:c>
      <x:c r="Q2" s="39" t="inlineStr">
        <x:is>
          <x:t xml:space="preserve">Living person; dates intentionally omitted.</x:t>
        </x:is>
      </x:c>
      <x:c r="R2" s="39" t="inlineStr">
        <x:is>
          <x:t xml:space="preserve">S1</x:t>
        </x:is>
      </x:c>
    </x:row>
    <x:row r="3">
      <x:c r="A3" s="39" t="inlineStr">
        <x:is>
          <x:t xml:space="preserve">I002</x:t>
        </x:is>
      </x:c>
      <x:c r="B3" s="39" t="inlineStr">
        <x:is>
          <x:t xml:space="preserve">3</x:t>
        </x:is>
      </x:c>
      <x:c r="C3" s="39" t="n">
        <x:v>1</x:v>
      </x:c>
      <x:c r="D3" s="39" t="inlineStr">
        <x:is>
          <x:t xml:space="preserve">Jan Muller Vollmer</x:t>
        </x:is>
      </x:c>
      <x:c r="E3" s="39" t="inlineStr">
        <x:is>
          <x:t xml:space="preserve">F</x:t>
        </x:is>
      </x:c>
      <x:c r="F3" s="39" t="str"/>
      <x:c r="G3" s="39" t="n"/>
      <x:c r="H3" s="39" t="str"/>
      <x:c r="I3" s="39" t="str"/>
      <x:c r="J3" s="39" t="n"/>
      <x:c r="K3" s="39" t="str"/>
      <x:c r="L3" s="39" t="inlineStr">
        <x:is>
          <x:t xml:space="preserve">Root</x:t>
        </x:is>
      </x:c>
      <x:c r="M3" s="39" t="inlineStr">
        <x:is>
          <x:t xml:space="preserve">A - Confirmed</x:t>
        </x:is>
      </x:c>
      <x:c r="N3" s="39" t="inlineStr">
        <x:is>
          <x:t xml:space="preserve">Arthur John Muller</x:t>
        </x:is>
      </x:c>
      <x:c r="O3" s="39" t="inlineStr">
        <x:is>
          <x:t xml:space="preserve">Anne Rives McCormick Muller</x:t>
        </x:is>
      </x:c>
      <x:c r="P3" s="39" t="inlineStr">
        <x:is>
          <x:t xml:space="preserve">Fredric Muller Vollmer → Jan Muller Vollmer</x:t>
        </x:is>
      </x:c>
      <x:c r="Q3" s="39" t="inlineStr">
        <x:is>
          <x:t xml:space="preserve">Living person; dates intentionally omitted.</x:t>
        </x:is>
      </x:c>
      <x:c r="R3" s="39" t="inlineStr">
        <x:is>
          <x:t xml:space="preserve">S1, S2</x:t>
        </x:is>
      </x:c>
    </x:row>
    <x:row r="4">
      <x:c r="A4" s="39" t="inlineStr">
        <x:is>
          <x:t xml:space="preserve">I003</x:t>
        </x:is>
      </x:c>
      <x:c r="B4" s="39" t="inlineStr">
        <x:is>
          <x:t xml:space="preserve">6</x:t>
        </x:is>
      </x:c>
      <x:c r="C4" s="39" t="n">
        <x:v>2</x:v>
      </x:c>
      <x:c r="D4" s="39" t="inlineStr">
        <x:is>
          <x:t xml:space="preserve">Arthur John Muller</x:t>
        </x:is>
      </x:c>
      <x:c r="E4" s="39" t="inlineStr">
        <x:is>
          <x:t xml:space="preserve">M</x:t>
        </x:is>
      </x:c>
      <x:c r="F4" s="39" t="inlineStr">
        <x:is>
          <x:t xml:space="preserve">12 May 1925</x:t>
        </x:is>
      </x:c>
      <x:c r="G4" s="39" t="n">
        <x:v>1925</x:v>
      </x:c>
      <x:c r="H4" s="39" t="inlineStr">
        <x:is>
          <x:t xml:space="preserve">Detroit, Michigan</x:t>
        </x:is>
      </x:c>
      <x:c r="I4" s="39" t="inlineStr">
        <x:is>
          <x:t xml:space="preserve">9 Jan 2005</x:t>
        </x:is>
      </x:c>
      <x:c r="J4" s="39" t="n">
        <x:v>2005</x:v>
      </x:c>
      <x:c r="K4" s="39" t="inlineStr">
        <x:is>
          <x:t xml:space="preserve">Bellingham, Washington</x:t>
        </x:is>
      </x:c>
      <x:c r="L4" s="39" t="inlineStr">
        <x:is>
          <x:t xml:space="preserve">Muller / Kleitz</x:t>
        </x:is>
      </x:c>
      <x:c r="M4" s="39" t="inlineStr">
        <x:is>
          <x:t xml:space="preserve">A - Confirmed</x:t>
        </x:is>
      </x:c>
      <x:c r="N4" s="39" t="inlineStr">
        <x:is>
          <x:t xml:space="preserve">Arthur Herman Muller</x:t>
        </x:is>
      </x:c>
      <x:c r="O4" s="39" t="inlineStr">
        <x:is>
          <x:t xml:space="preserve">Elma Anna Lee</x:t>
        </x:is>
      </x:c>
      <x:c r="P4" s="39" t="inlineStr">
        <x:is>
          <x:t xml:space="preserve">Fredric Muller Vollmer → Jan Muller Vollmer → Arthur John Muller</x:t>
        </x:is>
      </x:c>
      <x:c r="Q4" s="39" t="inlineStr">
        <x:is>
          <x:t xml:space="preserve">U.S. Army, 1943-1945; Company B, 134th Infantry, 35th Division. Family members called him Art or Opa.</x:t>
        </x:is>
      </x:c>
      <x:c r="R4" s="39" t="inlineStr">
        <x:is>
          <x:t xml:space="preserve">S2, S5</x:t>
        </x:is>
      </x:c>
    </x:row>
    <x:row r="5">
      <x:c r="A5" s="39" t="inlineStr">
        <x:is>
          <x:t xml:space="preserve">I004</x:t>
        </x:is>
      </x:c>
      <x:c r="B5" s="39" t="inlineStr">
        <x:is>
          <x:t xml:space="preserve">7</x:t>
        </x:is>
      </x:c>
      <x:c r="C5" s="39" t="n">
        <x:v>2</x:v>
      </x:c>
      <x:c r="D5" s="39" t="inlineStr">
        <x:is>
          <x:t xml:space="preserve">Anne Rives McCormick Muller</x:t>
        </x:is>
      </x:c>
      <x:c r="E5" s="39" t="inlineStr">
        <x:is>
          <x:t xml:space="preserve">F</x:t>
        </x:is>
      </x:c>
      <x:c r="F5" s="39" t="inlineStr">
        <x:is>
          <x:t xml:space="preserve">30 May 1927</x:t>
        </x:is>
      </x:c>
      <x:c r="G5" s="39" t="n">
        <x:v>1927</x:v>
      </x:c>
      <x:c r="H5" s="39" t="str"/>
      <x:c r="I5" s="39" t="inlineStr">
        <x:is>
          <x:t xml:space="preserve">2016</x:t>
        </x:is>
      </x:c>
      <x:c r="J5" s="39" t="n">
        <x:v>2016</x:v>
      </x:c>
      <x:c r="K5" s="39" t="str"/>
      <x:c r="L5" s="39" t="inlineStr">
        <x:is>
          <x:t xml:space="preserve">Root</x:t>
        </x:is>
      </x:c>
      <x:c r="M5" s="39" t="inlineStr">
        <x:is>
          <x:t xml:space="preserve">A - Confirmed</x:t>
        </x:is>
      </x:c>
      <x:c r="N5" s="39" t="inlineStr">
        <x:is>
          <x:t xml:space="preserve">Charles Ellsworth McCormick II</x:t>
        </x:is>
      </x:c>
      <x:c r="O5" s="39" t="inlineStr">
        <x:is>
          <x:t xml:space="preserve">Eloise A. “Elvie/Elvia” Slaughter McCormick</x:t>
        </x:is>
      </x:c>
      <x:c r="P5" s="39" t="inlineStr">
        <x:is>
          <x:t xml:space="preserve">Fredric Muller Vollmer → Jan Muller Vollmer → Anne Rives McCormick Muller</x:t>
        </x:is>
      </x:c>
      <x:c r="Q5" s="39" t="inlineStr">
        <x:is>
          <x:t xml:space="preserve">The 1937 Agee history spells her given name Ann; family usage is Anne.</x:t>
        </x:is>
      </x:c>
      <x:c r="R5" s="39" t="inlineStr">
        <x:is>
          <x:t xml:space="preserve">S1, S8</x:t>
        </x:is>
      </x:c>
    </x:row>
    <x:row r="6">
      <x:c r="A6" s="39" t="inlineStr">
        <x:is>
          <x:t xml:space="preserve">I006</x:t>
        </x:is>
      </x:c>
      <x:c r="B6" s="39" t="inlineStr">
        <x:is>
          <x:t xml:space="preserve">13</x:t>
        </x:is>
      </x:c>
      <x:c r="C6" s="39" t="n">
        <x:v>3</x:v>
      </x:c>
      <x:c r="D6" s="39" t="inlineStr">
        <x:is>
          <x:t xml:space="preserve">Elma Anna Lee</x:t>
        </x:is>
      </x:c>
      <x:c r="E6" s="39" t="inlineStr">
        <x:is>
          <x:t xml:space="preserve">F</x:t>
        </x:is>
      </x:c>
      <x:c r="F6" s="39" t="inlineStr">
        <x:is>
          <x:t xml:space="preserve">14 Jan 1897</x:t>
        </x:is>
      </x:c>
      <x:c r="G6" s="39" t="n">
        <x:v>1897</x:v>
      </x:c>
      <x:c r="H6" s="39" t="inlineStr">
        <x:is>
          <x:t xml:space="preserve">Caro, Michigan</x:t>
        </x:is>
      </x:c>
      <x:c r="I6" s="39" t="inlineStr">
        <x:is>
          <x:t xml:space="preserve">26 Dec 1972</x:t>
        </x:is>
      </x:c>
      <x:c r="J6" s="39" t="n">
        <x:v>1972</x:v>
      </x:c>
      <x:c r="K6" s="39" t="inlineStr">
        <x:is>
          <x:t xml:space="preserve">Detroit, Michigan</x:t>
        </x:is>
      </x:c>
      <x:c r="L6" s="39" t="inlineStr">
        <x:is>
          <x:t xml:space="preserve">Lee / New England</x:t>
        </x:is>
      </x:c>
      <x:c r="M6" s="39" t="inlineStr">
        <x:is>
          <x:t xml:space="preserve">A - Confirmed</x:t>
        </x:is>
      </x:c>
      <x:c r="N6" s="39" t="inlineStr">
        <x:is>
          <x:t xml:space="preserve">Elmer Ellsworth Lee</x:t>
        </x:is>
      </x:c>
      <x:c r="O6" s="39" t="inlineStr">
        <x:is>
          <x:t xml:space="preserve">Mary Wilhelmina Ohmer</x:t>
        </x:is>
      </x:c>
      <x:c r="P6" s="39" t="inlineStr">
        <x:is>
          <x:t xml:space="preserve">Fredric Muller Vollmer → Jan Muller Vollmer → Arthur John Muller → Elma Anna Lee</x:t>
        </x:is>
      </x:c>
      <x:c r="Q6" s="39" t="inlineStr">
        <x:is>
          <x:t xml:space="preserve">Called Gramma Muller in family correspondence.</x:t>
        </x:is>
      </x:c>
      <x:c r="R6" s="39" t="inlineStr">
        <x:is>
          <x:t xml:space="preserve">S2, S3, S24</x:t>
        </x:is>
      </x:c>
    </x:row>
    <x:row r="7">
      <x:c r="A7" s="39" t="inlineStr">
        <x:is>
          <x:t xml:space="preserve">I007</x:t>
        </x:is>
      </x:c>
      <x:c r="B7" s="39" t="inlineStr">
        <x:is>
          <x:t xml:space="preserve">14</x:t>
        </x:is>
      </x:c>
      <x:c r="C7" s="39" t="n">
        <x:v>3</x:v>
      </x:c>
      <x:c r="D7" s="39" t="inlineStr">
        <x:is>
          <x:t xml:space="preserve">Charles Ellsworth McCormick II</x:t>
        </x:is>
      </x:c>
      <x:c r="E7" s="39" t="inlineStr">
        <x:is>
          <x:t xml:space="preserve">M</x:t>
        </x:is>
      </x:c>
      <x:c r="F7" s="39" t="inlineStr">
        <x:is>
          <x:t xml:space="preserve">12 Jul 1896</x:t>
        </x:is>
      </x:c>
      <x:c r="G7" s="39" t="n">
        <x:v>1896</x:v>
      </x:c>
      <x:c r="H7" s="39" t="inlineStr">
        <x:is>
          <x:t xml:space="preserve">Kentucky</x:t>
        </x:is>
      </x:c>
      <x:c r="I7" s="39" t="inlineStr">
        <x:is>
          <x:t xml:space="preserve">9 Sep 1978</x:t>
        </x:is>
      </x:c>
      <x:c r="J7" s="39" t="n">
        <x:v>1978</x:v>
      </x:c>
      <x:c r="K7" s="39" t="inlineStr">
        <x:is>
          <x:t xml:space="preserve">Asheville, North Carolina</x:t>
        </x:is>
      </x:c>
      <x:c r="L7" s="39" t="inlineStr">
        <x:is>
          <x:t xml:space="preserve">McCormick / O’Brien</x:t>
        </x:is>
      </x:c>
      <x:c r="M7" s="39" t="inlineStr">
        <x:is>
          <x:t xml:space="preserve">A - Confirmed</x:t>
        </x:is>
      </x:c>
      <x:c r="N7" s="39" t="inlineStr">
        <x:is>
          <x:t xml:space="preserve">Charles Ellsworth McCormick I</x:t>
        </x:is>
      </x:c>
      <x:c r="O7" s="39" t="inlineStr">
        <x:is>
          <x:t xml:space="preserve">Mary Moore Brooks</x:t>
        </x:is>
      </x:c>
      <x:c r="P7" s="39" t="inlineStr">
        <x:is>
          <x:t xml:space="preserve">Fredric Muller Vollmer → Jan Muller Vollmer → Anne Rives McCormick Muller → Charles Ellsworth McCormick II</x:t>
        </x:is>
      </x:c>
      <x:c r="Q7" s="39" t="inlineStr">
        <x:is>
          <x:t xml:space="preserve">Known in family correspondence as Daddy Mac.</x:t>
        </x:is>
      </x:c>
      <x:c r="R7" s="39" t="inlineStr">
        <x:is>
          <x:t xml:space="preserve">S1, S25</x:t>
        </x:is>
      </x:c>
    </x:row>
    <x:row r="8">
      <x:c r="A8" s="39" t="inlineStr">
        <x:is>
          <x:t xml:space="preserve">I005</x:t>
        </x:is>
      </x:c>
      <x:c r="B8" s="39" t="inlineStr">
        <x:is>
          <x:t xml:space="preserve">12</x:t>
        </x:is>
      </x:c>
      <x:c r="C8" s="39" t="n">
        <x:v>3</x:v>
      </x:c>
      <x:c r="D8" s="39" t="inlineStr">
        <x:is>
          <x:t xml:space="preserve">Arthur Herman Muller</x:t>
        </x:is>
      </x:c>
      <x:c r="E8" s="39" t="inlineStr">
        <x:is>
          <x:t xml:space="preserve">M</x:t>
        </x:is>
      </x:c>
      <x:c r="F8" s="39" t="inlineStr">
        <x:is>
          <x:t xml:space="preserve">28 Nov 1896</x:t>
        </x:is>
      </x:c>
      <x:c r="G8" s="39" t="n">
        <x:v>1896</x:v>
      </x:c>
      <x:c r="H8" s="39" t="inlineStr">
        <x:is>
          <x:t xml:space="preserve">Highland Falls, New York</x:t>
        </x:is>
      </x:c>
      <x:c r="I8" s="39" t="inlineStr">
        <x:is>
          <x:t xml:space="preserve">1966</x:t>
        </x:is>
      </x:c>
      <x:c r="J8" s="39" t="n">
        <x:v>1966</x:v>
      </x:c>
      <x:c r="K8" s="39" t="str"/>
      <x:c r="L8" s="39" t="inlineStr">
        <x:is>
          <x:t xml:space="preserve">Muller / Kleitz</x:t>
        </x:is>
      </x:c>
      <x:c r="M8" s="39" t="inlineStr">
        <x:is>
          <x:t xml:space="preserve">B - Strong</x:t>
        </x:is>
      </x:c>
      <x:c r="N8" s="39" t="inlineStr">
        <x:is>
          <x:t xml:space="preserve">Christian August Vollrath Muller</x:t>
        </x:is>
      </x:c>
      <x:c r="O8" s="39" t="inlineStr">
        <x:is>
          <x:t xml:space="preserve">Henrietta Kleitz</x:t>
        </x:is>
      </x:c>
      <x:c r="P8" s="39" t="inlineStr">
        <x:is>
          <x:t xml:space="preserve">Fredric Muller Vollmer → Jan Muller Vollmer → Arthur John Muller → Arthur Herman Muller</x:t>
        </x:is>
      </x:c>
      <x:c r="Q8" s="39" t="str"/>
      <x:c r="R8" s="39" t="inlineStr">
        <x:is>
          <x:t xml:space="preserve">S2</x:t>
        </x:is>
      </x:c>
    </x:row>
    <x:row r="9">
      <x:c r="A9" s="39" t="inlineStr">
        <x:is>
          <x:t xml:space="preserve">I008</x:t>
        </x:is>
      </x:c>
      <x:c r="B9" s="39" t="inlineStr">
        <x:is>
          <x:t xml:space="preserve">15</x:t>
        </x:is>
      </x:c>
      <x:c r="C9" s="39" t="n">
        <x:v>3</x:v>
      </x:c>
      <x:c r="D9" s="39" t="inlineStr">
        <x:is>
          <x:t xml:space="preserve">Eloise A. “Elvie/Elvia” Slaughter McCormick</x:t>
        </x:is>
      </x:c>
      <x:c r="E9" s="39" t="inlineStr">
        <x:is>
          <x:t xml:space="preserve">F</x:t>
        </x:is>
      </x:c>
      <x:c r="F9" s="39" t="inlineStr">
        <x:is>
          <x:t xml:space="preserve">25 Dec 1903</x:t>
        </x:is>
      </x:c>
      <x:c r="G9" s="39" t="n">
        <x:v>1903</x:v>
      </x:c>
      <x:c r="H9" s="39" t="str"/>
      <x:c r="I9" s="39" t="inlineStr">
        <x:is>
          <x:t xml:space="preserve">1993</x:t>
        </x:is>
      </x:c>
      <x:c r="J9" s="39" t="n">
        <x:v>1993</x:v>
      </x:c>
      <x:c r="K9" s="39" t="str"/>
      <x:c r="L9" s="39" t="inlineStr">
        <x:is>
          <x:t xml:space="preserve">Slaughter / Bush</x:t>
        </x:is>
      </x:c>
      <x:c r="M9" s="39" t="inlineStr">
        <x:is>
          <x:t xml:space="preserve">A - Confirmed</x:t>
        </x:is>
      </x:c>
      <x:c r="N9" s="39" t="inlineStr">
        <x:is>
          <x:t xml:space="preserve">Isaac Bush Slaughter Sr.</x:t>
        </x:is>
      </x:c>
      <x:c r="O9" s="39" t="inlineStr">
        <x:is>
          <x:t xml:space="preserve">Lula Arnelia Rives</x:t>
        </x:is>
      </x:c>
      <x:c r="P9" s="39" t="inlineStr">
        <x:is>
          <x:t xml:space="preserve">Fredric Muller Vollmer → Jan Muller Vollmer → Anne Rives McCormick Muller → Eloise A. “Elvie/Elvia” Slaughter McCormick</x:t>
        </x:is>
      </x:c>
      <x:c r="Q9" s="39" t="inlineStr">
        <x:is>
          <x:t xml:space="preserve">Family usage is Eloise; the 1937 Agee history prints Elvie A. and other family material uses Elvia.</x:t>
        </x:is>
      </x:c>
      <x:c r="R9" s="39" t="inlineStr">
        <x:is>
          <x:t xml:space="preserve">S1, S8</x:t>
        </x:is>
      </x:c>
    </x:row>
    <x:row r="10">
      <x:c r="A10" s="39" t="inlineStr">
        <x:is>
          <x:t xml:space="preserve">I115</x:t>
        </x:is>
      </x:c>
      <x:c r="B10" s="39" t="inlineStr">
        <x:is>
          <x:t xml:space="preserve">29</x:t>
        </x:is>
      </x:c>
      <x:c r="C10" s="39" t="n">
        <x:v>4</x:v>
      </x:c>
      <x:c r="D10" s="39" t="inlineStr">
        <x:is>
          <x:t xml:space="preserve">Mary Moore Brooks</x:t>
        </x:is>
      </x:c>
      <x:c r="E10" s="39" t="inlineStr">
        <x:is>
          <x:t xml:space="preserve">F</x:t>
        </x:is>
      </x:c>
      <x:c r="F10" s="39" t="inlineStr">
        <x:is>
          <x:t xml:space="preserve">1874</x:t>
        </x:is>
      </x:c>
      <x:c r="G10" s="39" t="n">
        <x:v>1874</x:v>
      </x:c>
      <x:c r="H10" s="39" t="str"/>
      <x:c r="I10" s="39" t="inlineStr">
        <x:is>
          <x:t xml:space="preserve">1964</x:t>
        </x:is>
      </x:c>
      <x:c r="J10" s="39" t="n">
        <x:v>1964</x:v>
      </x:c>
      <x:c r="K10" s="39" t="str"/>
      <x:c r="L10" s="39" t="inlineStr">
        <x:is>
          <x:t xml:space="preserve">Brooks / Field</x:t>
        </x:is>
      </x:c>
      <x:c r="M10" s="39" t="inlineStr">
        <x:is>
          <x:t xml:space="preserve">A - Confirmed</x:t>
        </x:is>
      </x:c>
      <x:c r="N10" s="39" t="inlineStr">
        <x:is>
          <x:t xml:space="preserve">Abram Field Brooks</x:t>
        </x:is>
      </x:c>
      <x:c r="O10" s="39" t="inlineStr">
        <x:is>
          <x:t xml:space="preserve">Mary P. “Mollie” Moore</x:t>
        </x:is>
      </x:c>
      <x:c r="P10" s="39" t="inlineStr">
        <x:is>
          <x:t xml:space="preserve">Fredric Muller Vollmer → Jan Muller Vollmer → Anne Rives McCormick Muller → Charles Ellsworth McCormick II → Mary Moore Brooks</x:t>
        </x:is>
      </x:c>
      <x:c r="Q10" s="39" t="inlineStr">
        <x:is>
          <x:t xml:space="preserve">Known in family correspondence as Mama Mac; associated with Brookland in Bullitt County.</x:t>
        </x:is>
      </x:c>
      <x:c r="R10" s="39" t="inlineStr">
        <x:is>
          <x:t xml:space="preserve">S3, S17</x:t>
        </x:is>
      </x:c>
    </x:row>
    <x:row r="11">
      <x:c r="A11" s="39" t="inlineStr">
        <x:is>
          <x:t xml:space="preserve">I013</x:t>
        </x:is>
      </x:c>
      <x:c r="B11" s="39" t="inlineStr">
        <x:is>
          <x:t xml:space="preserve">26</x:t>
        </x:is>
      </x:c>
      <x:c r="C11" s="39" t="n">
        <x:v>4</x:v>
      </x:c>
      <x:c r="D11" s="39" t="inlineStr">
        <x:is>
          <x:t xml:space="preserve">Elmer Ellsworth Lee</x:t>
        </x:is>
      </x:c>
      <x:c r="E11" s="39" t="inlineStr">
        <x:is>
          <x:t xml:space="preserve">M</x:t>
        </x:is>
      </x:c>
      <x:c r="F11" s="39" t="inlineStr">
        <x:is>
          <x:t xml:space="preserve">about 1863</x:t>
        </x:is>
      </x:c>
      <x:c r="G11" s="39" t="n">
        <x:v>1863</x:v>
      </x:c>
      <x:c r="H11" s="39" t="inlineStr">
        <x:is>
          <x:t xml:space="preserve">Michigan</x:t>
        </x:is>
      </x:c>
      <x:c r="I11" s="39" t="inlineStr">
        <x:is>
          <x:t xml:space="preserve">8 Jul 1941</x:t>
        </x:is>
      </x:c>
      <x:c r="J11" s="39" t="n">
        <x:v>1941</x:v>
      </x:c>
      <x:c r="K11" s="39" t="inlineStr">
        <x:is>
          <x:t xml:space="preserve">Detroit, Michigan</x:t>
        </x:is>
      </x:c>
      <x:c r="L11" s="39" t="inlineStr">
        <x:is>
          <x:t xml:space="preserve">Lee / New England</x:t>
        </x:is>
      </x:c>
      <x:c r="M11" s="39" t="inlineStr">
        <x:is>
          <x:t xml:space="preserve">B - Strong</x:t>
        </x:is>
      </x:c>
      <x:c r="N11" s="39" t="inlineStr">
        <x:is>
          <x:t xml:space="preserve">Hubbard Stone Lee</x:t>
        </x:is>
      </x:c>
      <x:c r="O11" s="39" t="inlineStr">
        <x:is>
          <x:t xml:space="preserve">Sarah M. Willitts</x:t>
        </x:is>
      </x:c>
      <x:c r="P11" s="39" t="inlineStr">
        <x:is>
          <x:t xml:space="preserve">Fredric Muller Vollmer → Jan Muller Vollmer → Arthur John Muller → Elma Anna Lee → Elmer Ellsworth Lee</x:t>
        </x:is>
      </x:c>
      <x:c r="Q11" s="39" t="inlineStr">
        <x:is>
          <x:t xml:space="preserve">A same-name Michigan man causes index confusion; the Hubbard Stone Lee family group cites Elmer’s death certificate and names him as Hubbard’s son.</x:t>
        </x:is>
      </x:c>
      <x:c r="R11" s="39" t="inlineStr">
        <x:is>
          <x:t xml:space="preserve">S2, S3, S6, S24</x:t>
        </x:is>
      </x:c>
    </x:row>
    <x:row r="12">
      <x:c r="A12" s="39" t="inlineStr">
        <x:is>
          <x:t xml:space="preserve">I014</x:t>
        </x:is>
      </x:c>
      <x:c r="B12" s="39" t="inlineStr">
        <x:is>
          <x:t xml:space="preserve">27</x:t>
        </x:is>
      </x:c>
      <x:c r="C12" s="39" t="n">
        <x:v>4</x:v>
      </x:c>
      <x:c r="D12" s="39" t="inlineStr">
        <x:is>
          <x:t xml:space="preserve">Mary Wilhelmina Ohmer</x:t>
        </x:is>
      </x:c>
      <x:c r="E12" s="39" t="inlineStr">
        <x:is>
          <x:t xml:space="preserve">F</x:t>
        </x:is>
      </x:c>
      <x:c r="F12" s="39" t="str"/>
      <x:c r="G12" s="39" t="n"/>
      <x:c r="H12" s="39" t="str"/>
      <x:c r="I12" s="39" t="str"/>
      <x:c r="J12" s="39" t="n"/>
      <x:c r="K12" s="39" t="str"/>
      <x:c r="L12" s="39" t="inlineStr">
        <x:is>
          <x:t xml:space="preserve">Lee / New England</x:t>
        </x:is>
      </x:c>
      <x:c r="M12" s="39" t="inlineStr">
        <x:is>
          <x:t xml:space="preserve">B - Strong</x:t>
        </x:is>
      </x:c>
      <x:c r="N12" s="39" t="str"/>
      <x:c r="O12" s="39" t="str"/>
      <x:c r="P12" s="39" t="inlineStr">
        <x:is>
          <x:t xml:space="preserve">Fredric Muller Vollmer → Jan Muller Vollmer → Arthur John Muller → Elma Anna Lee → Mary Wilhelmina Ohmer</x:t>
        </x:is>
      </x:c>
      <x:c r="Q12" s="39" t="inlineStr">
        <x:is>
          <x:t xml:space="preserve">Identified as Elma Anna Lee’s mother. Her own parentage remains unresolved.</x:t>
        </x:is>
      </x:c>
      <x:c r="R12" s="39" t="inlineStr">
        <x:is>
          <x:t xml:space="preserve">S2, S24</x:t>
        </x:is>
      </x:c>
    </x:row>
    <x:row r="13">
      <x:c r="A13" s="39" t="inlineStr">
        <x:is>
          <x:t xml:space="preserve">I114</x:t>
        </x:is>
      </x:c>
      <x:c r="B13" s="39" t="inlineStr">
        <x:is>
          <x:t xml:space="preserve">28</x:t>
        </x:is>
      </x:c>
      <x:c r="C13" s="39" t="n">
        <x:v>4</x:v>
      </x:c>
      <x:c r="D13" s="39" t="inlineStr">
        <x:is>
          <x:t xml:space="preserve">Charles Ellsworth McCormick I</x:t>
        </x:is>
      </x:c>
      <x:c r="E13" s="39" t="inlineStr">
        <x:is>
          <x:t xml:space="preserve">M</x:t>
        </x:is>
      </x:c>
      <x:c r="F13" s="39" t="inlineStr">
        <x:is>
          <x:t xml:space="preserve">26 Feb 1862</x:t>
        </x:is>
      </x:c>
      <x:c r="G13" s="39" t="n">
        <x:v>1862</x:v>
      </x:c>
      <x:c r="H13" s="39" t="inlineStr">
        <x:is>
          <x:t xml:space="preserve">Shepherdsville, Bullitt County, Kentucky</x:t>
        </x:is>
      </x:c>
      <x:c r="I13" s="39" t="inlineStr">
        <x:is>
          <x:t xml:space="preserve">1911</x:t>
        </x:is>
      </x:c>
      <x:c r="J13" s="39" t="n">
        <x:v>1911</x:v>
      </x:c>
      <x:c r="K13" s="39" t="str"/>
      <x:c r="L13" s="39" t="inlineStr">
        <x:is>
          <x:t xml:space="preserve">McCormick / O’Brien</x:t>
        </x:is>
      </x:c>
      <x:c r="M13" s="39" t="inlineStr">
        <x:is>
          <x:t xml:space="preserve">A - Confirmed</x:t>
        </x:is>
      </x:c>
      <x:c r="N13" s="39" t="inlineStr">
        <x:is>
          <x:t xml:space="preserve">Edward H. McCormick</x:t>
        </x:is>
      </x:c>
      <x:c r="O13" s="39" t="inlineStr">
        <x:is>
          <x:t xml:space="preserve">Martha Ann “Annie” O’Brien</x:t>
        </x:is>
      </x:c>
      <x:c r="P13" s="39" t="inlineStr">
        <x:is>
          <x:t xml:space="preserve">Fredric Muller Vollmer → Jan Muller Vollmer → Anne Rives McCormick Muller → Charles Ellsworth McCormick II → Charles Ellsworth McCormick I</x:t>
        </x:is>
      </x:c>
      <x:c r="Q13" s="39" t="str"/>
      <x:c r="R13" s="39" t="inlineStr">
        <x:is>
          <x:t xml:space="preserve">S3, S14, S22</x:t>
        </x:is>
      </x:c>
    </x:row>
    <x:row r="14">
      <x:c r="A14" s="39" t="inlineStr">
        <x:is>
          <x:t xml:space="preserve">I009</x:t>
        </x:is>
      </x:c>
      <x:c r="B14" s="39" t="inlineStr">
        <x:is>
          <x:t xml:space="preserve">24</x:t>
        </x:is>
      </x:c>
      <x:c r="C14" s="39" t="n">
        <x:v>4</x:v>
      </x:c>
      <x:c r="D14" s="39" t="inlineStr">
        <x:is>
          <x:t xml:space="preserve">Christian August Vollrath Muller</x:t>
        </x:is>
      </x:c>
      <x:c r="E14" s="39" t="inlineStr">
        <x:is>
          <x:t xml:space="preserve">M</x:t>
        </x:is>
      </x:c>
      <x:c r="F14" s="39" t="inlineStr">
        <x:is>
          <x:t xml:space="preserve">about 1866</x:t>
        </x:is>
      </x:c>
      <x:c r="G14" s="39" t="n">
        <x:v>1866</x:v>
      </x:c>
      <x:c r="H14" s="39" t="str"/>
      <x:c r="I14" s="39" t="inlineStr">
        <x:is>
          <x:t xml:space="preserve">1922</x:t>
        </x:is>
      </x:c>
      <x:c r="J14" s="39" t="n">
        <x:v>1922</x:v>
      </x:c>
      <x:c r="K14" s="39" t="str"/>
      <x:c r="L14" s="39" t="inlineStr">
        <x:is>
          <x:t xml:space="preserve">Muller / Kleitz</x:t>
        </x:is>
      </x:c>
      <x:c r="M14" s="39" t="inlineStr">
        <x:is>
          <x:t xml:space="preserve">C - Provisional</x:t>
        </x:is>
      </x:c>
      <x:c r="N14" s="39" t="inlineStr">
        <x:is>
          <x:t xml:space="preserve">Lorenz Muller</x:t>
        </x:is>
      </x:c>
      <x:c r="O14" s="39" t="inlineStr">
        <x:is>
          <x:t xml:space="preserve">Pauline Vollrath</x:t>
        </x:is>
      </x:c>
      <x:c r="P14" s="39" t="inlineStr">
        <x:is>
          <x:t xml:space="preserve">Fredric Muller Vollmer → Jan Muller Vollmer → Arthur John Muller → Arthur Herman Muller → Christian August Vollrath Muller</x:t>
        </x:is>
      </x:c>
      <x:c r="Q14" s="39" t="inlineStr">
        <x:is>
          <x:t xml:space="preserve">Name and parentage are from the 1998 family chart; exact dates need original civil/church records.</x:t>
        </x:is>
      </x:c>
      <x:c r="R14" s="39" t="inlineStr">
        <x:is>
          <x:t xml:space="preserve">S2</x:t>
        </x:is>
      </x:c>
    </x:row>
    <x:row r="15">
      <x:c r="A15" s="39" t="inlineStr">
        <x:is>
          <x:t xml:space="preserve">I010</x:t>
        </x:is>
      </x:c>
      <x:c r="B15" s="39" t="inlineStr">
        <x:is>
          <x:t xml:space="preserve">25</x:t>
        </x:is>
      </x:c>
      <x:c r="C15" s="39" t="n">
        <x:v>4</x:v>
      </x:c>
      <x:c r="D15" s="39" t="inlineStr">
        <x:is>
          <x:t xml:space="preserve">Henrietta Kleitz</x:t>
        </x:is>
      </x:c>
      <x:c r="E15" s="39" t="inlineStr">
        <x:is>
          <x:t xml:space="preserve">F</x:t>
        </x:is>
      </x:c>
      <x:c r="F15" s="39" t="inlineStr">
        <x:is>
          <x:t xml:space="preserve">1871</x:t>
        </x:is>
      </x:c>
      <x:c r="G15" s="39" t="n">
        <x:v>1871</x:v>
      </x:c>
      <x:c r="H15" s="39" t="inlineStr">
        <x:is>
          <x:t xml:space="preserve">New York, New York</x:t>
        </x:is>
      </x:c>
      <x:c r="I15" s="39" t="str"/>
      <x:c r="J15" s="39" t="n"/>
      <x:c r="K15" s="39" t="str"/>
      <x:c r="L15" s="39" t="inlineStr">
        <x:is>
          <x:t xml:space="preserve">Muller / Kleitz</x:t>
        </x:is>
      </x:c>
      <x:c r="M15" s="39" t="inlineStr">
        <x:is>
          <x:t xml:space="preserve">B - Strong</x:t>
        </x:is>
      </x:c>
      <x:c r="N15" s="39" t="inlineStr">
        <x:is>
          <x:t xml:space="preserve">Lambert Kleitz</x:t>
        </x:is>
      </x:c>
      <x:c r="O15" s="39" t="inlineStr">
        <x:is>
          <x:t xml:space="preserve">Elizabeth Wüst</x:t>
        </x:is>
      </x:c>
      <x:c r="P15" s="39" t="inlineStr">
        <x:is>
          <x:t xml:space="preserve">Fredric Muller Vollmer → Jan Muller Vollmer → Arthur John Muller → Arthur Herman Muller → Henrietta Kleitz</x:t>
        </x:is>
      </x:c>
      <x:c r="Q15" s="39" t="str"/>
      <x:c r="R15" s="39" t="inlineStr">
        <x:is>
          <x:t xml:space="preserve">S2, S21</x:t>
        </x:is>
      </x:c>
    </x:row>
    <x:row r="16">
      <x:c r="A16" s="39" t="inlineStr">
        <x:is>
          <x:t xml:space="preserve">I131</x:t>
        </x:is>
      </x:c>
      <x:c r="B16" s="39" t="inlineStr">
        <x:is>
          <x:t xml:space="preserve">31</x:t>
        </x:is>
      </x:c>
      <x:c r="C16" s="39" t="n">
        <x:v>4</x:v>
      </x:c>
      <x:c r="D16" s="39" t="inlineStr">
        <x:is>
          <x:t xml:space="preserve">Lula Arnelia Rives</x:t>
        </x:is>
      </x:c>
      <x:c r="E16" s="39" t="inlineStr">
        <x:is>
          <x:t xml:space="preserve">F</x:t>
        </x:is>
      </x:c>
      <x:c r="F16" s="39" t="inlineStr">
        <x:is>
          <x:t xml:space="preserve">30/31 Jan 1872</x:t>
        </x:is>
      </x:c>
      <x:c r="G16" s="39" t="n">
        <x:v>1872</x:v>
      </x:c>
      <x:c r="H16" s="39" t="inlineStr">
        <x:is>
          <x:t xml:space="preserve">Benton, Lowndes County, Alabama</x:t>
        </x:is>
      </x:c>
      <x:c r="I16" s="39" t="inlineStr">
        <x:is>
          <x:t xml:space="preserve">2 Sep 1957</x:t>
        </x:is>
      </x:c>
      <x:c r="J16" s="39" t="n">
        <x:v>1957</x:v>
      </x:c>
      <x:c r="K16" s="39" t="inlineStr">
        <x:is>
          <x:t xml:space="preserve">Sparks, Maryland</x:t>
        </x:is>
      </x:c>
      <x:c r="L16" s="39" t="inlineStr">
        <x:is>
          <x:t xml:space="preserve">Rives / Harrison</x:t>
        </x:is>
      </x:c>
      <x:c r="M16" s="39" t="inlineStr">
        <x:is>
          <x:t xml:space="preserve">A - Confirmed</x:t>
        </x:is>
      </x:c>
      <x:c r="N16" s="39" t="inlineStr">
        <x:is>
          <x:t xml:space="preserve">Robert Calhoun Rives</x:t>
        </x:is>
      </x:c>
      <x:c r="O16" s="39" t="inlineStr">
        <x:is>
          <x:t xml:space="preserve">Florence Estelle Agee</x:t>
        </x:is>
      </x:c>
      <x:c r="P16" s="39" t="inlineStr">
        <x:is>
          <x:t xml:space="preserve">Fredric Muller Vollmer → Jan Muller Vollmer → Anne Rives McCormick Muller → Eloise A. “Elvie/Elvia” Slaughter McCormick → Lula Arnelia Rives</x:t>
        </x:is>
      </x:c>
      <x:c r="Q16" s="39" t="str"/>
      <x:c r="R16" s="39" t="inlineStr">
        <x:is>
          <x:t xml:space="preserve">S4, S8, S9</x:t>
        </x:is>
      </x:c>
    </x:row>
    <x:row r="17">
      <x:c r="A17" s="39" t="inlineStr">
        <x:is>
          <x:t xml:space="preserve">I130</x:t>
        </x:is>
      </x:c>
      <x:c r="B17" s="39" t="inlineStr">
        <x:is>
          <x:t xml:space="preserve">30</x:t>
        </x:is>
      </x:c>
      <x:c r="C17" s="39" t="n">
        <x:v>4</x:v>
      </x:c>
      <x:c r="D17" s="39" t="inlineStr">
        <x:is>
          <x:t xml:space="preserve">Isaac Bush Slaughter Sr.</x:t>
        </x:is>
      </x:c>
      <x:c r="E17" s="39" t="inlineStr">
        <x:is>
          <x:t xml:space="preserve">M</x:t>
        </x:is>
      </x:c>
      <x:c r="F17" s="39" t="inlineStr">
        <x:is>
          <x:t xml:space="preserve">28 Feb 1857</x:t>
        </x:is>
      </x:c>
      <x:c r="G17" s="39" t="n">
        <x:v>1857</x:v>
      </x:c>
      <x:c r="H17" s="39" t="inlineStr">
        <x:is>
          <x:t xml:space="preserve">Perdue Hill, Monroe County, Alabama</x:t>
        </x:is>
      </x:c>
      <x:c r="I17" s="39" t="inlineStr">
        <x:is>
          <x:t xml:space="preserve">30 Apr 1937</x:t>
        </x:is>
      </x:c>
      <x:c r="J17" s="39" t="n">
        <x:v>1937</x:v>
      </x:c>
      <x:c r="K17" s="39" t="inlineStr">
        <x:is>
          <x:t xml:space="preserve">Edinburg, Texas</x:t>
        </x:is>
      </x:c>
      <x:c r="L17" s="39" t="inlineStr">
        <x:is>
          <x:t xml:space="preserve">Slaughter / Bush</x:t>
        </x:is>
      </x:c>
      <x:c r="M17" s="39" t="inlineStr">
        <x:is>
          <x:t xml:space="preserve">A - Confirmed</x:t>
        </x:is>
      </x:c>
      <x:c r="N17" s="39" t="inlineStr">
        <x:is>
          <x:t xml:space="preserve">John Wesley Slaughter</x:t>
        </x:is>
      </x:c>
      <x:c r="O17" s="39" t="inlineStr">
        <x:is>
          <x:t xml:space="preserve">Sarah C. Bush</x:t>
        </x:is>
      </x:c>
      <x:c r="P17" s="39" t="inlineStr">
        <x:is>
          <x:t xml:space="preserve">Fredric Muller Vollmer → Jan Muller Vollmer → Anne Rives McCormick Muller → Eloise A. “Elvie/Elvia” Slaughter McCormick → Isaac Bush Slaughter Sr.</x:t>
        </x:is>
      </x:c>
      <x:c r="Q17" s="39" t="str"/>
      <x:c r="R17" s="39" t="inlineStr">
        <x:is>
          <x:t xml:space="preserve">S4, S8, S23</x:t>
        </x:is>
      </x:c>
    </x:row>
    <x:row r="18">
      <x:c r="A18" s="39" t="inlineStr">
        <x:is>
          <x:t xml:space="preserve">I136</x:t>
        </x:is>
      </x:c>
      <x:c r="B18" s="39" t="inlineStr">
        <x:is>
          <x:t xml:space="preserve">63</x:t>
        </x:is>
      </x:c>
      <x:c r="C18" s="39" t="n">
        <x:v>5</x:v>
      </x:c>
      <x:c r="D18" s="39" t="inlineStr">
        <x:is>
          <x:t xml:space="preserve">Florence Estelle Agee</x:t>
        </x:is>
      </x:c>
      <x:c r="E18" s="39" t="inlineStr">
        <x:is>
          <x:t xml:space="preserve">F</x:t>
        </x:is>
      </x:c>
      <x:c r="F18" s="39" t="inlineStr">
        <x:is>
          <x:t xml:space="preserve">7 Sep 1844</x:t>
        </x:is>
      </x:c>
      <x:c r="G18" s="39" t="n">
        <x:v>1844</x:v>
      </x:c>
      <x:c r="H18" s="39" t="inlineStr">
        <x:is>
          <x:t xml:space="preserve">Benton, Lowndes County, Alabama</x:t>
        </x:is>
      </x:c>
      <x:c r="I18" s="39" t="inlineStr">
        <x:is>
          <x:t xml:space="preserve">10 Dec 1878</x:t>
        </x:is>
      </x:c>
      <x:c r="J18" s="39" t="n">
        <x:v>1878</x:v>
      </x:c>
      <x:c r="K18" s="39" t="inlineStr">
        <x:is>
          <x:t xml:space="preserve">Benton, Lowndes County, Alabama</x:t>
        </x:is>
      </x:c>
      <x:c r="L18" s="39" t="inlineStr">
        <x:is>
          <x:t xml:space="preserve">Agee / Ford / Bondurant</x:t>
        </x:is>
      </x:c>
      <x:c r="M18" s="39" t="inlineStr">
        <x:is>
          <x:t xml:space="preserve">A - Confirmed</x:t>
        </x:is>
      </x:c>
      <x:c r="N18" s="39" t="inlineStr">
        <x:is>
          <x:t xml:space="preserve">William Raiford Agee</x:t>
        </x:is>
      </x:c>
      <x:c r="O18" s="39" t="inlineStr">
        <x:is>
          <x:t xml:space="preserve">Elvina Hill</x:t>
        </x:is>
      </x:c>
      <x:c r="P18" s="39" t="inlineStr">
        <x:is>
          <x:t xml:space="preserve">Fredric Muller Vollmer → Jan Muller Vollmer → Anne Rives McCormick Muller → Eloise A. “Elvie/Elvia” Slaughter McCormick → Lula Arnelia Rives → Florence Estelle Agee</x:t>
        </x:is>
      </x:c>
      <x:c r="Q18" s="39" t="str"/>
      <x:c r="R18" s="39" t="inlineStr">
        <x:is>
          <x:t xml:space="preserve">S4, S8, S9</x:t>
        </x:is>
      </x:c>
    </x:row>
    <x:row r="19">
      <x:c r="A19" s="39" t="inlineStr">
        <x:is>
          <x:t xml:space="preserve">I120</x:t>
        </x:is>
      </x:c>
      <x:c r="B19" s="39" t="inlineStr">
        <x:is>
          <x:t xml:space="preserve">58</x:t>
        </x:is>
      </x:c>
      <x:c r="C19" s="39" t="n">
        <x:v>5</x:v>
      </x:c>
      <x:c r="D19" s="39" t="inlineStr">
        <x:is>
          <x:t xml:space="preserve">Abram Field Brooks</x:t>
        </x:is>
      </x:c>
      <x:c r="E19" s="39" t="inlineStr">
        <x:is>
          <x:t xml:space="preserve">M</x:t>
        </x:is>
      </x:c>
      <x:c r="F19" s="39" t="inlineStr">
        <x:is>
          <x:t xml:space="preserve">1844</x:t>
        </x:is>
      </x:c>
      <x:c r="G19" s="39" t="n">
        <x:v>1844</x:v>
      </x:c>
      <x:c r="H19" s="39" t="str"/>
      <x:c r="I19" s="39" t="inlineStr">
        <x:is>
          <x:t xml:space="preserve">1892</x:t>
        </x:is>
      </x:c>
      <x:c r="J19" s="39" t="n">
        <x:v>1892</x:v>
      </x:c>
      <x:c r="K19" s="39" t="str"/>
      <x:c r="L19" s="39" t="inlineStr">
        <x:is>
          <x:t xml:space="preserve">Brooks / Field</x:t>
        </x:is>
      </x:c>
      <x:c r="M19" s="39" t="inlineStr">
        <x:is>
          <x:t xml:space="preserve">B - Strong</x:t>
        </x:is>
      </x:c>
      <x:c r="N19" s="39" t="inlineStr">
        <x:is>
          <x:t xml:space="preserve">Solomon Neal Brooks</x:t>
        </x:is>
      </x:c>
      <x:c r="O19" s="39" t="inlineStr">
        <x:is>
          <x:t xml:space="preserve">Elizabeth Field</x:t>
        </x:is>
      </x:c>
      <x:c r="P19" s="39" t="inlineStr">
        <x:is>
          <x:t xml:space="preserve">Fredric Muller Vollmer → Jan Muller Vollmer → Anne Rives McCormick Muller → Charles Ellsworth McCormick II → Mary Moore Brooks → Abram Field Brooks</x:t>
        </x:is>
      </x:c>
      <x:c r="Q19" s="39" t="str"/>
      <x:c r="R19" s="39" t="inlineStr">
        <x:is>
          <x:t xml:space="preserve">S17</x:t>
        </x:is>
      </x:c>
    </x:row>
    <x:row r="20">
      <x:c r="A20" s="39" t="inlineStr">
        <x:is>
          <x:t xml:space="preserve">I121</x:t>
        </x:is>
      </x:c>
      <x:c r="B20" s="39" t="inlineStr">
        <x:is>
          <x:t xml:space="preserve">59</x:t>
        </x:is>
      </x:c>
      <x:c r="C20" s="39" t="n">
        <x:v>5</x:v>
      </x:c>
      <x:c r="D20" s="39" t="inlineStr">
        <x:is>
          <x:t xml:space="preserve">Mary P. “Mollie” Moore</x:t>
        </x:is>
      </x:c>
      <x:c r="E20" s="39" t="inlineStr">
        <x:is>
          <x:t xml:space="preserve">F</x:t>
        </x:is>
      </x:c>
      <x:c r="F20" s="39" t="inlineStr">
        <x:is>
          <x:t xml:space="preserve">1852</x:t>
        </x:is>
      </x:c>
      <x:c r="G20" s="39" t="n">
        <x:v>1852</x:v>
      </x:c>
      <x:c r="H20" s="39" t="str"/>
      <x:c r="I20" s="39" t="inlineStr">
        <x:is>
          <x:t xml:space="preserve">1940</x:t>
        </x:is>
      </x:c>
      <x:c r="J20" s="39" t="n">
        <x:v>1940</x:v>
      </x:c>
      <x:c r="K20" s="39" t="str"/>
      <x:c r="L20" s="39" t="inlineStr">
        <x:is>
          <x:t xml:space="preserve">Brooks / Field</x:t>
        </x:is>
      </x:c>
      <x:c r="M20" s="39" t="inlineStr">
        <x:is>
          <x:t xml:space="preserve">B - Strong</x:t>
        </x:is>
      </x:c>
      <x:c r="N20" s="39" t="str"/>
      <x:c r="O20" s="39" t="str"/>
      <x:c r="P20" s="39" t="inlineStr">
        <x:is>
          <x:t xml:space="preserve">Fredric Muller Vollmer → Jan Muller Vollmer → Anne Rives McCormick Muller → Charles Ellsworth McCormick II → Mary Moore Brooks → Mary P. “Mollie” Moore</x:t>
        </x:is>
      </x:c>
      <x:c r="Q20" s="39" t="inlineStr">
        <x:is>
          <x:t xml:space="preserve">Raised at Mound Grove near Arkansas Post. Her parents remain unresolved.</x:t>
        </x:is>
      </x:c>
      <x:c r="R20" s="39" t="inlineStr">
        <x:is>
          <x:t xml:space="preserve">S17</x:t>
        </x:is>
      </x:c>
    </x:row>
    <x:row r="21">
      <x:c r="A21" s="39" t="inlineStr">
        <x:is>
          <x:t xml:space="preserve">I022</x:t>
        </x:is>
      </x:c>
      <x:c r="B21" s="39" t="inlineStr">
        <x:is>
          <x:t xml:space="preserve">52</x:t>
        </x:is>
      </x:c>
      <x:c r="C21" s="39" t="n">
        <x:v>5</x:v>
      </x:c>
      <x:c r="D21" s="39" t="inlineStr">
        <x:is>
          <x:t xml:space="preserve">Hubbard Stone Lee</x:t>
        </x:is>
      </x:c>
      <x:c r="E21" s="39" t="inlineStr">
        <x:is>
          <x:t xml:space="preserve">M</x:t>
        </x:is>
      </x:c>
      <x:c r="F21" s="39" t="inlineStr">
        <x:is>
          <x:t xml:space="preserve">6 Jul 1822</x:t>
        </x:is>
      </x:c>
      <x:c r="G21" s="39" t="n">
        <x:v>1822</x:v>
      </x:c>
      <x:c r="H21" s="39" t="inlineStr">
        <x:is>
          <x:t xml:space="preserve">Connecticut</x:t>
        </x:is>
      </x:c>
      <x:c r="I21" s="39" t="inlineStr">
        <x:is>
          <x:t xml:space="preserve">22 Apr 1901</x:t>
        </x:is>
      </x:c>
      <x:c r="J21" s="39" t="n">
        <x:v>1901</x:v>
      </x:c>
      <x:c r="K21" s="39" t="inlineStr">
        <x:is>
          <x:t xml:space="preserve">Bloomfield, Oakland County, Michigan</x:t>
        </x:is>
      </x:c>
      <x:c r="L21" s="39" t="inlineStr">
        <x:is>
          <x:t xml:space="preserve">Lee / New England</x:t>
        </x:is>
      </x:c>
      <x:c r="M21" s="39" t="inlineStr">
        <x:is>
          <x:t xml:space="preserve">B - Strong</x:t>
        </x:is>
      </x:c>
      <x:c r="N21" s="39" t="inlineStr">
        <x:is>
          <x:t xml:space="preserve">Elon Lee</x:t>
        </x:is>
      </x:c>
      <x:c r="O21" s="39" t="inlineStr">
        <x:is>
          <x:t xml:space="preserve">Grace Stone</x:t>
        </x:is>
      </x:c>
      <x:c r="P21" s="39" t="inlineStr">
        <x:is>
          <x:t xml:space="preserve">Fredric Muller Vollmer → Jan Muller Vollmer → Arthur John Muller → Elma Anna Lee → Elmer Ellsworth Lee → Hubbard Stone Lee</x:t>
        </x:is>
      </x:c>
      <x:c r="Q21" s="39" t="str"/>
      <x:c r="R21" s="39" t="inlineStr">
        <x:is>
          <x:t xml:space="preserve">S6, S7</x:t>
        </x:is>
      </x:c>
    </x:row>
    <x:row r="22">
      <x:c r="A22" s="39" t="inlineStr">
        <x:is>
          <x:t xml:space="preserve">I023</x:t>
        </x:is>
      </x:c>
      <x:c r="B22" s="39" t="inlineStr">
        <x:is>
          <x:t xml:space="preserve">53</x:t>
        </x:is>
      </x:c>
      <x:c r="C22" s="39" t="n">
        <x:v>5</x:v>
      </x:c>
      <x:c r="D22" s="39" t="inlineStr">
        <x:is>
          <x:t xml:space="preserve">Sarah M. Willitts</x:t>
        </x:is>
      </x:c>
      <x:c r="E22" s="39" t="inlineStr">
        <x:is>
          <x:t xml:space="preserve">F</x:t>
        </x:is>
      </x:c>
      <x:c r="F22" s="39" t="inlineStr">
        <x:is>
          <x:t xml:space="preserve">1831</x:t>
        </x:is>
      </x:c>
      <x:c r="G22" s="39" t="n">
        <x:v>1831</x:v>
      </x:c>
      <x:c r="H22" s="39" t="inlineStr">
        <x:is>
          <x:t xml:space="preserve">Birmingham, Oakland County, Michigan</x:t>
        </x:is>
      </x:c>
      <x:c r="I22" s="39" t="inlineStr">
        <x:is>
          <x:t xml:space="preserve">1913</x:t>
        </x:is>
      </x:c>
      <x:c r="J22" s="39" t="n">
        <x:v>1913</x:v>
      </x:c>
      <x:c r="K22" s="39" t="str"/>
      <x:c r="L22" s="39" t="inlineStr">
        <x:is>
          <x:t xml:space="preserve">Lee / New England</x:t>
        </x:is>
      </x:c>
      <x:c r="M22" s="39" t="inlineStr">
        <x:is>
          <x:t xml:space="preserve">B - Strong</x:t>
        </x:is>
      </x:c>
      <x:c r="N22" s="39" t="str"/>
      <x:c r="O22" s="39" t="str"/>
      <x:c r="P22" s="39" t="inlineStr">
        <x:is>
          <x:t xml:space="preserve">Fredric Muller Vollmer → Jan Muller Vollmer → Arthur John Muller → Elma Anna Lee → Elmer Ellsworth Lee → Sarah M. Willitts</x:t>
        </x:is>
      </x:c>
      <x:c r="Q22" s="39" t="inlineStr">
        <x:is>
          <x:t xml:space="preserve">Her parents remain unresolved in this research pass.</x:t>
        </x:is>
      </x:c>
      <x:c r="R22" s="39" t="inlineStr">
        <x:is>
          <x:t xml:space="preserve">S6, S7</x:t>
        </x:is>
      </x:c>
    </x:row>
    <x:row r="23">
      <x:c r="A23" s="39" t="inlineStr">
        <x:is>
          <x:t xml:space="preserve">I116</x:t>
        </x:is>
      </x:c>
      <x:c r="B23" s="39" t="inlineStr">
        <x:is>
          <x:t xml:space="preserve">56</x:t>
        </x:is>
      </x:c>
      <x:c r="C23" s="39" t="n">
        <x:v>5</x:v>
      </x:c>
      <x:c r="D23" s="39" t="inlineStr">
        <x:is>
          <x:t xml:space="preserve">Edward H. McCormick</x:t>
        </x:is>
      </x:c>
      <x:c r="E23" s="39" t="inlineStr">
        <x:is>
          <x:t xml:space="preserve">M</x:t>
        </x:is>
      </x:c>
      <x:c r="F23" s="39" t="inlineStr">
        <x:is>
          <x:t xml:space="preserve">1838</x:t>
        </x:is>
      </x:c>
      <x:c r="G23" s="39" t="n">
        <x:v>1838</x:v>
      </x:c>
      <x:c r="H23" s="39" t="str"/>
      <x:c r="I23" s="39" t="inlineStr">
        <x:is>
          <x:t xml:space="preserve">1871</x:t>
        </x:is>
      </x:c>
      <x:c r="J23" s="39" t="n">
        <x:v>1871</x:v>
      </x:c>
      <x:c r="K23" s="39" t="str"/>
      <x:c r="L23" s="39" t="inlineStr">
        <x:is>
          <x:t xml:space="preserve">McCormick / O’Brien</x:t>
        </x:is>
      </x:c>
      <x:c r="M23" s="39" t="inlineStr">
        <x:is>
          <x:t xml:space="preserve">A - Confirmed</x:t>
        </x:is>
      </x:c>
      <x:c r="N23" s="39" t="inlineStr">
        <x:is>
          <x:t xml:space="preserve">Charles McCormick</x:t>
        </x:is>
      </x:c>
      <x:c r="O23" s="39" t="inlineStr">
        <x:is>
          <x:t xml:space="preserve">Elizabeth (surname unknown) McCormick</x:t>
        </x:is>
      </x:c>
      <x:c r="P23" s="39" t="inlineStr">
        <x:is>
          <x:t xml:space="preserve">Fredric Muller Vollmer → Jan Muller Vollmer → Anne Rives McCormick Muller → Charles Ellsworth McCormick II → Charles Ellsworth McCormick I → Edward H. McCormick</x:t>
        </x:is>
      </x:c>
      <x:c r="Q23" s="39" t="str"/>
      <x:c r="R23" s="39" t="inlineStr">
        <x:is>
          <x:t xml:space="preserve">S14, S15, S16</x:t>
        </x:is>
      </x:c>
    </x:row>
    <x:row r="24">
      <x:c r="A24" s="39" t="inlineStr">
        <x:is>
          <x:t xml:space="preserve">I117</x:t>
        </x:is>
      </x:c>
      <x:c r="B24" s="39" t="inlineStr">
        <x:is>
          <x:t xml:space="preserve">57</x:t>
        </x:is>
      </x:c>
      <x:c r="C24" s="39" t="n">
        <x:v>5</x:v>
      </x:c>
      <x:c r="D24" s="39" t="inlineStr">
        <x:is>
          <x:t xml:space="preserve">Martha Ann “Annie” O’Brien</x:t>
        </x:is>
      </x:c>
      <x:c r="E24" s="39" t="inlineStr">
        <x:is>
          <x:t xml:space="preserve">F</x:t>
        </x:is>
      </x:c>
      <x:c r="F24" s="39" t="inlineStr">
        <x:is>
          <x:t xml:space="preserve">1841</x:t>
        </x:is>
      </x:c>
      <x:c r="G24" s="39" t="n">
        <x:v>1841</x:v>
      </x:c>
      <x:c r="H24" s="39" t="str"/>
      <x:c r="I24" s="39" t="inlineStr">
        <x:is>
          <x:t xml:space="preserve">1889</x:t>
        </x:is>
      </x:c>
      <x:c r="J24" s="39" t="n">
        <x:v>1889</x:v>
      </x:c>
      <x:c r="K24" s="39" t="str"/>
      <x:c r="L24" s="39" t="inlineStr">
        <x:is>
          <x:t xml:space="preserve">McCormick / O’Brien</x:t>
        </x:is>
      </x:c>
      <x:c r="M24" s="39" t="inlineStr">
        <x:is>
          <x:t xml:space="preserve">A - Confirmed</x:t>
        </x:is>
      </x:c>
      <x:c r="N24" s="39" t="inlineStr">
        <x:is>
          <x:t xml:space="preserve">Christopher O’Brien</x:t>
        </x:is>
      </x:c>
      <x:c r="O24" s="39" t="inlineStr">
        <x:is>
          <x:t xml:space="preserve">Sophronia Simmons</x:t>
        </x:is>
      </x:c>
      <x:c r="P24" s="39" t="inlineStr">
        <x:is>
          <x:t xml:space="preserve">Fredric Muller Vollmer → Jan Muller Vollmer → Anne Rives McCormick Muller → Charles Ellsworth McCormick II → Charles Ellsworth McCormick I → Martha Ann “Annie” O’Brien</x:t>
        </x:is>
      </x:c>
      <x:c r="Q24" s="39" t="inlineStr">
        <x:is>
          <x:t xml:space="preserve">Also recorded as Anna O’Brian/O’Brien.</x:t>
        </x:is>
      </x:c>
      <x:c r="R24" s="39" t="inlineStr">
        <x:is>
          <x:t xml:space="preserve">S14, S16</x:t>
        </x:is>
      </x:c>
    </x:row>
    <x:row r="25">
      <x:c r="A25" s="39" t="inlineStr">
        <x:is>
          <x:t xml:space="preserve">I020</x:t>
        </x:is>
      </x:c>
      <x:c r="B25" s="39" t="inlineStr">
        <x:is>
          <x:t xml:space="preserve">51</x:t>
        </x:is>
      </x:c>
      <x:c r="C25" s="39" t="n">
        <x:v>5</x:v>
      </x:c>
      <x:c r="D25" s="39" t="inlineStr">
        <x:is>
          <x:t xml:space="preserve">Elizabeth Wüst</x:t>
        </x:is>
      </x:c>
      <x:c r="E25" s="39" t="inlineStr">
        <x:is>
          <x:t xml:space="preserve">F</x:t>
        </x:is>
      </x:c>
      <x:c r="F25" s="39" t="inlineStr">
        <x:is>
          <x:t xml:space="preserve">1837</x:t>
        </x:is>
      </x:c>
      <x:c r="G25" s="39" t="n">
        <x:v>1837</x:v>
      </x:c>
      <x:c r="H25" s="39" t="inlineStr">
        <x:is>
          <x:t xml:space="preserve">Bavaria</x:t>
        </x:is>
      </x:c>
      <x:c r="I25" s="39" t="inlineStr">
        <x:is>
          <x:t xml:space="preserve">about 1907</x:t>
        </x:is>
      </x:c>
      <x:c r="J25" s="39" t="n">
        <x:v>1907</x:v>
      </x:c>
      <x:c r="K25" s="39" t="str"/>
      <x:c r="L25" s="39" t="inlineStr">
        <x:is>
          <x:t xml:space="preserve">Muller / Kleitz</x:t>
        </x:is>
      </x:c>
      <x:c r="M25" s="39" t="inlineStr">
        <x:is>
          <x:t xml:space="preserve">B - Strong</x:t>
        </x:is>
      </x:c>
      <x:c r="N25" s="39" t="inlineStr">
        <x:is>
          <x:t xml:space="preserve">Jacob Wüst</x:t>
        </x:is>
      </x:c>
      <x:c r="O25" s="39" t="str"/>
      <x:c r="P25" s="39" t="inlineStr">
        <x:is>
          <x:t xml:space="preserve">Fredric Muller Vollmer → Jan Muller Vollmer → Arthur John Muller → Arthur Herman Muller → Henrietta Kleitz → Elizabeth Wüst</x:t>
        </x:is>
      </x:c>
      <x:c r="Q25" s="39" t="inlineStr">
        <x:is>
          <x:t xml:space="preserve">Surname also rendered Wust/Wuest in indexes.</x:t>
        </x:is>
      </x:c>
      <x:c r="R25" s="39" t="inlineStr">
        <x:is>
          <x:t xml:space="preserve">S2, S21</x:t>
        </x:is>
      </x:c>
    </x:row>
    <x:row r="26">
      <x:c r="A26" s="39" t="inlineStr">
        <x:is>
          <x:t xml:space="preserve">I019</x:t>
        </x:is>
      </x:c>
      <x:c r="B26" s="39" t="inlineStr">
        <x:is>
          <x:t xml:space="preserve">50</x:t>
        </x:is>
      </x:c>
      <x:c r="C26" s="39" t="n">
        <x:v>5</x:v>
      </x:c>
      <x:c r="D26" s="39" t="inlineStr">
        <x:is>
          <x:t xml:space="preserve">Lambert Kleitz</x:t>
        </x:is>
      </x:c>
      <x:c r="E26" s="39" t="inlineStr">
        <x:is>
          <x:t xml:space="preserve">M</x:t>
        </x:is>
      </x:c>
      <x:c r="F26" s="39" t="inlineStr">
        <x:is>
          <x:t xml:space="preserve">1840</x:t>
        </x:is>
      </x:c>
      <x:c r="G26" s="39" t="n">
        <x:v>1840</x:v>
      </x:c>
      <x:c r="H26" s="39" t="inlineStr">
        <x:is>
          <x:t xml:space="preserve">Alsace, France</x:t>
        </x:is>
      </x:c>
      <x:c r="I26" s="39" t="str"/>
      <x:c r="J26" s="39" t="n"/>
      <x:c r="K26" s="39" t="str"/>
      <x:c r="L26" s="39" t="inlineStr">
        <x:is>
          <x:t xml:space="preserve">Muller / Kleitz</x:t>
        </x:is>
      </x:c>
      <x:c r="M26" s="39" t="inlineStr">
        <x:is>
          <x:t xml:space="preserve">B - Strong</x:t>
        </x:is>
      </x:c>
      <x:c r="N26" s="39" t="str"/>
      <x:c r="O26" s="39" t="str"/>
      <x:c r="P26" s="39" t="inlineStr">
        <x:is>
          <x:t xml:space="preserve">Fredric Muller Vollmer → Jan Muller Vollmer → Arthur John Muller → Arthur Herman Muller → Henrietta Kleitz → Lambert Kleitz</x:t>
        </x:is>
      </x:c>
      <x:c r="Q26" s="39" t="inlineStr">
        <x:is>
          <x:t xml:space="preserve">Married Elizabeth Wüst in New York in 1860; listed as a builder/carpenter.</x:t>
        </x:is>
      </x:c>
      <x:c r="R26" s="39" t="inlineStr">
        <x:is>
          <x:t xml:space="preserve">S2, S21</x:t>
        </x:is>
      </x:c>
    </x:row>
    <x:row r="27">
      <x:c r="A27" s="39" t="inlineStr">
        <x:is>
          <x:t xml:space="preserve">I017</x:t>
        </x:is>
      </x:c>
      <x:c r="B27" s="39" t="inlineStr">
        <x:is>
          <x:t xml:space="preserve">48</x:t>
        </x:is>
      </x:c>
      <x:c r="C27" s="39" t="n">
        <x:v>5</x:v>
      </x:c>
      <x:c r="D27" s="39" t="inlineStr">
        <x:is>
          <x:t xml:space="preserve">Lorenz Muller</x:t>
        </x:is>
      </x:c>
      <x:c r="E27" s="39" t="inlineStr">
        <x:is>
          <x:t xml:space="preserve">M</x:t>
        </x:is>
      </x:c>
      <x:c r="F27" s="39" t="str"/>
      <x:c r="G27" s="39" t="n"/>
      <x:c r="H27" s="39" t="str"/>
      <x:c r="I27" s="39" t="str"/>
      <x:c r="J27" s="39" t="n"/>
      <x:c r="K27" s="39" t="str"/>
      <x:c r="L27" s="39" t="inlineStr">
        <x:is>
          <x:t xml:space="preserve">Muller / Kleitz</x:t>
        </x:is>
      </x:c>
      <x:c r="M27" s="39" t="inlineStr">
        <x:is>
          <x:t xml:space="preserve">C - Provisional</x:t>
        </x:is>
      </x:c>
      <x:c r="N27" s="39" t="str"/>
      <x:c r="O27" s="39" t="str"/>
      <x:c r="P27" s="39" t="inlineStr">
        <x:is>
          <x:t xml:space="preserve">Fredric Muller Vollmer → Jan Muller Vollmer → Arthur John Muller → Arthur Herman Muller → Christian August Vollrath Muller → Lorenz Muller</x:t>
        </x:is>
      </x:c>
      <x:c r="Q27" s="39" t="inlineStr">
        <x:is>
          <x:t xml:space="preserve">Named on the 1998 family chart; no independent record located in this research pass.</x:t>
        </x:is>
      </x:c>
      <x:c r="R27" s="39" t="inlineStr">
        <x:is>
          <x:t xml:space="preserve">S2</x:t>
        </x:is>
      </x:c>
    </x:row>
    <x:row r="28">
      <x:c r="A28" s="39" t="inlineStr">
        <x:is>
          <x:t xml:space="preserve">I018</x:t>
        </x:is>
      </x:c>
      <x:c r="B28" s="39" t="inlineStr">
        <x:is>
          <x:t xml:space="preserve">49</x:t>
        </x:is>
      </x:c>
      <x:c r="C28" s="39" t="n">
        <x:v>5</x:v>
      </x:c>
      <x:c r="D28" s="39" t="inlineStr">
        <x:is>
          <x:t xml:space="preserve">Pauline Vollrath</x:t>
        </x:is>
      </x:c>
      <x:c r="E28" s="39" t="inlineStr">
        <x:is>
          <x:t xml:space="preserve">F</x:t>
        </x:is>
      </x:c>
      <x:c r="F28" s="39" t="str"/>
      <x:c r="G28" s="39" t="n"/>
      <x:c r="H28" s="39" t="str"/>
      <x:c r="I28" s="39" t="str"/>
      <x:c r="J28" s="39" t="n"/>
      <x:c r="K28" s="39" t="str"/>
      <x:c r="L28" s="39" t="inlineStr">
        <x:is>
          <x:t xml:space="preserve">Muller / Kleitz</x:t>
        </x:is>
      </x:c>
      <x:c r="M28" s="39" t="inlineStr">
        <x:is>
          <x:t xml:space="preserve">C - Provisional</x:t>
        </x:is>
      </x:c>
      <x:c r="N28" s="39" t="str"/>
      <x:c r="O28" s="39" t="str"/>
      <x:c r="P28" s="39" t="inlineStr">
        <x:is>
          <x:t xml:space="preserve">Fredric Muller Vollmer → Jan Muller Vollmer → Arthur John Muller → Arthur Herman Muller → Christian August Vollrath Muller → Pauline Vollrath</x:t>
        </x:is>
      </x:c>
      <x:c r="Q28" s="39" t="inlineStr">
        <x:is>
          <x:t xml:space="preserve">Named on the 1998 family chart; no independent record located in this research pass.</x:t>
        </x:is>
      </x:c>
      <x:c r="R28" s="39" t="inlineStr">
        <x:is>
          <x:t xml:space="preserve">S2</x:t>
        </x:is>
      </x:c>
    </x:row>
    <x:row r="29">
      <x:c r="A29" s="39" t="inlineStr">
        <x:is>
          <x:t xml:space="preserve">I135</x:t>
        </x:is>
      </x:c>
      <x:c r="B29" s="39" t="inlineStr">
        <x:is>
          <x:t xml:space="preserve">62</x:t>
        </x:is>
      </x:c>
      <x:c r="C29" s="39" t="n">
        <x:v>5</x:v>
      </x:c>
      <x:c r="D29" s="39" t="inlineStr">
        <x:is>
          <x:t xml:space="preserve">Robert Calhoun Rives</x:t>
        </x:is>
      </x:c>
      <x:c r="E29" s="39" t="inlineStr">
        <x:is>
          <x:t xml:space="preserve">M</x:t>
        </x:is>
      </x:c>
      <x:c r="F29" s="39" t="inlineStr">
        <x:is>
          <x:t xml:space="preserve">9 Nov 1842</x:t>
        </x:is>
      </x:c>
      <x:c r="G29" s="39" t="n">
        <x:v>1842</x:v>
      </x:c>
      <x:c r="H29" s="39" t="inlineStr">
        <x:is>
          <x:t xml:space="preserve">Benton, Lowndes County, Alabama</x:t>
        </x:is>
      </x:c>
      <x:c r="I29" s="39" t="inlineStr">
        <x:is>
          <x:t xml:space="preserve">16 May 1885</x:t>
        </x:is>
      </x:c>
      <x:c r="J29" s="39" t="n">
        <x:v>1885</x:v>
      </x:c>
      <x:c r="K29" s="39" t="inlineStr">
        <x:is>
          <x:t xml:space="preserve">Benton, Lowndes County, Alabama</x:t>
        </x:is>
      </x:c>
      <x:c r="L29" s="39" t="inlineStr">
        <x:is>
          <x:t xml:space="preserve">Rives / Harrison</x:t>
        </x:is>
      </x:c>
      <x:c r="M29" s="39" t="inlineStr">
        <x:is>
          <x:t xml:space="preserve">A - Confirmed</x:t>
        </x:is>
      </x:c>
      <x:c r="N29" s="39" t="inlineStr">
        <x:is>
          <x:t xml:space="preserve">Robert Rives</x:t>
        </x:is>
      </x:c>
      <x:c r="O29" s="39" t="inlineStr">
        <x:is>
          <x:t xml:space="preserve">Amelia Harrison</x:t>
        </x:is>
      </x:c>
      <x:c r="P29" s="39" t="inlineStr">
        <x:is>
          <x:t xml:space="preserve">Fredric Muller Vollmer → Jan Muller Vollmer → Anne Rives McCormick Muller → Eloise A. “Elvie/Elvia” Slaughter McCormick → Lula Arnelia Rives → Robert Calhoun Rives</x:t>
        </x:is>
      </x:c>
      <x:c r="Q29" s="39" t="inlineStr">
        <x:is>
          <x:t xml:space="preserve">The DAR worksheet appears to type March; pension-derived research supports 16 May 1885.</x:t>
        </x:is>
      </x:c>
      <x:c r="R29" s="39" t="inlineStr">
        <x:is>
          <x:t xml:space="preserve">S4, S9</x:t>
        </x:is>
      </x:c>
    </x:row>
    <x:row r="30">
      <x:c r="A30" s="39" t="inlineStr">
        <x:is>
          <x:t xml:space="preserve">I133</x:t>
        </x:is>
      </x:c>
      <x:c r="B30" s="39" t="inlineStr">
        <x:is>
          <x:t xml:space="preserve">60</x:t>
        </x:is>
      </x:c>
      <x:c r="C30" s="39" t="n">
        <x:v>5</x:v>
      </x:c>
      <x:c r="D30" s="39" t="inlineStr">
        <x:is>
          <x:t xml:space="preserve">John Wesley Slaughter</x:t>
        </x:is>
      </x:c>
      <x:c r="E30" s="39" t="inlineStr">
        <x:is>
          <x:t xml:space="preserve">M</x:t>
        </x:is>
      </x:c>
      <x:c r="F30" s="39" t="str"/>
      <x:c r="G30" s="39" t="n"/>
      <x:c r="H30" s="39" t="str"/>
      <x:c r="I30" s="39" t="str"/>
      <x:c r="J30" s="39" t="n"/>
      <x:c r="K30" s="39" t="str"/>
      <x:c r="L30" s="39" t="inlineStr">
        <x:is>
          <x:t xml:space="preserve">Slaughter / Bush</x:t>
        </x:is>
      </x:c>
      <x:c r="M30" s="39" t="inlineStr">
        <x:is>
          <x:t xml:space="preserve">B - Strong</x:t>
        </x:is>
      </x:c>
      <x:c r="N30" s="39" t="str"/>
      <x:c r="O30" s="39" t="str"/>
      <x:c r="P30" s="39" t="inlineStr">
        <x:is>
          <x:t xml:space="preserve">Fredric Muller Vollmer → Jan Muller Vollmer → Anne Rives McCormick Muller → Eloise A. “Elvie/Elvia” Slaughter McCormick → Isaac Bush Slaughter Sr. → John Wesley Slaughter</x:t>
        </x:is>
      </x:c>
      <x:c r="Q30" s="39" t="str"/>
      <x:c r="R30" s="39" t="inlineStr">
        <x:is>
          <x:t xml:space="preserve">S23</x:t>
        </x:is>
      </x:c>
    </x:row>
    <x:row r="31">
      <x:c r="A31" s="39" t="inlineStr">
        <x:is>
          <x:t xml:space="preserve">I134</x:t>
        </x:is>
      </x:c>
      <x:c r="B31" s="39" t="inlineStr">
        <x:is>
          <x:t xml:space="preserve">61</x:t>
        </x:is>
      </x:c>
      <x:c r="C31" s="39" t="n">
        <x:v>5</x:v>
      </x:c>
      <x:c r="D31" s="39" t="inlineStr">
        <x:is>
          <x:t xml:space="preserve">Sarah C. Bush</x:t>
        </x:is>
      </x:c>
      <x:c r="E31" s="39" t="inlineStr">
        <x:is>
          <x:t xml:space="preserve">F</x:t>
        </x:is>
      </x:c>
      <x:c r="F31" s="39" t="str"/>
      <x:c r="G31" s="39" t="n"/>
      <x:c r="H31" s="39" t="str"/>
      <x:c r="I31" s="39" t="str"/>
      <x:c r="J31" s="39" t="n"/>
      <x:c r="K31" s="39" t="str"/>
      <x:c r="L31" s="39" t="inlineStr">
        <x:is>
          <x:t xml:space="preserve">Slaughter / Bush</x:t>
        </x:is>
      </x:c>
      <x:c r="M31" s="39" t="inlineStr">
        <x:is>
          <x:t xml:space="preserve">B - Strong</x:t>
        </x:is>
      </x:c>
      <x:c r="N31" s="39" t="str"/>
      <x:c r="O31" s="39" t="str"/>
      <x:c r="P31" s="39" t="inlineStr">
        <x:is>
          <x:t xml:space="preserve">Fredric Muller Vollmer → Jan Muller Vollmer → Anne Rives McCormick Muller → Eloise A. “Elvie/Elvia” Slaughter McCormick → Isaac Bush Slaughter Sr. → Sarah C. Bush</x:t>
        </x:is>
      </x:c>
      <x:c r="Q31" s="39" t="str"/>
      <x:c r="R31" s="39" t="inlineStr">
        <x:is>
          <x:t xml:space="preserve">S23</x:t>
        </x:is>
      </x:c>
    </x:row>
    <x:row r="32">
      <x:c r="A32" s="39" t="inlineStr">
        <x:is>
          <x:t xml:space="preserve">I155</x:t>
        </x:is>
      </x:c>
      <x:c r="B32" s="39" t="inlineStr">
        <x:is>
          <x:t xml:space="preserve">127</x:t>
        </x:is>
      </x:c>
      <x:c r="C32" s="39" t="n">
        <x:v>6</x:v>
      </x:c>
      <x:c r="D32" s="39" t="inlineStr">
        <x:is>
          <x:t xml:space="preserve">Elvina Hill</x:t>
        </x:is>
      </x:c>
      <x:c r="E32" s="39" t="inlineStr">
        <x:is>
          <x:t xml:space="preserve">F</x:t>
        </x:is>
      </x:c>
      <x:c r="F32" s="39" t="str"/>
      <x:c r="G32" s="39" t="n"/>
      <x:c r="H32" s="39" t="str"/>
      <x:c r="I32" s="39" t="str"/>
      <x:c r="J32" s="39" t="n"/>
      <x:c r="K32" s="39" t="str"/>
      <x:c r="L32" s="39" t="inlineStr">
        <x:is>
          <x:t xml:space="preserve">Agee / Ford / Bondurant</x:t>
        </x:is>
      </x:c>
      <x:c r="M32" s="39" t="inlineStr">
        <x:is>
          <x:t xml:space="preserve">B - Strong</x:t>
        </x:is>
      </x:c>
      <x:c r="N32" s="39" t="inlineStr">
        <x:is>
          <x:t xml:space="preserve">William Hill</x:t>
        </x:is>
      </x:c>
      <x:c r="O32" s="39" t="str"/>
      <x:c r="P32" s="39" t="inlineStr">
        <x:is>
          <x:t xml:space="preserve">Fredric Muller Vollmer → Jan Muller Vollmer → Anne Rives McCormick Muller → Eloise A. “Elvie/Elvia” Slaughter McCormick → Lula Arnelia Rives → Florence Estelle Agee → Elvina Hill</x:t>
        </x:is>
      </x:c>
      <x:c r="Q32" s="39" t="str"/>
      <x:c r="R32" s="39" t="inlineStr">
        <x:is>
          <x:t xml:space="preserve">S8</x:t>
        </x:is>
      </x:c>
    </x:row>
    <x:row r="33">
      <x:c r="A33" s="39" t="inlineStr">
        <x:is>
          <x:t xml:space="preserve">I154</x:t>
        </x:is>
      </x:c>
      <x:c r="B33" s="39" t="inlineStr">
        <x:is>
          <x:t xml:space="preserve">126</x:t>
        </x:is>
      </x:c>
      <x:c r="C33" s="39" t="n">
        <x:v>6</x:v>
      </x:c>
      <x:c r="D33" s="39" t="inlineStr">
        <x:is>
          <x:t xml:space="preserve">William Raiford Agee</x:t>
        </x:is>
      </x:c>
      <x:c r="E33" s="39" t="inlineStr">
        <x:is>
          <x:t xml:space="preserve">M</x:t>
        </x:is>
      </x:c>
      <x:c r="F33" s="39" t="inlineStr">
        <x:is>
          <x:t xml:space="preserve">13 Aug 1806</x:t>
        </x:is>
      </x:c>
      <x:c r="G33" s="39" t="n">
        <x:v>1806</x:v>
      </x:c>
      <x:c r="H33" s="39" t="inlineStr">
        <x:is>
          <x:t xml:space="preserve">Buckingham County, Virginia</x:t>
        </x:is>
      </x:c>
      <x:c r="I33" s="39" t="inlineStr">
        <x:is>
          <x:t xml:space="preserve">31 Aug 1870</x:t>
        </x:is>
      </x:c>
      <x:c r="J33" s="39" t="n">
        <x:v>1870</x:v>
      </x:c>
      <x:c r="K33" s="39" t="inlineStr">
        <x:is>
          <x:t xml:space="preserve">Alabama</x:t>
        </x:is>
      </x:c>
      <x:c r="L33" s="39" t="inlineStr">
        <x:is>
          <x:t xml:space="preserve">Agee / Ford / Bondurant</x:t>
        </x:is>
      </x:c>
      <x:c r="M33" s="39" t="inlineStr">
        <x:is>
          <x:t xml:space="preserve">B - Strong</x:t>
        </x:is>
      </x:c>
      <x:c r="N33" s="39" t="inlineStr">
        <x:is>
          <x:t xml:space="preserve">Noah Agee</x:t>
        </x:is>
      </x:c>
      <x:c r="O33" s="39" t="inlineStr">
        <x:is>
          <x:t xml:space="preserve">Martha Mask</x:t>
        </x:is>
      </x:c>
      <x:c r="P33" s="39" t="inlineStr">
        <x:is>
          <x:t xml:space="preserve">Fredric Muller Vollmer → Jan Muller Vollmer → Anne Rives McCormick Muller → Eloise A. “Elvie/Elvia” Slaughter McCormick → Lula Arnelia Rives → Florence Estelle Agee → William Raiford Agee</x:t>
        </x:is>
      </x:c>
      <x:c r="Q33" s="39" t="str"/>
      <x:c r="R33" s="39" t="inlineStr">
        <x:is>
          <x:t xml:space="preserve">S8</x:t>
        </x:is>
      </x:c>
    </x:row>
    <x:row r="34">
      <x:c r="A34" s="39" t="inlineStr">
        <x:is>
          <x:t xml:space="preserve">I123</x:t>
        </x:is>
      </x:c>
      <x:c r="B34" s="39" t="inlineStr">
        <x:is>
          <x:t xml:space="preserve">117</x:t>
        </x:is>
      </x:c>
      <x:c r="C34" s="39" t="n">
        <x:v>6</x:v>
      </x:c>
      <x:c r="D34" s="39" t="inlineStr">
        <x:is>
          <x:t xml:space="preserve">Elizabeth Field</x:t>
        </x:is>
      </x:c>
      <x:c r="E34" s="39" t="inlineStr">
        <x:is>
          <x:t xml:space="preserve">F</x:t>
        </x:is>
      </x:c>
      <x:c r="F34" s="39" t="inlineStr">
        <x:is>
          <x:t xml:space="preserve">about 1827</x:t>
        </x:is>
      </x:c>
      <x:c r="G34" s="39" t="n">
        <x:v>1827</x:v>
      </x:c>
      <x:c r="H34" s="39" t="str"/>
      <x:c r="I34" s="39" t="inlineStr">
        <x:is>
          <x:t xml:space="preserve">1 May 1905</x:t>
        </x:is>
      </x:c>
      <x:c r="J34" s="39" t="n">
        <x:v>1905</x:v>
      </x:c>
      <x:c r="K34" s="39" t="str"/>
      <x:c r="L34" s="39" t="inlineStr">
        <x:is>
          <x:t xml:space="preserve">Brooks / Field</x:t>
        </x:is>
      </x:c>
      <x:c r="M34" s="39" t="inlineStr">
        <x:is>
          <x:t xml:space="preserve">B - Strong</x:t>
        </x:is>
      </x:c>
      <x:c r="N34" s="39" t="inlineStr">
        <x:is>
          <x:t xml:space="preserve">Abram Field</x:t>
        </x:is>
      </x:c>
      <x:c r="O34" s="39" t="inlineStr">
        <x:is>
          <x:t xml:space="preserve">Elizabeth Simmons (probable)</x:t>
        </x:is>
      </x:c>
      <x:c r="P34" s="39" t="inlineStr">
        <x:is>
          <x:t xml:space="preserve">Fredric Muller Vollmer → Jan Muller Vollmer → Anne Rives McCormick Muller → Charles Ellsworth McCormick II → Mary Moore Brooks → Abram Field Brooks → Elizabeth Field</x:t>
        </x:is>
      </x:c>
      <x:c r="Q34" s="39" t="str"/>
      <x:c r="R34" s="39" t="inlineStr">
        <x:is>
          <x:t xml:space="preserve">S17</x:t>
        </x:is>
      </x:c>
    </x:row>
    <x:row r="35">
      <x:c r="A35" s="39" t="inlineStr">
        <x:is>
          <x:t xml:space="preserve">I122</x:t>
        </x:is>
      </x:c>
      <x:c r="B35" s="39" t="inlineStr">
        <x:is>
          <x:t xml:space="preserve">116</x:t>
        </x:is>
      </x:c>
      <x:c r="C35" s="39" t="n">
        <x:v>6</x:v>
      </x:c>
      <x:c r="D35" s="39" t="inlineStr">
        <x:is>
          <x:t xml:space="preserve">Solomon Neal Brooks</x:t>
        </x:is>
      </x:c>
      <x:c r="E35" s="39" t="inlineStr">
        <x:is>
          <x:t xml:space="preserve">M</x:t>
        </x:is>
      </x:c>
      <x:c r="F35" s="39" t="inlineStr">
        <x:is>
          <x:t xml:space="preserve">18 Mar 1818</x:t>
        </x:is>
      </x:c>
      <x:c r="G35" s="39" t="n">
        <x:v>1818</x:v>
      </x:c>
      <x:c r="H35" s="39" t="str"/>
      <x:c r="I35" s="39" t="inlineStr">
        <x:is>
          <x:t xml:space="preserve">1890</x:t>
        </x:is>
      </x:c>
      <x:c r="J35" s="39" t="n">
        <x:v>1890</x:v>
      </x:c>
      <x:c r="K35" s="39" t="str"/>
      <x:c r="L35" s="39" t="inlineStr">
        <x:is>
          <x:t xml:space="preserve">Brooks / Field</x:t>
        </x:is>
      </x:c>
      <x:c r="M35" s="39" t="inlineStr">
        <x:is>
          <x:t xml:space="preserve">B - Strong</x:t>
        </x:is>
      </x:c>
      <x:c r="N35" s="39" t="inlineStr">
        <x:is>
          <x:t xml:space="preserve">Joseph Anderson Brooks</x:t>
        </x:is>
      </x:c>
      <x:c r="O35" s="39" t="str"/>
      <x:c r="P35" s="39" t="inlineStr">
        <x:is>
          <x:t xml:space="preserve">Fredric Muller Vollmer → Jan Muller Vollmer → Anne Rives McCormick Muller → Charles Ellsworth McCormick II → Mary Moore Brooks → Abram Field Brooks → Solomon Neal Brooks</x:t>
        </x:is>
      </x:c>
      <x:c r="Q35" s="39" t="inlineStr">
        <x:is>
          <x:t xml:space="preserve">A county biography calls his mother “Miss Miles”; his father’s will names wife Rebecca, and other compiled material suggests Cordelia Standiford. Mother not assigned because the evidence conflicts.</x:t>
        </x:is>
      </x:c>
      <x:c r="R35" s="39" t="inlineStr">
        <x:is>
          <x:t xml:space="preserve">S17, S18</x:t>
        </x:is>
      </x:c>
    </x:row>
    <x:row r="36">
      <x:c r="A36" s="39" t="inlineStr">
        <x:is>
          <x:t xml:space="preserve">I024</x:t>
        </x:is>
      </x:c>
      <x:c r="B36" s="39" t="inlineStr">
        <x:is>
          <x:t xml:space="preserve">104</x:t>
        </x:is>
      </x:c>
      <x:c r="C36" s="39" t="n">
        <x:v>6</x:v>
      </x:c>
      <x:c r="D36" s="39" t="inlineStr">
        <x:is>
          <x:t xml:space="preserve">Elon Lee</x:t>
        </x:is>
      </x:c>
      <x:c r="E36" s="39" t="inlineStr">
        <x:is>
          <x:t xml:space="preserve">M</x:t>
        </x:is>
      </x:c>
      <x:c r="F36" s="39" t="inlineStr">
        <x:is>
          <x:t xml:space="preserve">12 Mar 1786</x:t>
        </x:is>
      </x:c>
      <x:c r="G36" s="39" t="n">
        <x:v>1786</x:v>
      </x:c>
      <x:c r="H36" s="39" t="inlineStr">
        <x:is>
          <x:t xml:space="preserve">Guilford, New Haven County, Connecticut</x:t>
        </x:is>
      </x:c>
      <x:c r="I36" s="39" t="inlineStr">
        <x:is>
          <x:t xml:space="preserve">22 Dec 1856</x:t>
        </x:is>
      </x:c>
      <x:c r="J36" s="39" t="n">
        <x:v>1856</x:v>
      </x:c>
      <x:c r="K36" s="39" t="inlineStr">
        <x:is>
          <x:t xml:space="preserve">Guilford, New Haven County, Connecticut</x:t>
        </x:is>
      </x:c>
      <x:c r="L36" s="39" t="inlineStr">
        <x:is>
          <x:t xml:space="preserve">Lee / New England</x:t>
        </x:is>
      </x:c>
      <x:c r="M36" s="39" t="inlineStr">
        <x:is>
          <x:t xml:space="preserve">B - Strong</x:t>
        </x:is>
      </x:c>
      <x:c r="N36" s="39" t="inlineStr">
        <x:is>
          <x:t xml:space="preserve">William Lee</x:t>
        </x:is>
      </x:c>
      <x:c r="O36" s="39" t="inlineStr">
        <x:is>
          <x:t xml:space="preserve">Eunice Hotchkiss</x:t>
        </x:is>
      </x:c>
      <x:c r="P36" s="39" t="inlineStr">
        <x:is>
          <x:t xml:space="preserve">Fredric Muller Vollmer → Jan Muller Vollmer → Arthur John Muller → Elma Anna Lee → Elmer Ellsworth Lee → Hubbard Stone Lee → Elon Lee</x:t>
        </x:is>
      </x:c>
      <x:c r="Q36" s="39" t="str"/>
      <x:c r="R36" s="39" t="inlineStr">
        <x:is>
          <x:t xml:space="preserve">S7</x:t>
        </x:is>
      </x:c>
    </x:row>
    <x:row r="37">
      <x:c r="A37" s="39" t="inlineStr">
        <x:is>
          <x:t xml:space="preserve">I025</x:t>
        </x:is>
      </x:c>
      <x:c r="B37" s="39" t="inlineStr">
        <x:is>
          <x:t xml:space="preserve">105</x:t>
        </x:is>
      </x:c>
      <x:c r="C37" s="39" t="n">
        <x:v>6</x:v>
      </x:c>
      <x:c r="D37" s="39" t="inlineStr">
        <x:is>
          <x:t xml:space="preserve">Grace Stone</x:t>
        </x:is>
      </x:c>
      <x:c r="E37" s="39" t="inlineStr">
        <x:is>
          <x:t xml:space="preserve">F</x:t>
        </x:is>
      </x:c>
      <x:c r="F37" s="39" t="inlineStr">
        <x:is>
          <x:t xml:space="preserve">27 Apr 1788</x:t>
        </x:is>
      </x:c>
      <x:c r="G37" s="39" t="n">
        <x:v>1788</x:v>
      </x:c>
      <x:c r="H37" s="39" t="inlineStr">
        <x:is>
          <x:t xml:space="preserve">Guilford, New Haven County, Connecticut</x:t>
        </x:is>
      </x:c>
      <x:c r="I37" s="39" t="inlineStr">
        <x:is>
          <x:t xml:space="preserve">18 May 1847</x:t>
        </x:is>
      </x:c>
      <x:c r="J37" s="39" t="n">
        <x:v>1847</x:v>
      </x:c>
      <x:c r="K37" s="39" t="inlineStr">
        <x:is>
          <x:t xml:space="preserve">Guilford, New Haven County, Connecticut</x:t>
        </x:is>
      </x:c>
      <x:c r="L37" s="39" t="inlineStr">
        <x:is>
          <x:t xml:space="preserve">Lee / New England</x:t>
        </x:is>
      </x:c>
      <x:c r="M37" s="39" t="inlineStr">
        <x:is>
          <x:t xml:space="preserve">B - Strong</x:t>
        </x:is>
      </x:c>
      <x:c r="N37" s="39" t="inlineStr">
        <x:is>
          <x:t xml:space="preserve">John Evarts Stone</x:t>
        </x:is>
      </x:c>
      <x:c r="O37" s="39" t="inlineStr">
        <x:is>
          <x:t xml:space="preserve">Eunice Goldsmith</x:t>
        </x:is>
      </x:c>
      <x:c r="P37" s="39" t="inlineStr">
        <x:is>
          <x:t xml:space="preserve">Fredric Muller Vollmer → Jan Muller Vollmer → Arthur John Muller → Elma Anna Lee → Elmer Ellsworth Lee → Hubbard Stone Lee → Grace Stone</x:t>
        </x:is>
      </x:c>
      <x:c r="Q37" s="39" t="str"/>
      <x:c r="R37" s="39" t="inlineStr">
        <x:is>
          <x:t xml:space="preserve">S7</x:t>
        </x:is>
      </x:c>
    </x:row>
    <x:row r="38">
      <x:c r="A38" s="39" t="inlineStr">
        <x:is>
          <x:t xml:space="preserve">I118</x:t>
        </x:is>
      </x:c>
      <x:c r="B38" s="39" t="inlineStr">
        <x:is>
          <x:t xml:space="preserve">112</x:t>
        </x:is>
      </x:c>
      <x:c r="C38" s="39" t="n">
        <x:v>6</x:v>
      </x:c>
      <x:c r="D38" s="39" t="inlineStr">
        <x:is>
          <x:t xml:space="preserve">Charles McCormick</x:t>
        </x:is>
      </x:c>
      <x:c r="E38" s="39" t="inlineStr">
        <x:is>
          <x:t xml:space="preserve">M</x:t>
        </x:is>
      </x:c>
      <x:c r="F38" s="39" t="inlineStr">
        <x:is>
          <x:t xml:space="preserve">about 1802</x:t>
        </x:is>
      </x:c>
      <x:c r="G38" s="39" t="n">
        <x:v>1802</x:v>
      </x:c>
      <x:c r="H38" s="39" t="inlineStr">
        <x:is>
          <x:t xml:space="preserve">Kentucky or Virginia</x:t>
        </x:is>
      </x:c>
      <x:c r="I38" s="39" t="str"/>
      <x:c r="J38" s="39" t="n"/>
      <x:c r="K38" s="39" t="str"/>
      <x:c r="L38" s="39" t="inlineStr">
        <x:is>
          <x:t xml:space="preserve">McCormick / O’Brien</x:t>
        </x:is>
      </x:c>
      <x:c r="M38" s="39" t="inlineStr">
        <x:is>
          <x:t xml:space="preserve">B - Strong</x:t>
        </x:is>
      </x:c>
      <x:c r="N38" s="39" t="str"/>
      <x:c r="O38" s="39" t="str"/>
      <x:c r="P38" s="39" t="inlineStr">
        <x:is>
          <x:t xml:space="preserve">Fredric Muller Vollmer → Jan Muller Vollmer → Anne Rives McCormick Muller → Charles Ellsworth McCormick II → Charles Ellsworth McCormick I → Edward H. McCormick → Charles McCormick</x:t>
        </x:is>
      </x:c>
      <x:c r="Q38" s="39" t="inlineStr">
        <x:is>
          <x:t xml:space="preserve">Age 48 and a forgeman in the 1850 Bullitt County census.</x:t>
        </x:is>
      </x:c>
      <x:c r="R38" s="39" t="inlineStr">
        <x:is>
          <x:t xml:space="preserve">S15</x:t>
        </x:is>
      </x:c>
    </x:row>
    <x:row r="39">
      <x:c r="A39" s="39" t="inlineStr">
        <x:is>
          <x:t xml:space="preserve">I124</x:t>
        </x:is>
      </x:c>
      <x:c r="B39" s="39" t="inlineStr">
        <x:is>
          <x:t xml:space="preserve">114</x:t>
        </x:is>
      </x:c>
      <x:c r="C39" s="39" t="n">
        <x:v>6</x:v>
      </x:c>
      <x:c r="D39" s="39" t="inlineStr">
        <x:is>
          <x:t xml:space="preserve">Christopher O’Brien</x:t>
        </x:is>
      </x:c>
      <x:c r="E39" s="39" t="inlineStr">
        <x:is>
          <x:t xml:space="preserve">M</x:t>
        </x:is>
      </x:c>
      <x:c r="F39" s="39" t="inlineStr">
        <x:is>
          <x:t xml:space="preserve">about 1815</x:t>
        </x:is>
      </x:c>
      <x:c r="G39" s="39" t="n">
        <x:v>1815</x:v>
      </x:c>
      <x:c r="H39" s="39" t="str"/>
      <x:c r="I39" s="39" t="str"/>
      <x:c r="J39" s="39" t="n"/>
      <x:c r="K39" s="39" t="str"/>
      <x:c r="L39" s="39" t="inlineStr">
        <x:is>
          <x:t xml:space="preserve">McCormick / O’Brien</x:t>
        </x:is>
      </x:c>
      <x:c r="M39" s="39" t="inlineStr">
        <x:is>
          <x:t xml:space="preserve">B - Strong</x:t>
        </x:is>
      </x:c>
      <x:c r="N39" s="39" t="str"/>
      <x:c r="O39" s="39" t="str"/>
      <x:c r="P39" s="39" t="inlineStr">
        <x:is>
          <x:t xml:space="preserve">Fredric Muller Vollmer → Jan Muller Vollmer → Anne Rives McCormick Muller → Charles Ellsworth McCormick II → Charles Ellsworth McCormick I → Martha Ann “Annie” O’Brien → Christopher O’Brien</x:t>
        </x:is>
      </x:c>
      <x:c r="Q39" s="39" t="str"/>
      <x:c r="R39" s="39" t="inlineStr">
        <x:is>
          <x:t xml:space="preserve">S14</x:t>
        </x:is>
      </x:c>
    </x:row>
    <x:row r="40">
      <x:c r="A40" s="39" t="inlineStr">
        <x:is>
          <x:t xml:space="preserve">I119</x:t>
        </x:is>
      </x:c>
      <x:c r="B40" s="39" t="inlineStr">
        <x:is>
          <x:t xml:space="preserve">113</x:t>
        </x:is>
      </x:c>
      <x:c r="C40" s="39" t="n">
        <x:v>6</x:v>
      </x:c>
      <x:c r="D40" s="39" t="inlineStr">
        <x:is>
          <x:t xml:space="preserve">Elizabeth (surname unknown) McCormick</x:t>
        </x:is>
      </x:c>
      <x:c r="E40" s="39" t="inlineStr">
        <x:is>
          <x:t xml:space="preserve">F</x:t>
        </x:is>
      </x:c>
      <x:c r="F40" s="39" t="inlineStr">
        <x:is>
          <x:t xml:space="preserve">about 1808</x:t>
        </x:is>
      </x:c>
      <x:c r="G40" s="39" t="n">
        <x:v>1808</x:v>
      </x:c>
      <x:c r="H40" s="39" t="inlineStr">
        <x:is>
          <x:t xml:space="preserve">Kentucky</x:t>
        </x:is>
      </x:c>
      <x:c r="I40" s="39" t="str"/>
      <x:c r="J40" s="39" t="n"/>
      <x:c r="K40" s="39" t="str"/>
      <x:c r="L40" s="39" t="inlineStr">
        <x:is>
          <x:t xml:space="preserve">McCormick / O’Brien</x:t>
        </x:is>
      </x:c>
      <x:c r="M40" s="39" t="inlineStr">
        <x:is>
          <x:t xml:space="preserve">B - Strong</x:t>
        </x:is>
      </x:c>
      <x:c r="N40" s="39" t="str"/>
      <x:c r="O40" s="39" t="str"/>
      <x:c r="P40" s="39" t="inlineStr">
        <x:is>
          <x:t xml:space="preserve">Fredric Muller Vollmer → Jan Muller Vollmer → Anne Rives McCormick Muller → Charles Ellsworth McCormick II → Charles Ellsworth McCormick I → Edward H. McCormick → Elizabeth (surname unknown) McCormick</x:t>
        </x:is>
      </x:c>
      <x:c r="Q40" s="39" t="inlineStr">
        <x:is>
          <x:t xml:space="preserve">Age 42 in the 1850 Bullitt County census; maiden name remains unknown.</x:t>
        </x:is>
      </x:c>
      <x:c r="R40" s="39" t="inlineStr">
        <x:is>
          <x:t xml:space="preserve">S15</x:t>
        </x:is>
      </x:c>
    </x:row>
    <x:row r="41">
      <x:c r="A41" s="39" t="inlineStr">
        <x:is>
          <x:t xml:space="preserve">I125</x:t>
        </x:is>
      </x:c>
      <x:c r="B41" s="39" t="inlineStr">
        <x:is>
          <x:t xml:space="preserve">115</x:t>
        </x:is>
      </x:c>
      <x:c r="C41" s="39" t="n">
        <x:v>6</x:v>
      </x:c>
      <x:c r="D41" s="39" t="inlineStr">
        <x:is>
          <x:t xml:space="preserve">Sophronia Simmons</x:t>
        </x:is>
      </x:c>
      <x:c r="E41" s="39" t="inlineStr">
        <x:is>
          <x:t xml:space="preserve">F</x:t>
        </x:is>
      </x:c>
      <x:c r="F41" s="39" t="inlineStr">
        <x:is>
          <x:t xml:space="preserve">about 1824</x:t>
        </x:is>
      </x:c>
      <x:c r="G41" s="39" t="n">
        <x:v>1824</x:v>
      </x:c>
      <x:c r="H41" s="39" t="str"/>
      <x:c r="I41" s="39" t="str"/>
      <x:c r="J41" s="39" t="n"/>
      <x:c r="K41" s="39" t="str"/>
      <x:c r="L41" s="39" t="inlineStr">
        <x:is>
          <x:t xml:space="preserve">McCormick / O’Brien</x:t>
        </x:is>
      </x:c>
      <x:c r="M41" s="39" t="inlineStr">
        <x:is>
          <x:t xml:space="preserve">B - Strong</x:t>
        </x:is>
      </x:c>
      <x:c r="N41" s="39" t="str"/>
      <x:c r="O41" s="39" t="str"/>
      <x:c r="P41" s="39" t="inlineStr">
        <x:is>
          <x:t xml:space="preserve">Fredric Muller Vollmer → Jan Muller Vollmer → Anne Rives McCormick Muller → Charles Ellsworth McCormick II → Charles Ellsworth McCormick I → Martha Ann “Annie” O’Brien → Sophronia Simmons</x:t>
        </x:is>
      </x:c>
      <x:c r="Q41" s="39" t="inlineStr">
        <x:is>
          <x:t xml:space="preserve">Adjacent Simmons households suggest possible parents, but the relationship was not proved and is omitted here.</x:t>
        </x:is>
      </x:c>
      <x:c r="R41" s="39" t="inlineStr">
        <x:is>
          <x:t xml:space="preserve">S14</x:t>
        </x:is>
      </x:c>
    </x:row>
    <x:row r="42">
      <x:c r="A42" s="39" t="inlineStr">
        <x:is>
          <x:t xml:space="preserve">I021</x:t>
        </x:is>
      </x:c>
      <x:c r="B42" s="39" t="inlineStr">
        <x:is>
          <x:t xml:space="preserve">102</x:t>
        </x:is>
      </x:c>
      <x:c r="C42" s="39" t="n">
        <x:v>6</x:v>
      </x:c>
      <x:c r="D42" s="39" t="inlineStr">
        <x:is>
          <x:t xml:space="preserve">Jacob Wüst</x:t>
        </x:is>
      </x:c>
      <x:c r="E42" s="39" t="inlineStr">
        <x:is>
          <x:t xml:space="preserve">M</x:t>
        </x:is>
      </x:c>
      <x:c r="F42" s="39" t="str"/>
      <x:c r="G42" s="39" t="n"/>
      <x:c r="H42" s="39" t="inlineStr">
        <x:is>
          <x:t xml:space="preserve">Bavaria</x:t>
        </x:is>
      </x:c>
      <x:c r="I42" s="39" t="str"/>
      <x:c r="J42" s="39" t="n"/>
      <x:c r="K42" s="39" t="str"/>
      <x:c r="L42" s="39" t="inlineStr">
        <x:is>
          <x:t xml:space="preserve">Muller / Kleitz</x:t>
        </x:is>
      </x:c>
      <x:c r="M42" s="39" t="inlineStr">
        <x:is>
          <x:t xml:space="preserve">C - Provisional</x:t>
        </x:is>
      </x:c>
      <x:c r="N42" s="39" t="str"/>
      <x:c r="O42" s="39" t="str"/>
      <x:c r="P42" s="39" t="inlineStr">
        <x:is>
          <x:t xml:space="preserve">Fredric Muller Vollmer → Jan Muller Vollmer → Arthur John Muller → Arthur Herman Muller → Henrietta Kleitz → Elizabeth Wüst → Jacob Wüst</x:t>
        </x:is>
      </x:c>
      <x:c r="Q42" s="39" t="inlineStr">
        <x:is>
          <x:t xml:space="preserve">Named as Elizabeth Wüst’s father in the Kastler family database; mother remains unknown.</x:t>
        </x:is>
      </x:c>
      <x:c r="R42" s="39" t="inlineStr">
        <x:is>
          <x:t xml:space="preserve">S21</x:t>
        </x:is>
      </x:c>
    </x:row>
    <x:row r="43">
      <x:c r="A43" s="39" t="inlineStr">
        <x:is>
          <x:t xml:space="preserve">I138</x:t>
        </x:is>
      </x:c>
      <x:c r="B43" s="39" t="inlineStr">
        <x:is>
          <x:t xml:space="preserve">125</x:t>
        </x:is>
      </x:c>
      <x:c r="C43" s="39" t="n">
        <x:v>6</x:v>
      </x:c>
      <x:c r="D43" s="39" t="inlineStr">
        <x:is>
          <x:t xml:space="preserve">Amelia Harrison</x:t>
        </x:is>
      </x:c>
      <x:c r="E43" s="39" t="inlineStr">
        <x:is>
          <x:t xml:space="preserve">F</x:t>
        </x:is>
      </x:c>
      <x:c r="F43" s="39" t="inlineStr">
        <x:is>
          <x:t xml:space="preserve">21 Dec 1804</x:t>
        </x:is>
      </x:c>
      <x:c r="G43" s="39" t="n">
        <x:v>1804</x:v>
      </x:c>
      <x:c r="H43" s="39" t="inlineStr">
        <x:is>
          <x:t xml:space="preserve">Fairfield District, South Carolina</x:t>
        </x:is>
      </x:c>
      <x:c r="I43" s="39" t="inlineStr">
        <x:is>
          <x:t xml:space="preserve">13 Mar 1883</x:t>
        </x:is>
      </x:c>
      <x:c r="J43" s="39" t="n">
        <x:v>1883</x:v>
      </x:c>
      <x:c r="K43" s="39" t="inlineStr">
        <x:is>
          <x:t xml:space="preserve">South Carolina</x:t>
        </x:is>
      </x:c>
      <x:c r="L43" s="39" t="inlineStr">
        <x:is>
          <x:t xml:space="preserve">Rives / Harrison</x:t>
        </x:is>
      </x:c>
      <x:c r="M43" s="39" t="inlineStr">
        <x:is>
          <x:t xml:space="preserve">A - Confirmed</x:t>
        </x:is>
      </x:c>
      <x:c r="N43" s="39" t="inlineStr">
        <x:is>
          <x:t xml:space="preserve">William Harrison</x:t>
        </x:is>
      </x:c>
      <x:c r="O43" s="39" t="inlineStr">
        <x:is>
          <x:t xml:space="preserve">Ann Perry</x:t>
        </x:is>
      </x:c>
      <x:c r="P43" s="39" t="inlineStr">
        <x:is>
          <x:t xml:space="preserve">Fredric Muller Vollmer → Jan Muller Vollmer → Anne Rives McCormick Muller → Eloise A. “Elvie/Elvia” Slaughter McCormick → Lula Arnelia Rives → Robert Calhoun Rives → Amelia Harrison</x:t>
        </x:is>
      </x:c>
      <x:c r="Q43" s="39" t="str"/>
      <x:c r="R43" s="39" t="inlineStr">
        <x:is>
          <x:t xml:space="preserve">S4, S20</x:t>
        </x:is>
      </x:c>
    </x:row>
    <x:row r="44">
      <x:c r="A44" s="39" t="inlineStr">
        <x:is>
          <x:t xml:space="preserve">I137</x:t>
        </x:is>
      </x:c>
      <x:c r="B44" s="39" t="inlineStr">
        <x:is>
          <x:t xml:space="preserve">124</x:t>
        </x:is>
      </x:c>
      <x:c r="C44" s="39" t="n">
        <x:v>6</x:v>
      </x:c>
      <x:c r="D44" s="39" t="inlineStr">
        <x:is>
          <x:t xml:space="preserve">Robert Rives</x:t>
        </x:is>
      </x:c>
      <x:c r="E44" s="39" t="inlineStr">
        <x:is>
          <x:t xml:space="preserve">M</x:t>
        </x:is>
      </x:c>
      <x:c r="F44" s="39" t="inlineStr">
        <x:is>
          <x:t xml:space="preserve">28 May/Aug 1801</x:t>
        </x:is>
      </x:c>
      <x:c r="G44" s="39" t="n">
        <x:v>1801</x:v>
      </x:c>
      <x:c r="H44" s="39" t="inlineStr">
        <x:is>
          <x:t xml:space="preserve">South Carolina</x:t>
        </x:is>
      </x:c>
      <x:c r="I44" s="39" t="inlineStr">
        <x:is>
          <x:t xml:space="preserve">30 Sep 1877</x:t>
        </x:is>
      </x:c>
      <x:c r="J44" s="39" t="n">
        <x:v>1877</x:v>
      </x:c>
      <x:c r="K44" s="39" t="inlineStr">
        <x:is>
          <x:t xml:space="preserve">Benton, Lowndes County, Alabama</x:t>
        </x:is>
      </x:c>
      <x:c r="L44" s="39" t="inlineStr">
        <x:is>
          <x:t xml:space="preserve">Rives / Harrison</x:t>
        </x:is>
      </x:c>
      <x:c r="M44" s="39" t="inlineStr">
        <x:is>
          <x:t xml:space="preserve">A - Confirmed</x:t>
        </x:is>
      </x:c>
      <x:c r="N44" s="39" t="inlineStr">
        <x:is>
          <x:t xml:space="preserve">Green Rives</x:t>
        </x:is>
      </x:c>
      <x:c r="O44" s="39" t="inlineStr">
        <x:is>
          <x:t xml:space="preserve">Mary Ridley Jones</x:t>
        </x:is>
      </x:c>
      <x:c r="P44" s="39" t="inlineStr">
        <x:is>
          <x:t xml:space="preserve">Fredric Muller Vollmer → Jan Muller Vollmer → Anne Rives McCormick Muller → Eloise A. “Elvie/Elvia” Slaughter McCormick → Lula Arnelia Rives → Robert Calhoun Rives → Robert Rives</x:t>
        </x:is>
      </x:c>
      <x:c r="Q44" s="39" t="inlineStr">
        <x:is>
          <x:t xml:space="preserve">Sources disagree whether the birth month/day is 28 May or 28 August.</x:t>
        </x:is>
      </x:c>
      <x:c r="R44" s="39" t="inlineStr">
        <x:is>
          <x:t xml:space="preserve">S4, S9, S10</x:t>
        </x:is>
      </x:c>
    </x:row>
    <x:row r="45">
      <x:c r="A45" s="39" t="inlineStr">
        <x:is>
          <x:t xml:space="preserve">I162</x:t>
        </x:is>
      </x:c>
      <x:c r="B45" s="39" t="inlineStr">
        <x:is>
          <x:t xml:space="preserve">253</x:t>
        </x:is>
      </x:c>
      <x:c r="C45" s="39" t="n">
        <x:v>7</x:v>
      </x:c>
      <x:c r="D45" s="39" t="inlineStr">
        <x:is>
          <x:t xml:space="preserve">Martha Mask</x:t>
        </x:is>
      </x:c>
      <x:c r="E45" s="39" t="inlineStr">
        <x:is>
          <x:t xml:space="preserve">F</x:t>
        </x:is>
      </x:c>
      <x:c r="F45" s="39" t="inlineStr">
        <x:is>
          <x:t xml:space="preserve">27 Dec 1768</x:t>
        </x:is>
      </x:c>
      <x:c r="G45" s="39" t="n">
        <x:v>1768</x:v>
      </x:c>
      <x:c r="H45" s="39" t="str"/>
      <x:c r="I45" s="39" t="str"/>
      <x:c r="J45" s="39" t="n"/>
      <x:c r="K45" s="39" t="str"/>
      <x:c r="L45" s="39" t="inlineStr">
        <x:is>
          <x:t xml:space="preserve">Agee / Ford / Bondurant</x:t>
        </x:is>
      </x:c>
      <x:c r="M45" s="39" t="inlineStr">
        <x:is>
          <x:t xml:space="preserve">B - Strong</x:t>
        </x:is>
      </x:c>
      <x:c r="N45" s="39" t="str"/>
      <x:c r="O45" s="39" t="str"/>
      <x:c r="P45" s="39" t="inlineStr">
        <x:is>
          <x:t xml:space="preserve">Fredric Muller Vollmer → Jan Muller Vollmer → Anne Rives McCormick Muller → Eloise A. “Elvie/Elvia” Slaughter McCormick → Lula Arnelia Rives → Florence Estelle Agee → William Raiford Agee → Martha Mask</x:t>
        </x:is>
      </x:c>
      <x:c r="Q45" s="39" t="inlineStr">
        <x:is>
          <x:t xml:space="preserve">Her parentage was not sufficiently proved in this research pass.</x:t>
        </x:is>
      </x:c>
      <x:c r="R45" s="39" t="inlineStr">
        <x:is>
          <x:t xml:space="preserve">S8</x:t>
        </x:is>
      </x:c>
    </x:row>
    <x:row r="46">
      <x:c r="A46" s="39" t="inlineStr">
        <x:is>
          <x:t xml:space="preserve">I161</x:t>
        </x:is>
      </x:c>
      <x:c r="B46" s="39" t="inlineStr">
        <x:is>
          <x:t xml:space="preserve">252</x:t>
        </x:is>
      </x:c>
      <x:c r="C46" s="39" t="n">
        <x:v>7</x:v>
      </x:c>
      <x:c r="D46" s="39" t="inlineStr">
        <x:is>
          <x:t xml:space="preserve">Noah Agee</x:t>
        </x:is>
      </x:c>
      <x:c r="E46" s="39" t="inlineStr">
        <x:is>
          <x:t xml:space="preserve">M</x:t>
        </x:is>
      </x:c>
      <x:c r="F46" s="39" t="inlineStr">
        <x:is>
          <x:t xml:space="preserve">12 Nov 1750</x:t>
        </x:is>
      </x:c>
      <x:c r="G46" s="39" t="n">
        <x:v>1750</x:v>
      </x:c>
      <x:c r="H46" s="39" t="inlineStr">
        <x:is>
          <x:t xml:space="preserve">Virginia</x:t>
        </x:is>
      </x:c>
      <x:c r="I46" s="39" t="inlineStr">
        <x:is>
          <x:t xml:space="preserve">9 Apr 1823</x:t>
        </x:is>
      </x:c>
      <x:c r="J46" s="39" t="n">
        <x:v>1823</x:v>
      </x:c>
      <x:c r="K46" s="39" t="inlineStr">
        <x:is>
          <x:t xml:space="preserve">Alabama</x:t>
        </x:is>
      </x:c>
      <x:c r="L46" s="39" t="inlineStr">
        <x:is>
          <x:t xml:space="preserve">Agee / Ford / Bondurant</x:t>
        </x:is>
      </x:c>
      <x:c r="M46" s="39" t="inlineStr">
        <x:is>
          <x:t xml:space="preserve">B - Strong</x:t>
        </x:is>
      </x:c>
      <x:c r="N46" s="39" t="inlineStr">
        <x:is>
          <x:t xml:space="preserve">James Agee</x:t>
        </x:is>
      </x:c>
      <x:c r="O46" s="39" t="inlineStr">
        <x:is>
          <x:t xml:space="preserve">Mary (possibly Elizabeth) Ford</x:t>
        </x:is>
      </x:c>
      <x:c r="P46" s="39" t="inlineStr">
        <x:is>
          <x:t xml:space="preserve">Fredric Muller Vollmer → Jan Muller Vollmer → Anne Rives McCormick Muller → Eloise A. “Elvie/Elvia” Slaughter McCormick → Lula Arnelia Rives → Florence Estelle Agee → William Raiford Agee → Noah Agee</x:t>
        </x:is>
      </x:c>
      <x:c r="Q46" s="39" t="str"/>
      <x:c r="R46" s="39" t="inlineStr">
        <x:is>
          <x:t xml:space="preserve">S8</x:t>
        </x:is>
      </x:c>
    </x:row>
    <x:row r="47">
      <x:c r="A47" s="39" t="inlineStr">
        <x:is>
          <x:t xml:space="preserve">I163</x:t>
        </x:is>
      </x:c>
      <x:c r="B47" s="39" t="inlineStr">
        <x:is>
          <x:t xml:space="preserve">254</x:t>
        </x:is>
      </x:c>
      <x:c r="C47" s="39" t="n">
        <x:v>7</x:v>
      </x:c>
      <x:c r="D47" s="39" t="inlineStr">
        <x:is>
          <x:t xml:space="preserve">William Hill</x:t>
        </x:is>
      </x:c>
      <x:c r="E47" s="39" t="inlineStr">
        <x:is>
          <x:t xml:space="preserve">M</x:t>
        </x:is>
      </x:c>
      <x:c r="F47" s="39" t="str"/>
      <x:c r="G47" s="39" t="n"/>
      <x:c r="H47" s="39" t="str"/>
      <x:c r="I47" s="39" t="str"/>
      <x:c r="J47" s="39" t="n"/>
      <x:c r="K47" s="39" t="str"/>
      <x:c r="L47" s="39" t="inlineStr">
        <x:is>
          <x:t xml:space="preserve">Agee / Ford / Bondurant</x:t>
        </x:is>
      </x:c>
      <x:c r="M47" s="39" t="inlineStr">
        <x:is>
          <x:t xml:space="preserve">B - Strong</x:t>
        </x:is>
      </x:c>
      <x:c r="N47" s="39" t="str"/>
      <x:c r="O47" s="39" t="str"/>
      <x:c r="P47" s="39" t="inlineStr">
        <x:is>
          <x:t xml:space="preserve">Fredric Muller Vollmer → Jan Muller Vollmer → Anne Rives McCormick Muller → Eloise A. “Elvie/Elvia” Slaughter McCormick → Lula Arnelia Rives → Florence Estelle Agee → Elvina Hill → William Hill</x:t>
        </x:is>
      </x:c>
      <x:c r="Q47" s="39" t="inlineStr">
        <x:is>
          <x:t xml:space="preserve">Named as Elvina Hill’s father; her mother is unidentified.</x:t>
        </x:is>
      </x:c>
      <x:c r="R47" s="39" t="inlineStr">
        <x:is>
          <x:t xml:space="preserve">S8</x:t>
        </x:is>
      </x:c>
    </x:row>
    <x:row r="48">
      <x:c r="A48" s="39" t="inlineStr">
        <x:is>
          <x:t xml:space="preserve">I128</x:t>
        </x:is>
      </x:c>
      <x:c r="B48" s="39" t="inlineStr">
        <x:is>
          <x:t xml:space="preserve">234</x:t>
        </x:is>
      </x:c>
      <x:c r="C48" s="39" t="n">
        <x:v>7</x:v>
      </x:c>
      <x:c r="D48" s="39" t="inlineStr">
        <x:is>
          <x:t xml:space="preserve">Abram Field</x:t>
        </x:is>
      </x:c>
      <x:c r="E48" s="39" t="inlineStr">
        <x:is>
          <x:t xml:space="preserve">M</x:t>
        </x:is>
      </x:c>
      <x:c r="F48" s="39" t="str"/>
      <x:c r="G48" s="39" t="n"/>
      <x:c r="H48" s="39" t="str"/>
      <x:c r="I48" s="39" t="str"/>
      <x:c r="J48" s="39" t="n"/>
      <x:c r="K48" s="39" t="str"/>
      <x:c r="L48" s="39" t="inlineStr">
        <x:is>
          <x:t xml:space="preserve">Brooks / Field</x:t>
        </x:is>
      </x:c>
      <x:c r="M48" s="39" t="inlineStr">
        <x:is>
          <x:t xml:space="preserve">B - Strong</x:t>
        </x:is>
      </x:c>
      <x:c r="N48" s="39" t="str"/>
      <x:c r="O48" s="39" t="str"/>
      <x:c r="P48" s="39" t="inlineStr">
        <x:is>
          <x:t xml:space="preserve">Fredric Muller Vollmer → Jan Muller Vollmer → Anne Rives McCormick Muller → Charles Ellsworth McCormick II → Mary Moore Brooks → Abram Field Brooks → Elizabeth Field → Abram Field</x:t>
        </x:is>
      </x:c>
      <x:c r="Q48" s="39" t="inlineStr">
        <x:is>
          <x:t xml:space="preserve">Named as Elizabeth Field’s father in the county biography.</x:t>
        </x:is>
      </x:c>
      <x:c r="R48" s="39" t="inlineStr">
        <x:is>
          <x:t xml:space="preserve">S17</x:t>
        </x:is>
      </x:c>
    </x:row>
    <x:row r="49">
      <x:c r="A49" s="39" t="inlineStr">
        <x:is>
          <x:t xml:space="preserve">I129</x:t>
        </x:is>
      </x:c>
      <x:c r="B49" s="39" t="inlineStr">
        <x:is>
          <x:t xml:space="preserve">235</x:t>
        </x:is>
      </x:c>
      <x:c r="C49" s="39" t="n">
        <x:v>7</x:v>
      </x:c>
      <x:c r="D49" s="39" t="inlineStr">
        <x:is>
          <x:t xml:space="preserve">Elizabeth Simmons (probable)</x:t>
        </x:is>
      </x:c>
      <x:c r="E49" s="39" t="inlineStr">
        <x:is>
          <x:t xml:space="preserve">F</x:t>
        </x:is>
      </x:c>
      <x:c r="F49" s="39" t="str"/>
      <x:c r="G49" s="39" t="n"/>
      <x:c r="H49" s="39" t="str"/>
      <x:c r="I49" s="39" t="str"/>
      <x:c r="J49" s="39" t="n"/>
      <x:c r="K49" s="39" t="str"/>
      <x:c r="L49" s="39" t="inlineStr">
        <x:is>
          <x:t xml:space="preserve">Brooks / Field</x:t>
        </x:is>
      </x:c>
      <x:c r="M49" s="39" t="inlineStr">
        <x:is>
          <x:t xml:space="preserve">C - Provisional</x:t>
        </x:is>
      </x:c>
      <x:c r="N49" s="39" t="str"/>
      <x:c r="O49" s="39" t="str"/>
      <x:c r="P49" s="39" t="inlineStr">
        <x:is>
          <x:t xml:space="preserve">Fredric Muller Vollmer → Jan Muller Vollmer → Anne Rives McCormick Muller → Charles Ellsworth McCormick II → Mary Moore Brooks → Abram Field Brooks → Elizabeth Field → Elizabeth Simmons (probable)</x:t>
        </x:is>
      </x:c>
      <x:c r="Q49" s="39" t="inlineStr">
        <x:is>
          <x:t xml:space="preserve">Often identified as Elizabeth Field’s mother in cemetery/compiled material; original proof was not located in this pass.</x:t>
        </x:is>
      </x:c>
      <x:c r="R49" s="39" t="inlineStr">
        <x:is>
          <x:t xml:space="preserve">S17</x:t>
        </x:is>
      </x:c>
    </x:row>
    <x:row r="50">
      <x:c r="A50" s="39" t="inlineStr">
        <x:is>
          <x:t xml:space="preserve">I126</x:t>
        </x:is>
      </x:c>
      <x:c r="B50" s="39" t="inlineStr">
        <x:is>
          <x:t xml:space="preserve">232</x:t>
        </x:is>
      </x:c>
      <x:c r="C50" s="39" t="n">
        <x:v>7</x:v>
      </x:c>
      <x:c r="D50" s="39" t="inlineStr">
        <x:is>
          <x:t xml:space="preserve">Joseph Anderson Brooks</x:t>
        </x:is>
      </x:c>
      <x:c r="E50" s="39" t="inlineStr">
        <x:is>
          <x:t xml:space="preserve">M</x:t>
        </x:is>
      </x:c>
      <x:c r="F50" s="39" t="str"/>
      <x:c r="G50" s="39" t="n"/>
      <x:c r="H50" s="39" t="str"/>
      <x:c r="I50" s="39" t="inlineStr">
        <x:is>
          <x:t xml:space="preserve">1845/46</x:t>
        </x:is>
      </x:c>
      <x:c r="J50" s="39" t="n">
        <x:v>1845</x:v>
      </x:c>
      <x:c r="K50" s="39" t="str"/>
      <x:c r="L50" s="39" t="inlineStr">
        <x:is>
          <x:t xml:space="preserve">Brooks / Field</x:t>
        </x:is>
      </x:c>
      <x:c r="M50" s="39" t="inlineStr">
        <x:is>
          <x:t xml:space="preserve">B - Strong</x:t>
        </x:is>
      </x:c>
      <x:c r="N50" s="39" t="inlineStr">
        <x:is>
          <x:t xml:space="preserve">Joseph Brooks (Bullitt County pioneer)</x:t>
        </x:is>
      </x:c>
      <x:c r="O50" s="39" t="inlineStr">
        <x:is>
          <x:t xml:space="preserve">Nancy (surname unknown) Brooks</x:t>
        </x:is>
      </x:c>
      <x:c r="P50" s="39" t="inlineStr">
        <x:is>
          <x:t xml:space="preserve">Fredric Muller Vollmer → Jan Muller Vollmer → Anne Rives McCormick Muller → Charles Ellsworth McCormick II → Mary Moore Brooks → Abram Field Brooks → Solomon Neal Brooks → Joseph Anderson Brooks</x:t>
        </x:is>
      </x:c>
      <x:c r="Q50" s="39" t="inlineStr">
        <x:is>
          <x:t xml:space="preserve">His 1845 will names wife Rebecca and son Solomon N. Brooks; whether Rebecca was Solomon’s mother is unresolved.</x:t>
        </x:is>
      </x:c>
      <x:c r="R50" s="39" t="inlineStr">
        <x:is>
          <x:t xml:space="preserve">S18, S19</x:t>
        </x:is>
      </x:c>
    </x:row>
    <x:row r="51">
      <x:c r="A51" s="39" t="inlineStr">
        <x:is>
          <x:t xml:space="preserve">I029</x:t>
        </x:is>
      </x:c>
      <x:c r="B51" s="39" t="inlineStr">
        <x:is>
          <x:t xml:space="preserve">211</x:t>
        </x:is>
      </x:c>
      <x:c r="C51" s="39" t="n">
        <x:v>7</x:v>
      </x:c>
      <x:c r="D51" s="39" t="inlineStr">
        <x:is>
          <x:t xml:space="preserve">Eunice Goldsmith</x:t>
        </x:is>
      </x:c>
      <x:c r="E51" s="39" t="inlineStr">
        <x:is>
          <x:t xml:space="preserve">F</x:t>
        </x:is>
      </x:c>
      <x:c r="F51" s="39" t="inlineStr">
        <x:is>
          <x:t xml:space="preserve">28 May 1764</x:t>
        </x:is>
      </x:c>
      <x:c r="G51" s="39" t="n">
        <x:v>1764</x:v>
      </x:c>
      <x:c r="H51" s="39" t="str"/>
      <x:c r="I51" s="39" t="inlineStr">
        <x:is>
          <x:t xml:space="preserve">28 Apr 1852</x:t>
        </x:is>
      </x:c>
      <x:c r="J51" s="39" t="n">
        <x:v>1852</x:v>
      </x:c>
      <x:c r="K51" s="39" t="str"/>
      <x:c r="L51" s="39" t="inlineStr">
        <x:is>
          <x:t xml:space="preserve">Lee / New England</x:t>
        </x:is>
      </x:c>
      <x:c r="M51" s="39" t="inlineStr">
        <x:is>
          <x:t xml:space="preserve">B - Strong</x:t>
        </x:is>
      </x:c>
      <x:c r="N51" s="39" t="str"/>
      <x:c r="O51" s="39" t="str"/>
      <x:c r="P51" s="39" t="inlineStr">
        <x:is>
          <x:t xml:space="preserve">Fredric Muller Vollmer → Jan Muller Vollmer → Arthur John Muller → Elma Anna Lee → Elmer Ellsworth Lee → Hubbard Stone Lee → Grace Stone → Eunice Goldsmith</x:t>
        </x:is>
      </x:c>
      <x:c r="Q51" s="39" t="inlineStr">
        <x:is>
          <x:t xml:space="preserve">Parents were not supplied on the consulted Ahnentafel page.</x:t>
        </x:is>
      </x:c>
      <x:c r="R51" s="39" t="inlineStr">
        <x:is>
          <x:t xml:space="preserve">S7</x:t>
        </x:is>
      </x:c>
    </x:row>
    <x:row r="52">
      <x:c r="A52" s="39" t="inlineStr">
        <x:is>
          <x:t xml:space="preserve">I027</x:t>
        </x:is>
      </x:c>
      <x:c r="B52" s="39" t="inlineStr">
        <x:is>
          <x:t xml:space="preserve">209</x:t>
        </x:is>
      </x:c>
      <x:c r="C52" s="39" t="n">
        <x:v>7</x:v>
      </x:c>
      <x:c r="D52" s="39" t="inlineStr">
        <x:is>
          <x:t xml:space="preserve">Eunice Hotchkiss</x:t>
        </x:is>
      </x:c>
      <x:c r="E52" s="39" t="inlineStr">
        <x:is>
          <x:t xml:space="preserve">F</x:t>
        </x:is>
      </x:c>
      <x:c r="F52" s="39" t="inlineStr">
        <x:is>
          <x:t xml:space="preserve">about 1754</x:t>
        </x:is>
      </x:c>
      <x:c r="G52" s="39" t="n">
        <x:v>1754</x:v>
      </x:c>
      <x:c r="H52" s="39" t="str"/>
      <x:c r="I52" s="39" t="inlineStr">
        <x:is>
          <x:t xml:space="preserve">27 Feb 1827</x:t>
        </x:is>
      </x:c>
      <x:c r="J52" s="39" t="n">
        <x:v>1827</x:v>
      </x:c>
      <x:c r="K52" s="39" t="str"/>
      <x:c r="L52" s="39" t="inlineStr">
        <x:is>
          <x:t xml:space="preserve">Lee / New England</x:t>
        </x:is>
      </x:c>
      <x:c r="M52" s="39" t="inlineStr">
        <x:is>
          <x:t xml:space="preserve">B - Strong</x:t>
        </x:is>
      </x:c>
      <x:c r="N52" s="39" t="inlineStr">
        <x:is>
          <x:t xml:space="preserve">Mark Hotchkiss</x:t>
        </x:is>
      </x:c>
      <x:c r="O52" s="39" t="inlineStr">
        <x:is>
          <x:t xml:space="preserve">Miriam Lee</x:t>
        </x:is>
      </x:c>
      <x:c r="P52" s="39" t="inlineStr">
        <x:is>
          <x:t xml:space="preserve">Fredric Muller Vollmer → Jan Muller Vollmer → Arthur John Muller → Elma Anna Lee → Elmer Ellsworth Lee → Hubbard Stone Lee → Elon Lee → Eunice Hotchkiss</x:t>
        </x:is>
      </x:c>
      <x:c r="Q52" s="39" t="str"/>
      <x:c r="R52" s="39" t="inlineStr">
        <x:is>
          <x:t xml:space="preserve">S7</x:t>
        </x:is>
      </x:c>
    </x:row>
    <x:row r="53">
      <x:c r="A53" s="39" t="inlineStr">
        <x:is>
          <x:t xml:space="preserve">I028</x:t>
        </x:is>
      </x:c>
      <x:c r="B53" s="39" t="inlineStr">
        <x:is>
          <x:t xml:space="preserve">210</x:t>
        </x:is>
      </x:c>
      <x:c r="C53" s="39" t="n">
        <x:v>7</x:v>
      </x:c>
      <x:c r="D53" s="39" t="inlineStr">
        <x:is>
          <x:t xml:space="preserve">John Evarts Stone</x:t>
        </x:is>
      </x:c>
      <x:c r="E53" s="39" t="inlineStr">
        <x:is>
          <x:t xml:space="preserve">M</x:t>
        </x:is>
      </x:c>
      <x:c r="F53" s="39" t="inlineStr">
        <x:is>
          <x:t xml:space="preserve">28 Nov 1760</x:t>
        </x:is>
      </x:c>
      <x:c r="G53" s="39" t="n">
        <x:v>1760</x:v>
      </x:c>
      <x:c r="H53" s="39" t="inlineStr">
        <x:is>
          <x:t xml:space="preserve">Guilford, New Haven County, Connecticut</x:t>
        </x:is>
      </x:c>
      <x:c r="I53" s="39" t="inlineStr">
        <x:is>
          <x:t xml:space="preserve">29 Jan 1852</x:t>
        </x:is>
      </x:c>
      <x:c r="J53" s="39" t="n">
        <x:v>1852</x:v>
      </x:c>
      <x:c r="K53" s="39" t="inlineStr">
        <x:is>
          <x:t xml:space="preserve">Guilford, New Haven County, Connecticut</x:t>
        </x:is>
      </x:c>
      <x:c r="L53" s="39" t="inlineStr">
        <x:is>
          <x:t xml:space="preserve">Lee / New England</x:t>
        </x:is>
      </x:c>
      <x:c r="M53" s="39" t="inlineStr">
        <x:is>
          <x:t xml:space="preserve">B - Strong</x:t>
        </x:is>
      </x:c>
      <x:c r="N53" s="39" t="inlineStr">
        <x:is>
          <x:t xml:space="preserve">Asher Stone</x:t>
        </x:is>
      </x:c>
      <x:c r="O53" s="39" t="inlineStr">
        <x:is>
          <x:t xml:space="preserve">Carine Ward</x:t>
        </x:is>
      </x:c>
      <x:c r="P53" s="39" t="inlineStr">
        <x:is>
          <x:t xml:space="preserve">Fredric Muller Vollmer → Jan Muller Vollmer → Arthur John Muller → Elma Anna Lee → Elmer Ellsworth Lee → Hubbard Stone Lee → Grace Stone → John Evarts Stone</x:t>
        </x:is>
      </x:c>
      <x:c r="Q53" s="39" t="str"/>
      <x:c r="R53" s="39" t="inlineStr">
        <x:is>
          <x:t xml:space="preserve">S7</x:t>
        </x:is>
      </x:c>
    </x:row>
    <x:row r="54">
      <x:c r="A54" s="39" t="inlineStr">
        <x:is>
          <x:t xml:space="preserve">I026</x:t>
        </x:is>
      </x:c>
      <x:c r="B54" s="39" t="inlineStr">
        <x:is>
          <x:t xml:space="preserve">208</x:t>
        </x:is>
      </x:c>
      <x:c r="C54" s="39" t="n">
        <x:v>7</x:v>
      </x:c>
      <x:c r="D54" s="39" t="inlineStr">
        <x:is>
          <x:t xml:space="preserve">William Lee</x:t>
        </x:is>
      </x:c>
      <x:c r="E54" s="39" t="inlineStr">
        <x:is>
          <x:t xml:space="preserve">M</x:t>
        </x:is>
      </x:c>
      <x:c r="F54" s="39" t="inlineStr">
        <x:is>
          <x:t xml:space="preserve">about 1741</x:t>
        </x:is>
      </x:c>
      <x:c r="G54" s="39" t="n">
        <x:v>1741</x:v>
      </x:c>
      <x:c r="H54" s="39" t="str"/>
      <x:c r="I54" s="39" t="inlineStr">
        <x:is>
          <x:t xml:space="preserve">29 Apr 1795</x:t>
        </x:is>
      </x:c>
      <x:c r="J54" s="39" t="n">
        <x:v>1795</x:v>
      </x:c>
      <x:c r="K54" s="39" t="inlineStr">
        <x:is>
          <x:t xml:space="preserve">Guilford, New Haven County, Connecticut</x:t>
        </x:is>
      </x:c>
      <x:c r="L54" s="39" t="inlineStr">
        <x:is>
          <x:t xml:space="preserve">Lee / New England</x:t>
        </x:is>
      </x:c>
      <x:c r="M54" s="39" t="inlineStr">
        <x:is>
          <x:t xml:space="preserve">B - Strong</x:t>
        </x:is>
      </x:c>
      <x:c r="N54" s="39" t="inlineStr">
        <x:is>
          <x:t xml:space="preserve">Ebenezer Lee</x:t>
        </x:is>
      </x:c>
      <x:c r="O54" s="39" t="inlineStr">
        <x:is>
          <x:t xml:space="preserve">Sarah Chidsey</x:t>
        </x:is>
      </x:c>
      <x:c r="P54" s="39" t="inlineStr">
        <x:is>
          <x:t xml:space="preserve">Fredric Muller Vollmer → Jan Muller Vollmer → Arthur John Muller → Elma Anna Lee → Elmer Ellsworth Lee → Hubbard Stone Lee → Elon Lee → William Lee</x:t>
        </x:is>
      </x:c>
      <x:c r="Q54" s="39" t="str"/>
      <x:c r="R54" s="39" t="inlineStr">
        <x:is>
          <x:t xml:space="preserve">S7</x:t>
        </x:is>
      </x:c>
    </x:row>
    <x:row r="55">
      <x:c r="A55" s="39" t="inlineStr">
        <x:is>
          <x:t xml:space="preserve">I148</x:t>
        </x:is>
      </x:c>
      <x:c r="B55" s="39" t="inlineStr">
        <x:is>
          <x:t xml:space="preserve">251</x:t>
        </x:is>
      </x:c>
      <x:c r="C55" s="39" t="n">
        <x:v>7</x:v>
      </x:c>
      <x:c r="D55" s="39" t="inlineStr">
        <x:is>
          <x:t xml:space="preserve">Ann Perry</x:t>
        </x:is>
      </x:c>
      <x:c r="E55" s="39" t="inlineStr">
        <x:is>
          <x:t xml:space="preserve">F</x:t>
        </x:is>
      </x:c>
      <x:c r="F55" s="39" t="str"/>
      <x:c r="G55" s="39" t="n"/>
      <x:c r="H55" s="39" t="str"/>
      <x:c r="I55" s="39" t="inlineStr">
        <x:is>
          <x:t xml:space="preserve">Fall 1816</x:t>
        </x:is>
      </x:c>
      <x:c r="J55" s="39" t="n">
        <x:v>1816</x:v>
      </x:c>
      <x:c r="K55" s="39" t="str"/>
      <x:c r="L55" s="39" t="inlineStr">
        <x:is>
          <x:t xml:space="preserve">Rives / Harrison</x:t>
        </x:is>
      </x:c>
      <x:c r="M55" s="39" t="inlineStr">
        <x:is>
          <x:t xml:space="preserve">A - Confirmed</x:t>
        </x:is>
      </x:c>
      <x:c r="N55" s="39" t="inlineStr">
        <x:is>
          <x:t xml:space="preserve">James Perry</x:t>
        </x:is>
      </x:c>
      <x:c r="O55" s="39" t="str"/>
      <x:c r="P55" s="39" t="inlineStr">
        <x:is>
          <x:t xml:space="preserve">Fredric Muller Vollmer → Jan Muller Vollmer → Anne Rives McCormick Muller → Eloise A. “Elvie/Elvia” Slaughter McCormick → Lula Arnelia Rives → Robert Calhoun Rives → Amelia Harrison → Ann Perry</x:t>
        </x:is>
      </x:c>
      <x:c r="Q55" s="39" t="str"/>
      <x:c r="R55" s="39" t="inlineStr">
        <x:is>
          <x:t xml:space="preserve">S20</x:t>
        </x:is>
      </x:c>
    </x:row>
    <x:row r="56">
      <x:c r="A56" s="39" t="inlineStr">
        <x:is>
          <x:t xml:space="preserve">I139</x:t>
        </x:is>
      </x:c>
      <x:c r="B56" s="39" t="inlineStr">
        <x:is>
          <x:t xml:space="preserve">248</x:t>
        </x:is>
      </x:c>
      <x:c r="C56" s="39" t="n">
        <x:v>7</x:v>
      </x:c>
      <x:c r="D56" s="39" t="inlineStr">
        <x:is>
          <x:t xml:space="preserve">Green Rives</x:t>
        </x:is>
      </x:c>
      <x:c r="E56" s="39" t="inlineStr">
        <x:is>
          <x:t xml:space="preserve">M</x:t>
        </x:is>
      </x:c>
      <x:c r="F56" s="39" t="inlineStr">
        <x:is>
          <x:t xml:space="preserve">10 Jan 1763</x:t>
        </x:is>
      </x:c>
      <x:c r="G56" s="39" t="n">
        <x:v>1763</x:v>
      </x:c>
      <x:c r="H56" s="39" t="inlineStr">
        <x:is>
          <x:t xml:space="preserve">Virginia</x:t>
        </x:is>
      </x:c>
      <x:c r="I56" s="39" t="inlineStr">
        <x:is>
          <x:t xml:space="preserve">26 Oct 1812</x:t>
        </x:is>
      </x:c>
      <x:c r="J56" s="39" t="n">
        <x:v>1812</x:v>
      </x:c>
      <x:c r="K56" s="39" t="inlineStr">
        <x:is>
          <x:t xml:space="preserve">Columbia, South Carolina</x:t>
        </x:is>
      </x:c>
      <x:c r="L56" s="39" t="inlineStr">
        <x:is>
          <x:t xml:space="preserve">Rives / Harrison</x:t>
        </x:is>
      </x:c>
      <x:c r="M56" s="39" t="inlineStr">
        <x:is>
          <x:t xml:space="preserve">A - Confirmed</x:t>
        </x:is>
      </x:c>
      <x:c r="N56" s="39" t="inlineStr">
        <x:is>
          <x:t xml:space="preserve">William Rives</x:t>
        </x:is>
      </x:c>
      <x:c r="O56" s="39" t="inlineStr">
        <x:is>
          <x:t xml:space="preserve">Lucy Wyche</x:t>
        </x:is>
      </x:c>
      <x:c r="P56" s="39" t="inlineStr">
        <x:is>
          <x:t xml:space="preserve">Fredric Muller Vollmer → Jan Muller Vollmer → Anne Rives McCormick Muller → Eloise A. “Elvie/Elvia” Slaughter McCormick → Lula Arnelia Rives → Robert Calhoun Rives → Robert Rives → Green Rives</x:t>
        </x:is>
      </x:c>
      <x:c r="Q56" s="39" t="inlineStr">
        <x:is>
          <x:t xml:space="preserve">Revolutionary-era resident of Richland County, South Carolina.</x:t>
        </x:is>
      </x:c>
      <x:c r="R56" s="39" t="inlineStr">
        <x:is>
          <x:t xml:space="preserve">S4, S10</x:t>
        </x:is>
      </x:c>
    </x:row>
    <x:row r="57">
      <x:c r="A57" s="39" t="inlineStr">
        <x:is>
          <x:t xml:space="preserve">I140</x:t>
        </x:is>
      </x:c>
      <x:c r="B57" s="39" t="inlineStr">
        <x:is>
          <x:t xml:space="preserve">249</x:t>
        </x:is>
      </x:c>
      <x:c r="C57" s="39" t="n">
        <x:v>7</x:v>
      </x:c>
      <x:c r="D57" s="39" t="inlineStr">
        <x:is>
          <x:t xml:space="preserve">Mary Ridley Jones</x:t>
        </x:is>
      </x:c>
      <x:c r="E57" s="39" t="inlineStr">
        <x:is>
          <x:t xml:space="preserve">F</x:t>
        </x:is>
      </x:c>
      <x:c r="F57" s="39" t="inlineStr">
        <x:is>
          <x:t xml:space="preserve">5 Mar 1769</x:t>
        </x:is>
      </x:c>
      <x:c r="G57" s="39" t="n">
        <x:v>1769</x:v>
      </x:c>
      <x:c r="H57" s="39" t="inlineStr">
        <x:is>
          <x:t xml:space="preserve">South Carolina</x:t>
        </x:is>
      </x:c>
      <x:c r="I57" s="39" t="inlineStr">
        <x:is>
          <x:t xml:space="preserve">27 Mar 1843</x:t>
        </x:is>
      </x:c>
      <x:c r="J57" s="39" t="n">
        <x:v>1843</x:v>
      </x:c>
      <x:c r="K57" s="39" t="inlineStr">
        <x:is>
          <x:t xml:space="preserve">Benton, Lowndes County, Alabama</x:t>
        </x:is>
      </x:c>
      <x:c r="L57" s="39" t="inlineStr">
        <x:is>
          <x:t xml:space="preserve">Rives / Harrison</x:t>
        </x:is>
      </x:c>
      <x:c r="M57" s="39" t="inlineStr">
        <x:is>
          <x:t xml:space="preserve">B - Strong</x:t>
        </x:is>
      </x:c>
      <x:c r="N57" s="39" t="inlineStr">
        <x:is>
          <x:t xml:space="preserve">Darling Jones</x:t>
        </x:is>
      </x:c>
      <x:c r="O57" s="39" t="inlineStr">
        <x:is>
          <x:t xml:space="preserve">Susannah (surname unknown) Jones</x:t>
        </x:is>
      </x:c>
      <x:c r="P57" s="39" t="inlineStr">
        <x:is>
          <x:t xml:space="preserve">Fredric Muller Vollmer → Jan Muller Vollmer → Anne Rives McCormick Muller → Eloise A. “Elvie/Elvia” Slaughter McCormick → Lula Arnelia Rives → Robert Calhoun Rives → Robert Rives → Mary Ridley Jones</x:t>
        </x:is>
      </x:c>
      <x:c r="Q57" s="39" t="str"/>
      <x:c r="R57" s="39" t="inlineStr">
        <x:is>
          <x:t xml:space="preserve">S4, S10</x:t>
        </x:is>
      </x:c>
    </x:row>
    <x:row r="58">
      <x:c r="A58" s="39" t="inlineStr">
        <x:is>
          <x:t xml:space="preserve">I147</x:t>
        </x:is>
      </x:c>
      <x:c r="B58" s="39" t="inlineStr">
        <x:is>
          <x:t xml:space="preserve">250</x:t>
        </x:is>
      </x:c>
      <x:c r="C58" s="39" t="n">
        <x:v>7</x:v>
      </x:c>
      <x:c r="D58" s="39" t="inlineStr">
        <x:is>
          <x:t xml:space="preserve">William Harrison</x:t>
        </x:is>
      </x:c>
      <x:c r="E58" s="39" t="inlineStr">
        <x:is>
          <x:t xml:space="preserve">M</x:t>
        </x:is>
      </x:c>
      <x:c r="F58" s="39" t="str"/>
      <x:c r="G58" s="39" t="n"/>
      <x:c r="H58" s="39" t="str"/>
      <x:c r="I58" s="39" t="inlineStr">
        <x:is>
          <x:t xml:space="preserve">1836</x:t>
        </x:is>
      </x:c>
      <x:c r="J58" s="39" t="n">
        <x:v>1836</x:v>
      </x:c>
      <x:c r="K58" s="39" t="str"/>
      <x:c r="L58" s="39" t="inlineStr">
        <x:is>
          <x:t xml:space="preserve">Rives / Harrison</x:t>
        </x:is>
      </x:c>
      <x:c r="M58" s="39" t="inlineStr">
        <x:is>
          <x:t xml:space="preserve">B - Strong</x:t>
        </x:is>
      </x:c>
      <x:c r="N58" s="39" t="inlineStr">
        <x:is>
          <x:t xml:space="preserve">Reuben Harrison</x:t>
        </x:is>
      </x:c>
      <x:c r="O58" s="39" t="inlineStr">
        <x:is>
          <x:t xml:space="preserve">Nancy (possibly Kirkland) Harrison</x:t>
        </x:is>
      </x:c>
      <x:c r="P58" s="39" t="inlineStr">
        <x:is>
          <x:t xml:space="preserve">Fredric Muller Vollmer → Jan Muller Vollmer → Anne Rives McCormick Muller → Eloise A. “Elvie/Elvia” Slaughter McCormick → Lula Arnelia Rives → Robert Calhoun Rives → Amelia Harrison → William Harrison</x:t>
        </x:is>
      </x:c>
      <x:c r="Q58" s="39" t="str"/>
      <x:c r="R58" s="39" t="inlineStr">
        <x:is>
          <x:t xml:space="preserve">S20</x:t>
        </x:is>
      </x:c>
    </x:row>
    <x:row r="59">
      <x:c r="A59" s="39" t="inlineStr">
        <x:is>
          <x:t xml:space="preserve">I164</x:t>
        </x:is>
      </x:c>
      <x:c r="B59" s="39" t="inlineStr">
        <x:is>
          <x:t xml:space="preserve">504</x:t>
        </x:is>
      </x:c>
      <x:c r="C59" s="39" t="n">
        <x:v>8</x:v>
      </x:c>
      <x:c r="D59" s="39" t="inlineStr">
        <x:is>
          <x:t xml:space="preserve">James Agee</x:t>
        </x:is>
      </x:c>
      <x:c r="E59" s="39" t="inlineStr">
        <x:is>
          <x:t xml:space="preserve">M</x:t>
        </x:is>
      </x:c>
      <x:c r="F59" s="39" t="inlineStr">
        <x:is>
          <x:t xml:space="preserve">about 1725</x:t>
        </x:is>
      </x:c>
      <x:c r="G59" s="39" t="n">
        <x:v>1725</x:v>
      </x:c>
      <x:c r="H59" s="39" t="inlineStr">
        <x:is>
          <x:t xml:space="preserve">Virginia</x:t>
        </x:is>
      </x:c>
      <x:c r="I59" s="39" t="inlineStr">
        <x:is>
          <x:t xml:space="preserve">1821</x:t>
        </x:is>
      </x:c>
      <x:c r="J59" s="39" t="n">
        <x:v>1821</x:v>
      </x:c>
      <x:c r="K59" s="39" t="str"/>
      <x:c r="L59" s="39" t="inlineStr">
        <x:is>
          <x:t xml:space="preserve">Agee / Ford / Bondurant</x:t>
        </x:is>
      </x:c>
      <x:c r="M59" s="39" t="inlineStr">
        <x:is>
          <x:t xml:space="preserve">B - Strong</x:t>
        </x:is>
      </x:c>
      <x:c r="N59" s="39" t="inlineStr">
        <x:is>
          <x:t xml:space="preserve">Mathieu Agee</x:t>
        </x:is>
      </x:c>
      <x:c r="O59" s="39" t="inlineStr">
        <x:is>
          <x:t xml:space="preserve">Ann Godwin (or Goodwin)</x:t>
        </x:is>
      </x:c>
      <x:c r="P59" s="39" t="inlineStr">
        <x:is>
          <x:t xml:space="preserve">Fredric Muller Vollmer → Jan Muller Vollmer → Anne Rives McCormick Muller → Eloise A. “Elvie/Elvia” Slaughter McCormick → Lula Arnelia Rives → Florence Estelle Agee → William Raiford Agee → Noah Agee → James Agee</x:t>
        </x:is>
      </x:c>
      <x:c r="Q59" s="39" t="str"/>
      <x:c r="R59" s="39" t="inlineStr">
        <x:is>
          <x:t xml:space="preserve">S8</x:t>
        </x:is>
      </x:c>
    </x:row>
    <x:row r="60">
      <x:c r="A60" s="39" t="inlineStr">
        <x:is>
          <x:t xml:space="preserve">I165</x:t>
        </x:is>
      </x:c>
      <x:c r="B60" s="39" t="inlineStr">
        <x:is>
          <x:t xml:space="preserve">505</x:t>
        </x:is>
      </x:c>
      <x:c r="C60" s="39" t="n">
        <x:v>8</x:v>
      </x:c>
      <x:c r="D60" s="39" t="inlineStr">
        <x:is>
          <x:t xml:space="preserve">Mary (possibly Elizabeth) Ford</x:t>
        </x:is>
      </x:c>
      <x:c r="E60" s="39" t="inlineStr">
        <x:is>
          <x:t xml:space="preserve">F</x:t>
        </x:is>
      </x:c>
      <x:c r="F60" s="39" t="str"/>
      <x:c r="G60" s="39" t="n"/>
      <x:c r="H60" s="39" t="str"/>
      <x:c r="I60" s="39" t="str"/>
      <x:c r="J60" s="39" t="n"/>
      <x:c r="K60" s="39" t="str"/>
      <x:c r="L60" s="39" t="inlineStr">
        <x:is>
          <x:t xml:space="preserve">Agee / Ford / Bondurant</x:t>
        </x:is>
      </x:c>
      <x:c r="M60" s="39" t="inlineStr">
        <x:is>
          <x:t xml:space="preserve">B - Strong</x:t>
        </x:is>
      </x:c>
      <x:c r="N60" s="39" t="inlineStr">
        <x:is>
          <x:t xml:space="preserve">James Ford</x:t>
        </x:is>
      </x:c>
      <x:c r="O60" s="39" t="inlineStr">
        <x:is>
          <x:t xml:space="preserve">Ann Bondurant</x:t>
        </x:is>
      </x:c>
      <x:c r="P60" s="39" t="inlineStr">
        <x:is>
          <x:t xml:space="preserve">Fredric Muller Vollmer → Jan Muller Vollmer → Anne Rives McCormick Muller → Eloise A. “Elvie/Elvia” Slaughter McCormick → Lula Arnelia Rives → Florence Estelle Agee → William Raiford Agee → Noah Agee → Mary (possibly Elizabeth) Ford</x:t>
        </x:is>
      </x:c>
      <x:c r="Q60" s="39" t="inlineStr">
        <x:is>
          <x:t xml:space="preserve">A will reportedly proves the surname Ford; the family history discusses uncertainty over whether her given name was Mary or Elizabeth.</x:t>
        </x:is>
      </x:c>
      <x:c r="R60" s="39" t="inlineStr">
        <x:is>
          <x:t xml:space="preserve">S8</x:t>
        </x:is>
      </x:c>
    </x:row>
    <x:row r="61">
      <x:c r="A61" s="39" t="inlineStr">
        <x:is>
          <x:t xml:space="preserve">I127</x:t>
        </x:is>
      </x:c>
      <x:c r="B61" s="39" t="inlineStr">
        <x:is>
          <x:t xml:space="preserve">464</x:t>
        </x:is>
      </x:c>
      <x:c r="C61" s="39" t="n">
        <x:v>8</x:v>
      </x:c>
      <x:c r="D61" s="39" t="inlineStr">
        <x:is>
          <x:t xml:space="preserve">Joseph Brooks (Bullitt County pioneer)</x:t>
        </x:is>
      </x:c>
      <x:c r="E61" s="39" t="inlineStr">
        <x:is>
          <x:t xml:space="preserve">M</x:t>
        </x:is>
      </x:c>
      <x:c r="F61" s="39" t="str"/>
      <x:c r="G61" s="39" t="n"/>
      <x:c r="H61" s="39" t="str"/>
      <x:c r="I61" s="39" t="inlineStr">
        <x:is>
          <x:t xml:space="preserve">1818</x:t>
        </x:is>
      </x:c>
      <x:c r="J61" s="39" t="n">
        <x:v>1818</x:v>
      </x:c>
      <x:c r="K61" s="39" t="str"/>
      <x:c r="L61" s="39" t="inlineStr">
        <x:is>
          <x:t xml:space="preserve">Brooks / Field</x:t>
        </x:is>
      </x:c>
      <x:c r="M61" s="39" t="inlineStr">
        <x:is>
          <x:t xml:space="preserve">B - Strong</x:t>
        </x:is>
      </x:c>
      <x:c r="N61" s="39" t="str"/>
      <x:c r="O61" s="39" t="str"/>
      <x:c r="P61" s="39" t="inlineStr">
        <x:is>
          <x:t xml:space="preserve">Fredric Muller Vollmer → Jan Muller Vollmer → Anne Rives McCormick Muller → Charles Ellsworth McCormick II → Mary Moore Brooks → Abram Field Brooks → Solomon Neal Brooks → Joseph Anderson Brooks → Joseph Brooks (Bullitt County pioneer)</x:t>
        </x:is>
      </x:c>
      <x:c r="Q61" s="39" t="inlineStr">
        <x:is>
          <x:t xml:space="preserve">His 1818 will names wife Nancy and son Joseph Anderson Brooks.</x:t>
        </x:is>
      </x:c>
      <x:c r="R61" s="39" t="inlineStr">
        <x:is>
          <x:t xml:space="preserve">S19</x:t>
        </x:is>
      </x:c>
    </x:row>
    <x:row r="62">
      <x:c r="A62" s="39" t="inlineStr">
        <x:is>
          <x:t xml:space="preserve">I132</x:t>
        </x:is>
      </x:c>
      <x:c r="B62" s="39" t="inlineStr">
        <x:is>
          <x:t xml:space="preserve">465</x:t>
        </x:is>
      </x:c>
      <x:c r="C62" s="39" t="n">
        <x:v>8</x:v>
      </x:c>
      <x:c r="D62" s="39" t="inlineStr">
        <x:is>
          <x:t xml:space="preserve">Nancy (surname unknown) Brooks</x:t>
        </x:is>
      </x:c>
      <x:c r="E62" s="39" t="inlineStr">
        <x:is>
          <x:t xml:space="preserve">F</x:t>
        </x:is>
      </x:c>
      <x:c r="F62" s="39" t="str"/>
      <x:c r="G62" s="39" t="n"/>
      <x:c r="H62" s="39" t="str"/>
      <x:c r="I62" s="39" t="str"/>
      <x:c r="J62" s="39" t="n"/>
      <x:c r="K62" s="39" t="str"/>
      <x:c r="L62" s="39" t="inlineStr">
        <x:is>
          <x:t xml:space="preserve">Brooks / Field</x:t>
        </x:is>
      </x:c>
      <x:c r="M62" s="39" t="inlineStr">
        <x:is>
          <x:t xml:space="preserve">B - Strong</x:t>
        </x:is>
      </x:c>
      <x:c r="N62" s="39" t="str"/>
      <x:c r="O62" s="39" t="str"/>
      <x:c r="P62" s="39" t="inlineStr">
        <x:is>
          <x:t xml:space="preserve">Fredric Muller Vollmer → Jan Muller Vollmer → Anne Rives McCormick Muller → Charles Ellsworth McCormick II → Mary Moore Brooks → Abram Field Brooks → Solomon Neal Brooks → Joseph Anderson Brooks → Nancy (surname unknown) Brooks</x:t>
        </x:is>
      </x:c>
      <x:c r="Q62" s="39" t="inlineStr">
        <x:is>
          <x:t xml:space="preserve">Named as wife in pioneer Joseph Brooks’s 1818 will.</x:t>
        </x:is>
      </x:c>
      <x:c r="R62" s="39" t="inlineStr">
        <x:is>
          <x:t xml:space="preserve">S19</x:t>
        </x:is>
      </x:c>
    </x:row>
    <x:row r="63">
      <x:c r="A63" s="39" t="inlineStr">
        <x:is>
          <x:t xml:space="preserve">I034</x:t>
        </x:is>
      </x:c>
      <x:c r="B63" s="39" t="inlineStr">
        <x:is>
          <x:t xml:space="preserve">420</x:t>
        </x:is>
      </x:c>
      <x:c r="C63" s="39" t="n">
        <x:v>8</x:v>
      </x:c>
      <x:c r="D63" s="39" t="inlineStr">
        <x:is>
          <x:t xml:space="preserve">Asher Stone</x:t>
        </x:is>
      </x:c>
      <x:c r="E63" s="39" t="inlineStr">
        <x:is>
          <x:t xml:space="preserve">M</x:t>
        </x:is>
      </x:c>
      <x:c r="F63" s="39" t="inlineStr">
        <x:is>
          <x:t xml:space="preserve">23 Jan 1738/39</x:t>
        </x:is>
      </x:c>
      <x:c r="G63" s="39" t="n">
        <x:v>1738</x:v>
      </x:c>
      <x:c r="H63" s="39" t="inlineStr">
        <x:is>
          <x:t xml:space="preserve">Guilford, New Haven County, Connecticut</x:t>
        </x:is>
      </x:c>
      <x:c r="I63" s="39" t="inlineStr">
        <x:is>
          <x:t xml:space="preserve">27 Sep 1766</x:t>
        </x:is>
      </x:c>
      <x:c r="J63" s="39" t="n">
        <x:v>1766</x:v>
      </x:c>
      <x:c r="K63" s="39" t="inlineStr">
        <x:is>
          <x:t xml:space="preserve">Guilford, New Haven County, Connecticut</x:t>
        </x:is>
      </x:c>
      <x:c r="L63" s="39" t="inlineStr">
        <x:is>
          <x:t xml:space="preserve">Lee / New England</x:t>
        </x:is>
      </x:c>
      <x:c r="M63" s="39" t="inlineStr">
        <x:is>
          <x:t xml:space="preserve">B - Strong</x:t>
        </x:is>
      </x:c>
      <x:c r="N63" s="39" t="inlineStr">
        <x:is>
          <x:t xml:space="preserve">Caleb Stone Jr.</x:t>
        </x:is>
      </x:c>
      <x:c r="O63" s="39" t="inlineStr">
        <x:is>
          <x:t xml:space="preserve">Rebecca Evarts</x:t>
        </x:is>
      </x:c>
      <x:c r="P63" s="39" t="inlineStr">
        <x:is>
          <x:t xml:space="preserve">Fredric Muller Vollmer → Jan Muller Vollmer → Arthur John Muller → Elma Anna Lee → Elmer Ellsworth Lee → Hubbard Stone Lee → Grace Stone → John Evarts Stone → Asher Stone</x:t>
        </x:is>
      </x:c>
      <x:c r="Q63" s="39" t="str"/>
      <x:c r="R63" s="39" t="inlineStr">
        <x:is>
          <x:t xml:space="preserve">S7</x:t>
        </x:is>
      </x:c>
    </x:row>
    <x:row r="64">
      <x:c r="A64" s="39" t="inlineStr">
        <x:is>
          <x:t xml:space="preserve">I035</x:t>
        </x:is>
      </x:c>
      <x:c r="B64" s="39" t="inlineStr">
        <x:is>
          <x:t xml:space="preserve">421</x:t>
        </x:is>
      </x:c>
      <x:c r="C64" s="39" t="n">
        <x:v>8</x:v>
      </x:c>
      <x:c r="D64" s="39" t="inlineStr">
        <x:is>
          <x:t xml:space="preserve">Carine Ward</x:t>
        </x:is>
      </x:c>
      <x:c r="E64" s="39" t="inlineStr">
        <x:is>
          <x:t xml:space="preserve">F</x:t>
        </x:is>
      </x:c>
      <x:c r="F64" s="39" t="inlineStr">
        <x:is>
          <x:t xml:space="preserve">31 May 1740</x:t>
        </x:is>
      </x:c>
      <x:c r="G64" s="39" t="n">
        <x:v>1740</x:v>
      </x:c>
      <x:c r="H64" s="39" t="str"/>
      <x:c r="I64" s="39" t="inlineStr">
        <x:is>
          <x:t xml:space="preserve">27 Oct 1818</x:t>
        </x:is>
      </x:c>
      <x:c r="J64" s="39" t="n">
        <x:v>1818</x:v>
      </x:c>
      <x:c r="K64" s="39" t="str"/>
      <x:c r="L64" s="39" t="inlineStr">
        <x:is>
          <x:t xml:space="preserve">Lee / New England</x:t>
        </x:is>
      </x:c>
      <x:c r="M64" s="39" t="inlineStr">
        <x:is>
          <x:t xml:space="preserve">B - Strong</x:t>
        </x:is>
      </x:c>
      <x:c r="N64" s="39" t="inlineStr">
        <x:is>
          <x:t xml:space="preserve">William Ward</x:t>
        </x:is>
      </x:c>
      <x:c r="O64" s="39" t="inlineStr">
        <x:is>
          <x:t xml:space="preserve">Abigail Crampton</x:t>
        </x:is>
      </x:c>
      <x:c r="P64" s="39" t="inlineStr">
        <x:is>
          <x:t xml:space="preserve">Fredric Muller Vollmer → Jan Muller Vollmer → Arthur John Muller → Elma Anna Lee → Elmer Ellsworth Lee → Hubbard Stone Lee → Grace Stone → John Evarts Stone → Carine Ward</x:t>
        </x:is>
      </x:c>
      <x:c r="Q64" s="39" t="str"/>
      <x:c r="R64" s="39" t="inlineStr">
        <x:is>
          <x:t xml:space="preserve">S7</x:t>
        </x:is>
      </x:c>
    </x:row>
    <x:row r="65">
      <x:c r="A65" s="39" t="inlineStr">
        <x:is>
          <x:t xml:space="preserve">I030</x:t>
        </x:is>
      </x:c>
      <x:c r="B65" s="39" t="inlineStr">
        <x:is>
          <x:t xml:space="preserve">416</x:t>
        </x:is>
      </x:c>
      <x:c r="C65" s="39" t="n">
        <x:v>8</x:v>
      </x:c>
      <x:c r="D65" s="39" t="inlineStr">
        <x:is>
          <x:t xml:space="preserve">Ebenezer Lee</x:t>
        </x:is>
      </x:c>
      <x:c r="E65" s="39" t="inlineStr">
        <x:is>
          <x:t xml:space="preserve">M</x:t>
        </x:is>
      </x:c>
      <x:c r="F65" s="39" t="inlineStr">
        <x:is>
          <x:t xml:space="preserve">25 Feb 1698/99</x:t>
        </x:is>
      </x:c>
      <x:c r="G65" s="39" t="n">
        <x:v>1698</x:v>
      </x:c>
      <x:c r="H65" s="39" t="str"/>
      <x:c r="I65" s="39" t="inlineStr">
        <x:is>
          <x:t xml:space="preserve">24 Sep 1751</x:t>
        </x:is>
      </x:c>
      <x:c r="J65" s="39" t="n">
        <x:v>1751</x:v>
      </x:c>
      <x:c r="K65" s="39" t="str"/>
      <x:c r="L65" s="39" t="inlineStr">
        <x:is>
          <x:t xml:space="preserve">Lee / New England</x:t>
        </x:is>
      </x:c>
      <x:c r="M65" s="39" t="inlineStr">
        <x:is>
          <x:t xml:space="preserve">B - Strong</x:t>
        </x:is>
      </x:c>
      <x:c r="N65" s="39" t="inlineStr">
        <x:is>
          <x:t xml:space="preserve">Edward Lee</x:t>
        </x:is>
      </x:c>
      <x:c r="O65" s="39" t="inlineStr">
        <x:is>
          <x:t xml:space="preserve">Abigail Stevens</x:t>
        </x:is>
      </x:c>
      <x:c r="P65" s="39" t="inlineStr">
        <x:is>
          <x:t xml:space="preserve">Fredric Muller Vollmer → Jan Muller Vollmer → Arthur John Muller → Elma Anna Lee → Elmer Ellsworth Lee → Hubbard Stone Lee → Elon Lee → William Lee → Ebenezer Lee</x:t>
        </x:is>
      </x:c>
      <x:c r="Q65" s="39" t="str"/>
      <x:c r="R65" s="39" t="inlineStr">
        <x:is>
          <x:t xml:space="preserve">S7</x:t>
        </x:is>
      </x:c>
    </x:row>
    <x:row r="66">
      <x:c r="A66" s="39" t="inlineStr">
        <x:is>
          <x:t xml:space="preserve">I032</x:t>
        </x:is>
      </x:c>
      <x:c r="B66" s="39" t="inlineStr">
        <x:is>
          <x:t xml:space="preserve">418</x:t>
        </x:is>
      </x:c>
      <x:c r="C66" s="39" t="n">
        <x:v>8</x:v>
      </x:c>
      <x:c r="D66" s="39" t="inlineStr">
        <x:is>
          <x:t xml:space="preserve">Mark Hotchkiss</x:t>
        </x:is>
      </x:c>
      <x:c r="E66" s="39" t="inlineStr">
        <x:is>
          <x:t xml:space="preserve">M</x:t>
        </x:is>
      </x:c>
      <x:c r="F66" s="39" t="inlineStr">
        <x:is>
          <x:t xml:space="preserve">1 Jul 1714</x:t>
        </x:is>
      </x:c>
      <x:c r="G66" s="39" t="n">
        <x:v>1714</x:v>
      </x:c>
      <x:c r="H66" s="39" t="str"/>
      <x:c r="I66" s="39" t="inlineStr">
        <x:is>
          <x:t xml:space="preserve">19 Nov 1775</x:t>
        </x:is>
      </x:c>
      <x:c r="J66" s="39" t="n">
        <x:v>1775</x:v>
      </x:c>
      <x:c r="K66" s="39" t="str"/>
      <x:c r="L66" s="39" t="inlineStr">
        <x:is>
          <x:t xml:space="preserve">Lee / New England</x:t>
        </x:is>
      </x:c>
      <x:c r="M66" s="39" t="inlineStr">
        <x:is>
          <x:t xml:space="preserve">B - Strong</x:t>
        </x:is>
      </x:c>
      <x:c r="N66" s="39" t="inlineStr">
        <x:is>
          <x:t xml:space="preserve">Joseph Hotchkiss</x:t>
        </x:is>
      </x:c>
      <x:c r="O66" s="39" t="inlineStr">
        <x:is>
          <x:t xml:space="preserve">Hannah Cruttenden</x:t>
        </x:is>
      </x:c>
      <x:c r="P66" s="39" t="inlineStr">
        <x:is>
          <x:t xml:space="preserve">Fredric Muller Vollmer → Jan Muller Vollmer → Arthur John Muller → Elma Anna Lee → Elmer Ellsworth Lee → Hubbard Stone Lee → Elon Lee → Eunice Hotchkiss → Mark Hotchkiss</x:t>
        </x:is>
      </x:c>
      <x:c r="Q66" s="39" t="str"/>
      <x:c r="R66" s="39" t="inlineStr">
        <x:is>
          <x:t xml:space="preserve">S7</x:t>
        </x:is>
      </x:c>
    </x:row>
    <x:row r="67">
      <x:c r="A67" s="39" t="inlineStr">
        <x:is>
          <x:t xml:space="preserve">I033</x:t>
        </x:is>
      </x:c>
      <x:c r="B67" s="39" t="inlineStr">
        <x:is>
          <x:t xml:space="preserve">419</x:t>
        </x:is>
      </x:c>
      <x:c r="C67" s="39" t="n">
        <x:v>8</x:v>
      </x:c>
      <x:c r="D67" s="39" t="inlineStr">
        <x:is>
          <x:t xml:space="preserve">Miriam Lee</x:t>
        </x:is>
      </x:c>
      <x:c r="E67" s="39" t="inlineStr">
        <x:is>
          <x:t xml:space="preserve">F</x:t>
        </x:is>
      </x:c>
      <x:c r="F67" s="39" t="str"/>
      <x:c r="G67" s="39" t="n"/>
      <x:c r="H67" s="39" t="str"/>
      <x:c r="I67" s="39" t="inlineStr">
        <x:is>
          <x:t xml:space="preserve">31 Mar 1788</x:t>
        </x:is>
      </x:c>
      <x:c r="J67" s="39" t="n">
        <x:v>1788</x:v>
      </x:c>
      <x:c r="K67" s="39" t="str"/>
      <x:c r="L67" s="39" t="inlineStr">
        <x:is>
          <x:t xml:space="preserve">Lee / New England</x:t>
        </x:is>
      </x:c>
      <x:c r="M67" s="39" t="inlineStr">
        <x:is>
          <x:t xml:space="preserve">B - Strong</x:t>
        </x:is>
      </x:c>
      <x:c r="N67" s="39" t="str"/>
      <x:c r="O67" s="39" t="str"/>
      <x:c r="P67" s="39" t="inlineStr">
        <x:is>
          <x:t xml:space="preserve">Fredric Muller Vollmer → Jan Muller Vollmer → Arthur John Muller → Elma Anna Lee → Elmer Ellsworth Lee → Hubbard Stone Lee → Elon Lee → Eunice Hotchkiss → Miriam Lee</x:t>
        </x:is>
      </x:c>
      <x:c r="Q67" s="39" t="inlineStr">
        <x:is>
          <x:t xml:space="preserve">Parents not shown in the consulted Ahnentafel.</x:t>
        </x:is>
      </x:c>
      <x:c r="R67" s="39" t="inlineStr">
        <x:is>
          <x:t xml:space="preserve">S7</x:t>
        </x:is>
      </x:c>
    </x:row>
    <x:row r="68">
      <x:c r="A68" s="39" t="inlineStr">
        <x:is>
          <x:t xml:space="preserve">I031</x:t>
        </x:is>
      </x:c>
      <x:c r="B68" s="39" t="inlineStr">
        <x:is>
          <x:t xml:space="preserve">417</x:t>
        </x:is>
      </x:c>
      <x:c r="C68" s="39" t="n">
        <x:v>8</x:v>
      </x:c>
      <x:c r="D68" s="39" t="inlineStr">
        <x:is>
          <x:t xml:space="preserve">Sarah Chidsey</x:t>
        </x:is>
      </x:c>
      <x:c r="E68" s="39" t="inlineStr">
        <x:is>
          <x:t xml:space="preserve">F</x:t>
        </x:is>
      </x:c>
      <x:c r="F68" s="39" t="str"/>
      <x:c r="G68" s="39" t="n"/>
      <x:c r="H68" s="39" t="str"/>
      <x:c r="I68" s="39" t="inlineStr">
        <x:is>
          <x:t xml:space="preserve">7 Mar 1778</x:t>
        </x:is>
      </x:c>
      <x:c r="J68" s="39" t="n">
        <x:v>1778</x:v>
      </x:c>
      <x:c r="K68" s="39" t="str"/>
      <x:c r="L68" s="39" t="inlineStr">
        <x:is>
          <x:t xml:space="preserve">Lee / New England</x:t>
        </x:is>
      </x:c>
      <x:c r="M68" s="39" t="inlineStr">
        <x:is>
          <x:t xml:space="preserve">B - Strong</x:t>
        </x:is>
      </x:c>
      <x:c r="N68" s="39" t="inlineStr">
        <x:is>
          <x:t xml:space="preserve">Joseph Chidsey</x:t>
        </x:is>
      </x:c>
      <x:c r="O68" s="39" t="str"/>
      <x:c r="P68" s="39" t="inlineStr">
        <x:is>
          <x:t xml:space="preserve">Fredric Muller Vollmer → Jan Muller Vollmer → Arthur John Muller → Elma Anna Lee → Elmer Ellsworth Lee → Hubbard Stone Lee → Elon Lee → William Lee → Sarah Chidsey</x:t>
        </x:is>
      </x:c>
      <x:c r="Q68" s="39" t="str"/>
      <x:c r="R68" s="39" t="inlineStr">
        <x:is>
          <x:t xml:space="preserve">S7</x:t>
        </x:is>
      </x:c>
    </x:row>
    <x:row r="69">
      <x:c r="A69" s="39" t="inlineStr">
        <x:is>
          <x:t xml:space="preserve">I145</x:t>
        </x:is>
      </x:c>
      <x:c r="B69" s="39" t="inlineStr">
        <x:is>
          <x:t xml:space="preserve">498</x:t>
        </x:is>
      </x:c>
      <x:c r="C69" s="39" t="n">
        <x:v>8</x:v>
      </x:c>
      <x:c r="D69" s="39" t="inlineStr">
        <x:is>
          <x:t xml:space="preserve">Darling Jones</x:t>
        </x:is>
      </x:c>
      <x:c r="E69" s="39" t="inlineStr">
        <x:is>
          <x:t xml:space="preserve">M</x:t>
        </x:is>
      </x:c>
      <x:c r="F69" s="39" t="str"/>
      <x:c r="G69" s="39" t="n"/>
      <x:c r="H69" s="39" t="str"/>
      <x:c r="I69" s="39" t="str"/>
      <x:c r="J69" s="39" t="n"/>
      <x:c r="K69" s="39" t="str"/>
      <x:c r="L69" s="39" t="inlineStr">
        <x:is>
          <x:t xml:space="preserve">Rives / Harrison</x:t>
        </x:is>
      </x:c>
      <x:c r="M69" s="39" t="inlineStr">
        <x:is>
          <x:t xml:space="preserve">B - Strong</x:t>
        </x:is>
      </x:c>
      <x:c r="N69" s="39" t="str"/>
      <x:c r="O69" s="39" t="str"/>
      <x:c r="P69" s="39" t="inlineStr">
        <x:is>
          <x:t xml:space="preserve">Fredric Muller Vollmer → Jan Muller Vollmer → Anne Rives McCormick Muller → Eloise A. “Elvie/Elvia” Slaughter McCormick → Lula Arnelia Rives → Robert Calhoun Rives → Robert Rives → Mary Ridley Jones → Darling Jones</x:t>
        </x:is>
      </x:c>
      <x:c r="Q69" s="39" t="str"/>
      <x:c r="R69" s="39" t="inlineStr">
        <x:is>
          <x:t xml:space="preserve">S10</x:t>
        </x:is>
      </x:c>
    </x:row>
    <x:row r="70">
      <x:c r="A70" s="39" t="inlineStr">
        <x:is>
          <x:t xml:space="preserve">I160</x:t>
        </x:is>
      </x:c>
      <x:c r="B70" s="39" t="inlineStr">
        <x:is>
          <x:t xml:space="preserve">502</x:t>
        </x:is>
      </x:c>
      <x:c r="C70" s="39" t="n">
        <x:v>8</x:v>
      </x:c>
      <x:c r="D70" s="39" t="inlineStr">
        <x:is>
          <x:t xml:space="preserve">James Perry</x:t>
        </x:is>
      </x:c>
      <x:c r="E70" s="39" t="inlineStr">
        <x:is>
          <x:t xml:space="preserve">M</x:t>
        </x:is>
      </x:c>
      <x:c r="F70" s="39" t="str"/>
      <x:c r="G70" s="39" t="n"/>
      <x:c r="H70" s="39" t="str"/>
      <x:c r="I70" s="39" t="inlineStr">
        <x:is>
          <x:t xml:space="preserve">after 14 Apr 1806 / before 1825</x:t>
        </x:is>
      </x:c>
      <x:c r="J70" s="39" t="n">
        <x:v>1806</x:v>
      </x:c>
      <x:c r="K70" s="39" t="inlineStr">
        <x:is>
          <x:t xml:space="preserve">Kershaw District, South Carolina</x:t>
        </x:is>
      </x:c>
      <x:c r="L70" s="39" t="inlineStr">
        <x:is>
          <x:t xml:space="preserve">Rives / Harrison</x:t>
        </x:is>
      </x:c>
      <x:c r="M70" s="39" t="inlineStr">
        <x:is>
          <x:t xml:space="preserve">A - Confirmed</x:t>
        </x:is>
      </x:c>
      <x:c r="N70" s="39" t="str"/>
      <x:c r="O70" s="39" t="str"/>
      <x:c r="P70" s="39" t="inlineStr">
        <x:is>
          <x:t xml:space="preserve">Fredric Muller Vollmer → Jan Muller Vollmer → Anne Rives McCormick Muller → Eloise A. “Elvie/Elvia” Slaughter McCormick → Lula Arnelia Rives → Robert Calhoun Rives → Amelia Harrison → Ann Perry → James Perry</x:t>
        </x:is>
      </x:c>
      <x:c r="Q70" s="39" t="inlineStr">
        <x:is>
          <x:t xml:space="preserve">His will and later equity case identify Ann Perry as his daughter.</x:t>
        </x:is>
      </x:c>
      <x:c r="R70" s="39" t="inlineStr">
        <x:is>
          <x:t xml:space="preserve">S20</x:t>
        </x:is>
      </x:c>
    </x:row>
    <x:row r="71">
      <x:c r="A71" s="39" t="inlineStr">
        <x:is>
          <x:t xml:space="preserve">I142</x:t>
        </x:is>
      </x:c>
      <x:c r="B71" s="39" t="inlineStr">
        <x:is>
          <x:t xml:space="preserve">497</x:t>
        </x:is>
      </x:c>
      <x:c r="C71" s="39" t="n">
        <x:v>8</x:v>
      </x:c>
      <x:c r="D71" s="39" t="inlineStr">
        <x:is>
          <x:t xml:space="preserve">Lucy Wyche</x:t>
        </x:is>
      </x:c>
      <x:c r="E71" s="39" t="inlineStr">
        <x:is>
          <x:t xml:space="preserve">F</x:t>
        </x:is>
      </x:c>
      <x:c r="F71" s="39" t="str"/>
      <x:c r="G71" s="39" t="n"/>
      <x:c r="H71" s="39" t="inlineStr">
        <x:is>
          <x:t xml:space="preserve">Brunswick County, Virginia</x:t>
        </x:is>
      </x:c>
      <x:c r="I71" s="39" t="str"/>
      <x:c r="J71" s="39" t="n"/>
      <x:c r="K71" s="39" t="str"/>
      <x:c r="L71" s="39" t="inlineStr">
        <x:is>
          <x:t xml:space="preserve">Rives / Harrison</x:t>
        </x:is>
      </x:c>
      <x:c r="M71" s="39" t="inlineStr">
        <x:is>
          <x:t xml:space="preserve">B - Strong</x:t>
        </x:is>
      </x:c>
      <x:c r="N71" s="39" t="inlineStr">
        <x:is>
          <x:t xml:space="preserve">Peter Wyche</x:t>
        </x:is>
      </x:c>
      <x:c r="O71" s="39" t="inlineStr">
        <x:is>
          <x:t xml:space="preserve">Alice (surname unknown) Wyche</x:t>
        </x:is>
      </x:c>
      <x:c r="P71" s="39" t="inlineStr">
        <x:is>
          <x:t xml:space="preserve">Fredric Muller Vollmer → Jan Muller Vollmer → Anne Rives McCormick Muller → Eloise A. “Elvie/Elvia” Slaughter McCormick → Lula Arnelia Rives → Robert Calhoun Rives → Robert Rives → Green Rives → Lucy Wyche</x:t>
        </x:is>
      </x:c>
      <x:c r="Q71" s="39" t="str"/>
      <x:c r="R71" s="39" t="inlineStr">
        <x:is>
          <x:t xml:space="preserve">S4, S10, S11</x:t>
        </x:is>
      </x:c>
    </x:row>
    <x:row r="72">
      <x:c r="A72" s="39" t="inlineStr">
        <x:is>
          <x:t xml:space="preserve">I159</x:t>
        </x:is>
      </x:c>
      <x:c r="B72" s="39" t="inlineStr">
        <x:is>
          <x:t xml:space="preserve">501</x:t>
        </x:is>
      </x:c>
      <x:c r="C72" s="39" t="n">
        <x:v>8</x:v>
      </x:c>
      <x:c r="D72" s="39" t="inlineStr">
        <x:is>
          <x:t xml:space="preserve">Nancy (possibly Kirkland) Harrison</x:t>
        </x:is>
      </x:c>
      <x:c r="E72" s="39" t="inlineStr">
        <x:is>
          <x:t xml:space="preserve">F</x:t>
        </x:is>
      </x:c>
      <x:c r="F72" s="39" t="str"/>
      <x:c r="G72" s="39" t="n"/>
      <x:c r="H72" s="39" t="str"/>
      <x:c r="I72" s="39" t="str"/>
      <x:c r="J72" s="39" t="n"/>
      <x:c r="K72" s="39" t="str"/>
      <x:c r="L72" s="39" t="inlineStr">
        <x:is>
          <x:t xml:space="preserve">Rives / Harrison</x:t>
        </x:is>
      </x:c>
      <x:c r="M72" s="39" t="inlineStr">
        <x:is>
          <x:t xml:space="preserve">C - Provisional</x:t>
        </x:is>
      </x:c>
      <x:c r="N72" s="39" t="str"/>
      <x:c r="O72" s="39" t="str"/>
      <x:c r="P72" s="39" t="inlineStr">
        <x:is>
          <x:t xml:space="preserve">Fredric Muller Vollmer → Jan Muller Vollmer → Anne Rives McCormick Muller → Eloise A. “Elvie/Elvia” Slaughter McCormick → Lula Arnelia Rives → Robert Calhoun Rives → Amelia Harrison → William Harrison → Nancy (possibly Kirkland) Harrison</x:t>
        </x:is>
      </x:c>
      <x:c r="Q72" s="39" t="inlineStr">
        <x:is>
          <x:t xml:space="preserve">Nancy is named as Reuben’s widow; the maiden name Kirkland comes from compiled family material and is not proved here.</x:t>
        </x:is>
      </x:c>
      <x:c r="R72" s="39" t="inlineStr">
        <x:is>
          <x:t xml:space="preserve">S20</x:t>
        </x:is>
      </x:c>
    </x:row>
    <x:row r="73">
      <x:c r="A73" s="39" t="inlineStr">
        <x:is>
          <x:t xml:space="preserve">I158</x:t>
        </x:is>
      </x:c>
      <x:c r="B73" s="39" t="inlineStr">
        <x:is>
          <x:t xml:space="preserve">500</x:t>
        </x:is>
      </x:c>
      <x:c r="C73" s="39" t="n">
        <x:v>8</x:v>
      </x:c>
      <x:c r="D73" s="39" t="inlineStr">
        <x:is>
          <x:t xml:space="preserve">Reuben Harrison</x:t>
        </x:is>
      </x:c>
      <x:c r="E73" s="39" t="inlineStr">
        <x:is>
          <x:t xml:space="preserve">M</x:t>
        </x:is>
      </x:c>
      <x:c r="F73" s="39" t="str"/>
      <x:c r="G73" s="39" t="n"/>
      <x:c r="H73" s="39" t="str"/>
      <x:c r="I73" s="39" t="inlineStr">
        <x:is>
          <x:t xml:space="preserve">1835</x:t>
        </x:is>
      </x:c>
      <x:c r="J73" s="39" t="n">
        <x:v>1835</x:v>
      </x:c>
      <x:c r="K73" s="39" t="str"/>
      <x:c r="L73" s="39" t="inlineStr">
        <x:is>
          <x:t xml:space="preserve">Rives / Harrison</x:t>
        </x:is>
      </x:c>
      <x:c r="M73" s="39" t="inlineStr">
        <x:is>
          <x:t xml:space="preserve">B - Strong</x:t>
        </x:is>
      </x:c>
      <x:c r="N73" s="39" t="str"/>
      <x:c r="O73" s="39" t="str"/>
      <x:c r="P73" s="39" t="inlineStr">
        <x:is>
          <x:t xml:space="preserve">Fredric Muller Vollmer → Jan Muller Vollmer → Anne Rives McCormick Muller → Eloise A. “Elvie/Elvia” Slaughter McCormick → Lula Arnelia Rives → Robert Calhoun Rives → Amelia Harrison → William Harrison → Reuben Harrison</x:t>
        </x:is>
      </x:c>
      <x:c r="Q73" s="39" t="inlineStr">
        <x:is>
          <x:t xml:space="preserve">Equity records identify William Harrison as his son.</x:t>
        </x:is>
      </x:c>
      <x:c r="R73" s="39" t="inlineStr">
        <x:is>
          <x:t xml:space="preserve">S20</x:t>
        </x:is>
      </x:c>
    </x:row>
    <x:row r="74">
      <x:c r="A74" s="39" t="inlineStr">
        <x:is>
          <x:t xml:space="preserve">I146</x:t>
        </x:is>
      </x:c>
      <x:c r="B74" s="39" t="inlineStr">
        <x:is>
          <x:t xml:space="preserve">499</x:t>
        </x:is>
      </x:c>
      <x:c r="C74" s="39" t="n">
        <x:v>8</x:v>
      </x:c>
      <x:c r="D74" s="39" t="inlineStr">
        <x:is>
          <x:t xml:space="preserve">Susannah (surname unknown) Jones</x:t>
        </x:is>
      </x:c>
      <x:c r="E74" s="39" t="inlineStr">
        <x:is>
          <x:t xml:space="preserve">F</x:t>
        </x:is>
      </x:c>
      <x:c r="F74" s="39" t="str"/>
      <x:c r="G74" s="39" t="n"/>
      <x:c r="H74" s="39" t="str"/>
      <x:c r="I74" s="39" t="str"/>
      <x:c r="J74" s="39" t="n"/>
      <x:c r="K74" s="39" t="str"/>
      <x:c r="L74" s="39" t="inlineStr">
        <x:is>
          <x:t xml:space="preserve">Rives / Harrison</x:t>
        </x:is>
      </x:c>
      <x:c r="M74" s="39" t="inlineStr">
        <x:is>
          <x:t xml:space="preserve">B - Strong</x:t>
        </x:is>
      </x:c>
      <x:c r="N74" s="39" t="str"/>
      <x:c r="O74" s="39" t="str"/>
      <x:c r="P74" s="39" t="inlineStr">
        <x:is>
          <x:t xml:space="preserve">Fredric Muller Vollmer → Jan Muller Vollmer → Anne Rives McCormick Muller → Eloise A. “Elvie/Elvia” Slaughter McCormick → Lula Arnelia Rives → Robert Calhoun Rives → Robert Rives → Mary Ridley Jones → Susannah (surname unknown) Jones</x:t>
        </x:is>
      </x:c>
      <x:c r="Q74" s="39" t="str"/>
      <x:c r="R74" s="39" t="inlineStr">
        <x:is>
          <x:t xml:space="preserve">S10</x:t>
        </x:is>
      </x:c>
    </x:row>
    <x:row r="75">
      <x:c r="A75" s="39" t="inlineStr">
        <x:is>
          <x:t xml:space="preserve">I141</x:t>
        </x:is>
      </x:c>
      <x:c r="B75" s="39" t="inlineStr">
        <x:is>
          <x:t xml:space="preserve">496</x:t>
        </x:is>
      </x:c>
      <x:c r="C75" s="39" t="n">
        <x:v>8</x:v>
      </x:c>
      <x:c r="D75" s="39" t="inlineStr">
        <x:is>
          <x:t xml:space="preserve">William Rives</x:t>
        </x:is>
      </x:c>
      <x:c r="E75" s="39" t="inlineStr">
        <x:is>
          <x:t xml:space="preserve">M</x:t>
        </x:is>
      </x:c>
      <x:c r="F75" s="39" t="inlineStr">
        <x:is>
          <x:t xml:space="preserve">about 1737</x:t>
        </x:is>
      </x:c>
      <x:c r="G75" s="39" t="n">
        <x:v>1737</x:v>
      </x:c>
      <x:c r="H75" s="39" t="inlineStr">
        <x:is>
          <x:t xml:space="preserve">Brunswick County, Virginia</x:t>
        </x:is>
      </x:c>
      <x:c r="I75" s="39" t="inlineStr">
        <x:is>
          <x:t xml:space="preserve">1783</x:t>
        </x:is>
      </x:c>
      <x:c r="J75" s="39" t="n">
        <x:v>1783</x:v>
      </x:c>
      <x:c r="K75" s="39" t="inlineStr">
        <x:is>
          <x:t xml:space="preserve">Camden District, South Carolina</x:t>
        </x:is>
      </x:c>
      <x:c r="L75" s="39" t="inlineStr">
        <x:is>
          <x:t xml:space="preserve">Rives / Harrison</x:t>
        </x:is>
      </x:c>
      <x:c r="M75" s="39" t="inlineStr">
        <x:is>
          <x:t xml:space="preserve">B - Strong</x:t>
        </x:is>
      </x:c>
      <x:c r="N75" s="39" t="inlineStr">
        <x:is>
          <x:t xml:space="preserve">Timothy Rives</x:t>
        </x:is>
      </x:c>
      <x:c r="O75" s="39" t="inlineStr">
        <x:is>
          <x:t xml:space="preserve">Hester (possibly Turner) Rives</x:t>
        </x:is>
      </x:c>
      <x:c r="P75" s="39" t="inlineStr">
        <x:is>
          <x:t xml:space="preserve">Fredric Muller Vollmer → Jan Muller Vollmer → Anne Rives McCormick Muller → Eloise A. “Elvie/Elvia” Slaughter McCormick → Lula Arnelia Rives → Robert Calhoun Rives → Robert Rives → Green Rives → William Rives</x:t>
        </x:is>
      </x:c>
      <x:c r="Q75" s="39" t="str"/>
      <x:c r="R75" s="39" t="inlineStr">
        <x:is>
          <x:t xml:space="preserve">S4, S10, S11</x:t>
        </x:is>
      </x:c>
    </x:row>
    <x:row r="76">
      <x:c r="A76" s="39" t="inlineStr">
        <x:is>
          <x:t xml:space="preserve">I169</x:t>
        </x:is>
      </x:c>
      <x:c r="B76" s="39" t="inlineStr">
        <x:is>
          <x:t xml:space="preserve">1011</x:t>
        </x:is>
      </x:c>
      <x:c r="C76" s="39" t="n">
        <x:v>9</x:v>
      </x:c>
      <x:c r="D76" s="39" t="inlineStr">
        <x:is>
          <x:t xml:space="preserve">Ann Bondurant</x:t>
        </x:is>
      </x:c>
      <x:c r="E76" s="39" t="inlineStr">
        <x:is>
          <x:t xml:space="preserve">F</x:t>
        </x:is>
      </x:c>
      <x:c r="F76" s="39" t="str"/>
      <x:c r="G76" s="39" t="n"/>
      <x:c r="H76" s="39" t="str"/>
      <x:c r="I76" s="39" t="str"/>
      <x:c r="J76" s="39" t="n"/>
      <x:c r="K76" s="39" t="str"/>
      <x:c r="L76" s="39" t="inlineStr">
        <x:is>
          <x:t xml:space="preserve">Agee / Ford / Bondurant</x:t>
        </x:is>
      </x:c>
      <x:c r="M76" s="39" t="inlineStr">
        <x:is>
          <x:t xml:space="preserve">B - Strong</x:t>
        </x:is>
      </x:c>
      <x:c r="N76" s="39" t="inlineStr">
        <x:is>
          <x:t xml:space="preserve">Jean Pierre “John Peter” Bondurant</x:t>
        </x:is>
      </x:c>
      <x:c r="O76" s="39" t="str"/>
      <x:c r="P76" s="39" t="inlineStr">
        <x:is>
          <x:t xml:space="preserve">Fredric Muller Vollmer → Jan Muller Vollmer → Anne Rives McCormick Muller → Eloise A. “Elvie/Elvia” Slaughter McCormick → Lula Arnelia Rives → Florence Estelle Agee → William Raiford Agee → Noah Agee → Mary (possibly Elizabeth) Ford → Ann Bondurant</x:t>
        </x:is>
      </x:c>
      <x:c r="Q76" s="39" t="str"/>
      <x:c r="R76" s="39" t="inlineStr">
        <x:is>
          <x:t xml:space="preserve">S8</x:t>
        </x:is>
      </x:c>
    </x:row>
    <x:row r="77">
      <x:c r="A77" s="39" t="inlineStr">
        <x:is>
          <x:t xml:space="preserve">I167</x:t>
        </x:is>
      </x:c>
      <x:c r="B77" s="39" t="inlineStr">
        <x:is>
          <x:t xml:space="preserve">1009</x:t>
        </x:is>
      </x:c>
      <x:c r="C77" s="39" t="n">
        <x:v>9</x:v>
      </x:c>
      <x:c r="D77" s="39" t="inlineStr">
        <x:is>
          <x:t xml:space="preserve">Ann Godwin (or Goodwin)</x:t>
        </x:is>
      </x:c>
      <x:c r="E77" s="39" t="inlineStr">
        <x:is>
          <x:t xml:space="preserve">F</x:t>
        </x:is>
      </x:c>
      <x:c r="F77" s="39" t="str"/>
      <x:c r="G77" s="39" t="n"/>
      <x:c r="H77" s="39" t="str"/>
      <x:c r="I77" s="39" t="str"/>
      <x:c r="J77" s="39" t="n"/>
      <x:c r="K77" s="39" t="str"/>
      <x:c r="L77" s="39" t="inlineStr">
        <x:is>
          <x:t xml:space="preserve">Agee / Ford / Bondurant</x:t>
        </x:is>
      </x:c>
      <x:c r="M77" s="39" t="inlineStr">
        <x:is>
          <x:t xml:space="preserve">C - Provisional</x:t>
        </x:is>
      </x:c>
      <x:c r="N77" s="39" t="inlineStr">
        <x:is>
          <x:t xml:space="preserve">Isaac Godwin</x:t>
        </x:is>
      </x:c>
      <x:c r="O77" s="39" t="inlineStr">
        <x:is>
          <x:t xml:space="preserve">Ann (surname unknown) Godwin</x:t>
        </x:is>
      </x:c>
      <x:c r="P77" s="39" t="inlineStr">
        <x:is>
          <x:t xml:space="preserve">Fredric Muller Vollmer → Jan Muller Vollmer → Anne Rives McCormick Muller → Eloise A. “Elvie/Elvia” Slaughter McCormick → Lula Arnelia Rives → Florence Estelle Agee → William Raiford Agee → Noah Agee → James Agee → Ann Godwin (or Goodwin)</x:t>
        </x:is>
      </x:c>
      <x:c r="Q77" s="39" t="str"/>
      <x:c r="R77" s="39" t="inlineStr">
        <x:is>
          <x:t xml:space="preserve">S8</x:t>
        </x:is>
      </x:c>
    </x:row>
    <x:row r="78">
      <x:c r="A78" s="39" t="inlineStr">
        <x:is>
          <x:t xml:space="preserve">I168</x:t>
        </x:is>
      </x:c>
      <x:c r="B78" s="39" t="inlineStr">
        <x:is>
          <x:t xml:space="preserve">1010</x:t>
        </x:is>
      </x:c>
      <x:c r="C78" s="39" t="n">
        <x:v>9</x:v>
      </x:c>
      <x:c r="D78" s="39" t="inlineStr">
        <x:is>
          <x:t xml:space="preserve">James Ford</x:t>
        </x:is>
      </x:c>
      <x:c r="E78" s="39" t="inlineStr">
        <x:is>
          <x:t xml:space="preserve">M</x:t>
        </x:is>
      </x:c>
      <x:c r="F78" s="39" t="str"/>
      <x:c r="G78" s="39" t="n"/>
      <x:c r="H78" s="39" t="str"/>
      <x:c r="I78" s="39" t="str"/>
      <x:c r="J78" s="39" t="n"/>
      <x:c r="K78" s="39" t="str"/>
      <x:c r="L78" s="39" t="inlineStr">
        <x:is>
          <x:t xml:space="preserve">Agee / Ford / Bondurant</x:t>
        </x:is>
      </x:c>
      <x:c r="M78" s="39" t="inlineStr">
        <x:is>
          <x:t xml:space="preserve">B - Strong</x:t>
        </x:is>
      </x:c>
      <x:c r="N78" s="39" t="str"/>
      <x:c r="O78" s="39" t="str"/>
      <x:c r="P78" s="39" t="inlineStr">
        <x:is>
          <x:t xml:space="preserve">Fredric Muller Vollmer → Jan Muller Vollmer → Anne Rives McCormick Muller → Eloise A. “Elvie/Elvia” Slaughter McCormick → Lula Arnelia Rives → Florence Estelle Agee → William Raiford Agee → Noah Agee → Mary (possibly Elizabeth) Ford → James Ford</x:t>
        </x:is>
      </x:c>
      <x:c r="Q78" s="39" t="str"/>
      <x:c r="R78" s="39" t="inlineStr">
        <x:is>
          <x:t xml:space="preserve">S8</x:t>
        </x:is>
      </x:c>
    </x:row>
    <x:row r="79">
      <x:c r="A79" s="39" t="inlineStr">
        <x:is>
          <x:t xml:space="preserve">I166</x:t>
        </x:is>
      </x:c>
      <x:c r="B79" s="39" t="inlineStr">
        <x:is>
          <x:t xml:space="preserve">1008</x:t>
        </x:is>
      </x:c>
      <x:c r="C79" s="39" t="n">
        <x:v>9</x:v>
      </x:c>
      <x:c r="D79" s="39" t="inlineStr">
        <x:is>
          <x:t xml:space="preserve">Mathieu Agee</x:t>
        </x:is>
      </x:c>
      <x:c r="E79" s="39" t="inlineStr">
        <x:is>
          <x:t xml:space="preserve">M</x:t>
        </x:is>
      </x:c>
      <x:c r="F79" s="39" t="inlineStr">
        <x:is>
          <x:t xml:space="preserve">about 1670</x:t>
        </x:is>
      </x:c>
      <x:c r="G79" s="39" t="n">
        <x:v>1670</x:v>
      </x:c>
      <x:c r="H79" s="39" t="inlineStr">
        <x:is>
          <x:t xml:space="preserve">near Nantes, France</x:t>
        </x:is>
      </x:c>
      <x:c r="I79" s="39" t="str"/>
      <x:c r="J79" s="39" t="n"/>
      <x:c r="K79" s="39" t="inlineStr">
        <x:is>
          <x:t xml:space="preserve">Virginia</x:t>
        </x:is>
      </x:c>
      <x:c r="L79" s="39" t="inlineStr">
        <x:is>
          <x:t xml:space="preserve">Agee / Ford / Bondurant</x:t>
        </x:is>
      </x:c>
      <x:c r="M79" s="39" t="inlineStr">
        <x:is>
          <x:t xml:space="preserve">C - Provisional</x:t>
        </x:is>
      </x:c>
      <x:c r="N79" s="39" t="inlineStr">
        <x:is>
          <x:t xml:space="preserve">Anthony Agee (traditional)</x:t>
        </x:is>
      </x:c>
      <x:c r="O79" s="39" t="inlineStr">
        <x:is>
          <x:t xml:space="preserve">Judith Chastain (traditional)</x:t>
        </x:is>
      </x:c>
      <x:c r="P79" s="39" t="inlineStr">
        <x:is>
          <x:t xml:space="preserve">Fredric Muller Vollmer → Jan Muller Vollmer → Anne Rives McCormick Muller → Eloise A. “Elvie/Elvia” Slaughter McCormick → Lula Arnelia Rives → Florence Estelle Agee → William Raiford Agee → Noah Agee → James Agee → Mathieu Agee</x:t>
        </x:is>
      </x:c>
      <x:c r="Q79" s="39" t="inlineStr">
        <x:is>
          <x:t xml:space="preserve">Huguenot immigrant traditionally said to have arrived in Virginia in 1690. Parentage is substantially less secure than his American family.</x:t>
        </x:is>
      </x:c>
      <x:c r="R79" s="39" t="inlineStr">
        <x:is>
          <x:t xml:space="preserve">S8</x:t>
        </x:is>
      </x:c>
    </x:row>
    <x:row r="80">
      <x:c r="A80" s="39" t="inlineStr">
        <x:is>
          <x:t xml:space="preserve">I044</x:t>
        </x:is>
      </x:c>
      <x:c r="B80" s="39" t="inlineStr">
        <x:is>
          <x:t xml:space="preserve">843</x:t>
        </x:is>
      </x:c>
      <x:c r="C80" s="39" t="n">
        <x:v>9</x:v>
      </x:c>
      <x:c r="D80" s="39" t="inlineStr">
        <x:is>
          <x:t xml:space="preserve">Abigail Crampton</x:t>
        </x:is>
      </x:c>
      <x:c r="E80" s="39" t="inlineStr">
        <x:is>
          <x:t xml:space="preserve">F</x:t>
        </x:is>
      </x:c>
      <x:c r="F80" s="39" t="inlineStr">
        <x:is>
          <x:t xml:space="preserve">17 Oct 1704</x:t>
        </x:is>
      </x:c>
      <x:c r="G80" s="39" t="n">
        <x:v>1704</x:v>
      </x:c>
      <x:c r="H80" s="39" t="str"/>
      <x:c r="I80" s="39" t="inlineStr">
        <x:is>
          <x:t xml:space="preserve">4 Nov 1757</x:t>
        </x:is>
      </x:c>
      <x:c r="J80" s="39" t="n">
        <x:v>1757</x:v>
      </x:c>
      <x:c r="K80" s="39" t="str"/>
      <x:c r="L80" s="39" t="inlineStr">
        <x:is>
          <x:t xml:space="preserve">Lee / New England</x:t>
        </x:is>
      </x:c>
      <x:c r="M80" s="39" t="inlineStr">
        <x:is>
          <x:t xml:space="preserve">B - Strong</x:t>
        </x:is>
      </x:c>
      <x:c r="N80" s="39" t="inlineStr">
        <x:is>
          <x:t xml:space="preserve">John Crampton</x:t>
        </x:is>
      </x:c>
      <x:c r="O80" s="39" t="inlineStr">
        <x:is>
          <x:t xml:space="preserve">Hannah Evarts</x:t>
        </x:is>
      </x:c>
      <x:c r="P80" s="39" t="inlineStr">
        <x:is>
          <x:t xml:space="preserve">Fredric Muller Vollmer → Jan Muller Vollmer → Arthur John Muller → Elma Anna Lee → Elmer Ellsworth Lee → Hubbard Stone Lee → Grace Stone → John Evarts Stone → Carine Ward → Abigail Crampton</x:t>
        </x:is>
      </x:c>
      <x:c r="Q80" s="39" t="str"/>
      <x:c r="R80" s="39" t="inlineStr">
        <x:is>
          <x:t xml:space="preserve">S7</x:t>
        </x:is>
      </x:c>
    </x:row>
    <x:row r="81">
      <x:c r="A81" s="39" t="inlineStr">
        <x:is>
          <x:t xml:space="preserve">I037</x:t>
        </x:is>
      </x:c>
      <x:c r="B81" s="39" t="inlineStr">
        <x:is>
          <x:t xml:space="preserve">833</x:t>
        </x:is>
      </x:c>
      <x:c r="C81" s="39" t="n">
        <x:v>9</x:v>
      </x:c>
      <x:c r="D81" s="39" t="inlineStr">
        <x:is>
          <x:t xml:space="preserve">Abigail Stevens</x:t>
        </x:is>
      </x:c>
      <x:c r="E81" s="39" t="inlineStr">
        <x:is>
          <x:t xml:space="preserve">F</x:t>
        </x:is>
      </x:c>
      <x:c r="F81" s="39" t="str"/>
      <x:c r="G81" s="39" t="n"/>
      <x:c r="H81" s="39" t="str"/>
      <x:c r="I81" s="39" t="inlineStr">
        <x:is>
          <x:t xml:space="preserve">Aug 1727</x:t>
        </x:is>
      </x:c>
      <x:c r="J81" s="39" t="n">
        <x:v>1727</x:v>
      </x:c>
      <x:c r="K81" s="39" t="str"/>
      <x:c r="L81" s="39" t="inlineStr">
        <x:is>
          <x:t xml:space="preserve">Lee / New England</x:t>
        </x:is>
      </x:c>
      <x:c r="M81" s="39" t="inlineStr">
        <x:is>
          <x:t xml:space="preserve">B - Strong</x:t>
        </x:is>
      </x:c>
      <x:c r="N81" s="39" t="inlineStr">
        <x:is>
          <x:t xml:space="preserve">Thomas Stevens</x:t>
        </x:is>
      </x:c>
      <x:c r="O81" s="39" t="str"/>
      <x:c r="P81" s="39" t="inlineStr">
        <x:is>
          <x:t xml:space="preserve">Fredric Muller Vollmer → Jan Muller Vollmer → Arthur John Muller → Elma Anna Lee → Elmer Ellsworth Lee → Hubbard Stone Lee → Elon Lee → William Lee → Ebenezer Lee → Abigail Stevens</x:t>
        </x:is>
      </x:c>
      <x:c r="Q81" s="39" t="str"/>
      <x:c r="R81" s="39" t="inlineStr">
        <x:is>
          <x:t xml:space="preserve">S7</x:t>
        </x:is>
      </x:c>
    </x:row>
    <x:row r="82">
      <x:c r="A82" s="39" t="inlineStr">
        <x:is>
          <x:t xml:space="preserve">I041</x:t>
        </x:is>
      </x:c>
      <x:c r="B82" s="39" t="inlineStr">
        <x:is>
          <x:t xml:space="preserve">840</x:t>
        </x:is>
      </x:c>
      <x:c r="C82" s="39" t="n">
        <x:v>9</x:v>
      </x:c>
      <x:c r="D82" s="39" t="inlineStr">
        <x:is>
          <x:t xml:space="preserve">Caleb Stone Jr.</x:t>
        </x:is>
      </x:c>
      <x:c r="E82" s="39" t="inlineStr">
        <x:is>
          <x:t xml:space="preserve">M</x:t>
        </x:is>
      </x:c>
      <x:c r="F82" s="39" t="inlineStr">
        <x:is>
          <x:t xml:space="preserve">7 May 1714</x:t>
        </x:is>
      </x:c>
      <x:c r="G82" s="39" t="n">
        <x:v>1714</x:v>
      </x:c>
      <x:c r="H82" s="39" t="inlineStr">
        <x:is>
          <x:t xml:space="preserve">probably Guilford, Connecticut</x:t>
        </x:is>
      </x:c>
      <x:c r="I82" s="39" t="inlineStr">
        <x:is>
          <x:t xml:space="preserve">28 Jul 1788</x:t>
        </x:is>
      </x:c>
      <x:c r="J82" s="39" t="n">
        <x:v>1788</x:v>
      </x:c>
      <x:c r="K82" s="39" t="inlineStr">
        <x:is>
          <x:t xml:space="preserve">Guilford, Connecticut</x:t>
        </x:is>
      </x:c>
      <x:c r="L82" s="39" t="inlineStr">
        <x:is>
          <x:t xml:space="preserve">Lee / New England</x:t>
        </x:is>
      </x:c>
      <x:c r="M82" s="39" t="inlineStr">
        <x:is>
          <x:t xml:space="preserve">B - Strong</x:t>
        </x:is>
      </x:c>
      <x:c r="N82" s="39" t="inlineStr">
        <x:is>
          <x:t xml:space="preserve">Caleb Stone</x:t>
        </x:is>
      </x:c>
      <x:c r="O82" s="39" t="inlineStr">
        <x:is>
          <x:t xml:space="preserve">Sarah Meigs</x:t>
        </x:is>
      </x:c>
      <x:c r="P82" s="39" t="inlineStr">
        <x:is>
          <x:t xml:space="preserve">Fredric Muller Vollmer → Jan Muller Vollmer → Arthur John Muller → Elma Anna Lee → Elmer Ellsworth Lee → Hubbard Stone Lee → Grace Stone → John Evarts Stone → Asher Stone → Caleb Stone Jr.</x:t>
        </x:is>
      </x:c>
      <x:c r="Q82" s="39" t="str"/>
      <x:c r="R82" s="39" t="inlineStr">
        <x:is>
          <x:t xml:space="preserve">S7</x:t>
        </x:is>
      </x:c>
    </x:row>
    <x:row r="83">
      <x:c r="A83" s="39" t="inlineStr">
        <x:is>
          <x:t xml:space="preserve">I036</x:t>
        </x:is>
      </x:c>
      <x:c r="B83" s="39" t="inlineStr">
        <x:is>
          <x:t xml:space="preserve">832</x:t>
        </x:is>
      </x:c>
      <x:c r="C83" s="39" t="n">
        <x:v>9</x:v>
      </x:c>
      <x:c r="D83" s="39" t="inlineStr">
        <x:is>
          <x:t xml:space="preserve">Edward Lee</x:t>
        </x:is>
      </x:c>
      <x:c r="E83" s="39" t="inlineStr">
        <x:is>
          <x:t xml:space="preserve">M</x:t>
        </x:is>
      </x:c>
      <x:c r="F83" s="39" t="inlineStr">
        <x:is>
          <x:t xml:space="preserve">about 1656</x:t>
        </x:is>
      </x:c>
      <x:c r="G83" s="39" t="n">
        <x:v>1656</x:v>
      </x:c>
      <x:c r="H83" s="39" t="str"/>
      <x:c r="I83" s="39" t="str"/>
      <x:c r="J83" s="39" t="n"/>
      <x:c r="K83" s="39" t="str"/>
      <x:c r="L83" s="39" t="inlineStr">
        <x:is>
          <x:t xml:space="preserve">Lee / New England</x:t>
        </x:is>
      </x:c>
      <x:c r="M83" s="39" t="inlineStr">
        <x:is>
          <x:t xml:space="preserve">B - Strong</x:t>
        </x:is>
      </x:c>
      <x:c r="N83" s="39" t="str"/>
      <x:c r="O83" s="39" t="str"/>
      <x:c r="P83" s="39" t="inlineStr">
        <x:is>
          <x:t xml:space="preserve">Fredric Muller Vollmer → Jan Muller Vollmer → Arthur John Muller → Elma Anna Lee → Elmer Ellsworth Lee → Hubbard Stone Lee → Elon Lee → William Lee → Ebenezer Lee → Edward Lee</x:t>
        </x:is>
      </x:c>
      <x:c r="Q83" s="39" t="inlineStr">
        <x:is>
          <x:t xml:space="preserve">Earlier parentage not supplied in the consulted Ahnentafel.</x:t>
        </x:is>
      </x:c>
      <x:c r="R83" s="39" t="inlineStr">
        <x:is>
          <x:t xml:space="preserve">S7</x:t>
        </x:is>
      </x:c>
    </x:row>
    <x:row r="84">
      <x:c r="A84" s="39" t="inlineStr">
        <x:is>
          <x:t xml:space="preserve">I040</x:t>
        </x:is>
      </x:c>
      <x:c r="B84" s="39" t="inlineStr">
        <x:is>
          <x:t xml:space="preserve">837</x:t>
        </x:is>
      </x:c>
      <x:c r="C84" s="39" t="n">
        <x:v>9</x:v>
      </x:c>
      <x:c r="D84" s="39" t="inlineStr">
        <x:is>
          <x:t xml:space="preserve">Hannah Cruttenden</x:t>
        </x:is>
      </x:c>
      <x:c r="E84" s="39" t="inlineStr">
        <x:is>
          <x:t xml:space="preserve">F</x:t>
        </x:is>
      </x:c>
      <x:c r="F84" s="39" t="inlineStr">
        <x:is>
          <x:t xml:space="preserve">about 1679</x:t>
        </x:is>
      </x:c>
      <x:c r="G84" s="39" t="n">
        <x:v>1679</x:v>
      </x:c>
      <x:c r="H84" s="39" t="str"/>
      <x:c r="I84" s="39" t="inlineStr">
        <x:is>
          <x:t xml:space="preserve">28 Mar 1756</x:t>
        </x:is>
      </x:c>
      <x:c r="J84" s="39" t="n">
        <x:v>1756</x:v>
      </x:c>
      <x:c r="K84" s="39" t="str"/>
      <x:c r="L84" s="39" t="inlineStr">
        <x:is>
          <x:t xml:space="preserve">Lee / New England</x:t>
        </x:is>
      </x:c>
      <x:c r="M84" s="39" t="inlineStr">
        <x:is>
          <x:t xml:space="preserve">B - Strong</x:t>
        </x:is>
      </x:c>
      <x:c r="N84" s="39" t="inlineStr">
        <x:is>
          <x:t xml:space="preserve">Isaac Cruttenden</x:t>
        </x:is>
      </x:c>
      <x:c r="O84" s="39" t="inlineStr">
        <x:is>
          <x:t xml:space="preserve">Lydia Thompson</x:t>
        </x:is>
      </x:c>
      <x:c r="P84" s="39" t="inlineStr">
        <x:is>
          <x:t xml:space="preserve">Fredric Muller Vollmer → Jan Muller Vollmer → Arthur John Muller → Elma Anna Lee → Elmer Ellsworth Lee → Hubbard Stone Lee → Elon Lee → Eunice Hotchkiss → Mark Hotchkiss → Hannah Cruttenden</x:t>
        </x:is>
      </x:c>
      <x:c r="Q84" s="39" t="str"/>
      <x:c r="R84" s="39" t="inlineStr">
        <x:is>
          <x:t xml:space="preserve">S7</x:t>
        </x:is>
      </x:c>
    </x:row>
    <x:row r="85">
      <x:c r="A85" s="39" t="inlineStr">
        <x:is>
          <x:t xml:space="preserve">I038</x:t>
        </x:is>
      </x:c>
      <x:c r="B85" s="39" t="inlineStr">
        <x:is>
          <x:t xml:space="preserve">834</x:t>
        </x:is>
      </x:c>
      <x:c r="C85" s="39" t="n">
        <x:v>9</x:v>
      </x:c>
      <x:c r="D85" s="39" t="inlineStr">
        <x:is>
          <x:t xml:space="preserve">Joseph Chidsey</x:t>
        </x:is>
      </x:c>
      <x:c r="E85" s="39" t="inlineStr">
        <x:is>
          <x:t xml:space="preserve">M</x:t>
        </x:is>
      </x:c>
      <x:c r="F85" s="39" t="str"/>
      <x:c r="G85" s="39" t="n"/>
      <x:c r="H85" s="39" t="str"/>
      <x:c r="I85" s="39" t="str"/>
      <x:c r="J85" s="39" t="n"/>
      <x:c r="K85" s="39" t="str"/>
      <x:c r="L85" s="39" t="inlineStr">
        <x:is>
          <x:t xml:space="preserve">Lee / New England</x:t>
        </x:is>
      </x:c>
      <x:c r="M85" s="39" t="inlineStr">
        <x:is>
          <x:t xml:space="preserve">B - Strong</x:t>
        </x:is>
      </x:c>
      <x:c r="N85" s="39" t="str"/>
      <x:c r="O85" s="39" t="str"/>
      <x:c r="P85" s="39" t="inlineStr">
        <x:is>
          <x:t xml:space="preserve">Fredric Muller Vollmer → Jan Muller Vollmer → Arthur John Muller → Elma Anna Lee → Elmer Ellsworth Lee → Hubbard Stone Lee → Elon Lee → William Lee → Sarah Chidsey → Joseph Chidsey</x:t>
        </x:is>
      </x:c>
      <x:c r="Q85" s="39" t="inlineStr">
        <x:is>
          <x:t xml:space="preserve">Earlier parentage not supplied in the consulted Ahnentafel.</x:t>
        </x:is>
      </x:c>
      <x:c r="R85" s="39" t="inlineStr">
        <x:is>
          <x:t xml:space="preserve">S7</x:t>
        </x:is>
      </x:c>
    </x:row>
    <x:row r="86">
      <x:c r="A86" s="39" t="inlineStr">
        <x:is>
          <x:t xml:space="preserve">I039</x:t>
        </x:is>
      </x:c>
      <x:c r="B86" s="39" t="inlineStr">
        <x:is>
          <x:t xml:space="preserve">836</x:t>
        </x:is>
      </x:c>
      <x:c r="C86" s="39" t="n">
        <x:v>9</x:v>
      </x:c>
      <x:c r="D86" s="39" t="inlineStr">
        <x:is>
          <x:t xml:space="preserve">Joseph Hotchkiss</x:t>
        </x:is>
      </x:c>
      <x:c r="E86" s="39" t="inlineStr">
        <x:is>
          <x:t xml:space="preserve">M</x:t>
        </x:is>
      </x:c>
      <x:c r="F86" s="39" t="inlineStr">
        <x:is>
          <x:t xml:space="preserve">3 Jun 1678</x:t>
        </x:is>
      </x:c>
      <x:c r="G86" s="39" t="n">
        <x:v>1678</x:v>
      </x:c>
      <x:c r="H86" s="39" t="str"/>
      <x:c r="I86" s="39" t="inlineStr">
        <x:is>
          <x:t xml:space="preserve">31 Jan 1740</x:t>
        </x:is>
      </x:c>
      <x:c r="J86" s="39" t="n">
        <x:v>1740</x:v>
      </x:c>
      <x:c r="K86" s="39" t="str"/>
      <x:c r="L86" s="39" t="inlineStr">
        <x:is>
          <x:t xml:space="preserve">Lee / New England</x:t>
        </x:is>
      </x:c>
      <x:c r="M86" s="39" t="inlineStr">
        <x:is>
          <x:t xml:space="preserve">B - Strong</x:t>
        </x:is>
      </x:c>
      <x:c r="N86" s="39" t="inlineStr">
        <x:is>
          <x:t xml:space="preserve">John Hotchkiss</x:t>
        </x:is>
      </x:c>
      <x:c r="O86" s="39" t="inlineStr">
        <x:is>
          <x:t xml:space="preserve">Elizabeth Peck</x:t>
        </x:is>
      </x:c>
      <x:c r="P86" s="39" t="inlineStr">
        <x:is>
          <x:t xml:space="preserve">Fredric Muller Vollmer → Jan Muller Vollmer → Arthur John Muller → Elma Anna Lee → Elmer Ellsworth Lee → Hubbard Stone Lee → Elon Lee → Eunice Hotchkiss → Mark Hotchkiss → Joseph Hotchkiss</x:t>
        </x:is>
      </x:c>
      <x:c r="Q86" s="39" t="str"/>
      <x:c r="R86" s="39" t="inlineStr">
        <x:is>
          <x:t xml:space="preserve">S7</x:t>
        </x:is>
      </x:c>
    </x:row>
    <x:row r="87">
      <x:c r="A87" s="39" t="inlineStr">
        <x:is>
          <x:t xml:space="preserve">I042</x:t>
        </x:is>
      </x:c>
      <x:c r="B87" s="39" t="inlineStr">
        <x:is>
          <x:t xml:space="preserve">841</x:t>
        </x:is>
      </x:c>
      <x:c r="C87" s="39" t="n">
        <x:v>9</x:v>
      </x:c>
      <x:c r="D87" s="39" t="inlineStr">
        <x:is>
          <x:t xml:space="preserve">Rebecca Evarts</x:t>
        </x:is>
      </x:c>
      <x:c r="E87" s="39" t="inlineStr">
        <x:is>
          <x:t xml:space="preserve">F</x:t>
        </x:is>
      </x:c>
      <x:c r="F87" s="39" t="inlineStr">
        <x:is>
          <x:t xml:space="preserve">about 1715</x:t>
        </x:is>
      </x:c>
      <x:c r="G87" s="39" t="n">
        <x:v>1715</x:v>
      </x:c>
      <x:c r="H87" s="39" t="str"/>
      <x:c r="I87" s="39" t="inlineStr">
        <x:is>
          <x:t xml:space="preserve">5 Sep 1795</x:t>
        </x:is>
      </x:c>
      <x:c r="J87" s="39" t="n">
        <x:v>1795</x:v>
      </x:c>
      <x:c r="K87" s="39" t="str"/>
      <x:c r="L87" s="39" t="inlineStr">
        <x:is>
          <x:t xml:space="preserve">Lee / New England</x:t>
        </x:is>
      </x:c>
      <x:c r="M87" s="39" t="inlineStr">
        <x:is>
          <x:t xml:space="preserve">B - Strong</x:t>
        </x:is>
      </x:c>
      <x:c r="N87" s="39" t="inlineStr">
        <x:is>
          <x:t xml:space="preserve">James Evarts</x:t>
        </x:is>
      </x:c>
      <x:c r="O87" s="39" t="str"/>
      <x:c r="P87" s="39" t="inlineStr">
        <x:is>
          <x:t xml:space="preserve">Fredric Muller Vollmer → Jan Muller Vollmer → Arthur John Muller → Elma Anna Lee → Elmer Ellsworth Lee → Hubbard Stone Lee → Grace Stone → John Evarts Stone → Asher Stone → Rebecca Evarts</x:t>
        </x:is>
      </x:c>
      <x:c r="Q87" s="39" t="str"/>
      <x:c r="R87" s="39" t="inlineStr">
        <x:is>
          <x:t xml:space="preserve">S7</x:t>
        </x:is>
      </x:c>
    </x:row>
    <x:row r="88">
      <x:c r="A88" s="39" t="inlineStr">
        <x:is>
          <x:t xml:space="preserve">I043</x:t>
        </x:is>
      </x:c>
      <x:c r="B88" s="39" t="inlineStr">
        <x:is>
          <x:t xml:space="preserve">842</x:t>
        </x:is>
      </x:c>
      <x:c r="C88" s="39" t="n">
        <x:v>9</x:v>
      </x:c>
      <x:c r="D88" s="39" t="inlineStr">
        <x:is>
          <x:t xml:space="preserve">William Ward</x:t>
        </x:is>
      </x:c>
      <x:c r="E88" s="39" t="inlineStr">
        <x:is>
          <x:t xml:space="preserve">M</x:t>
        </x:is>
      </x:c>
      <x:c r="F88" s="39" t="inlineStr">
        <x:is>
          <x:t xml:space="preserve">7 Jan 1705</x:t>
        </x:is>
      </x:c>
      <x:c r="G88" s="39" t="n">
        <x:v>1705</x:v>
      </x:c>
      <x:c r="H88" s="39" t="inlineStr">
        <x:is>
          <x:t xml:space="preserve">Wallingford, New Haven County, Connecticut</x:t>
        </x:is>
      </x:c>
      <x:c r="I88" s="39" t="inlineStr">
        <x:is>
          <x:t xml:space="preserve">19 Dec 1761</x:t>
        </x:is>
      </x:c>
      <x:c r="J88" s="39" t="n">
        <x:v>1761</x:v>
      </x:c>
      <x:c r="K88" s="39" t="str"/>
      <x:c r="L88" s="39" t="inlineStr">
        <x:is>
          <x:t xml:space="preserve">Lee / New England</x:t>
        </x:is>
      </x:c>
      <x:c r="M88" s="39" t="inlineStr">
        <x:is>
          <x:t xml:space="preserve">B - Strong</x:t>
        </x:is>
      </x:c>
      <x:c r="N88" s="39" t="inlineStr">
        <x:is>
          <x:t xml:space="preserve">William Ward</x:t>
        </x:is>
      </x:c>
      <x:c r="O88" s="39" t="inlineStr">
        <x:is>
          <x:t xml:space="preserve">Lettice Beach</x:t>
        </x:is>
      </x:c>
      <x:c r="P88" s="39" t="inlineStr">
        <x:is>
          <x:t xml:space="preserve">Fredric Muller Vollmer → Jan Muller Vollmer → Arthur John Muller → Elma Anna Lee → Elmer Ellsworth Lee → Hubbard Stone Lee → Grace Stone → John Evarts Stone → Carine Ward → William Ward</x:t>
        </x:is>
      </x:c>
      <x:c r="Q88" s="39" t="str"/>
      <x:c r="R88" s="39" t="inlineStr">
        <x:is>
          <x:t xml:space="preserve">S7</x:t>
        </x:is>
      </x:c>
    </x:row>
    <x:row r="89">
      <x:c r="A89" s="39" t="inlineStr">
        <x:is>
          <x:t xml:space="preserve">I153</x:t>
        </x:is>
      </x:c>
      <x:c r="B89" s="39" t="inlineStr">
        <x:is>
          <x:t xml:space="preserve">995</x:t>
        </x:is>
      </x:c>
      <x:c r="C89" s="39" t="n">
        <x:v>9</x:v>
      </x:c>
      <x:c r="D89" s="39" t="inlineStr">
        <x:is>
          <x:t xml:space="preserve">Alice (surname unknown) Wyche</x:t>
        </x:is>
      </x:c>
      <x:c r="E89" s="39" t="inlineStr">
        <x:is>
          <x:t xml:space="preserve">F</x:t>
        </x:is>
      </x:c>
      <x:c r="F89" s="39" t="str"/>
      <x:c r="G89" s="39" t="n"/>
      <x:c r="H89" s="39" t="str"/>
      <x:c r="I89" s="39" t="str"/>
      <x:c r="J89" s="39" t="n"/>
      <x:c r="K89" s="39" t="str"/>
      <x:c r="L89" s="39" t="inlineStr">
        <x:is>
          <x:t xml:space="preserve">Rives / Harrison</x:t>
        </x:is>
      </x:c>
      <x:c r="M89" s="39" t="inlineStr">
        <x:is>
          <x:t xml:space="preserve">B - Strong</x:t>
        </x:is>
      </x:c>
      <x:c r="N89" s="39" t="str"/>
      <x:c r="O89" s="39" t="str"/>
      <x:c r="P89" s="39" t="inlineStr">
        <x:is>
          <x:t xml:space="preserve">Fredric Muller Vollmer → Jan Muller Vollmer → Anne Rives McCormick Muller → Eloise A. “Elvie/Elvia” Slaughter McCormick → Lula Arnelia Rives → Robert Calhoun Rives → Robert Rives → Green Rives → Lucy Wyche → Alice (surname unknown) Wyche</x:t>
        </x:is>
      </x:c>
      <x:c r="Q89" s="39" t="str"/>
      <x:c r="R89" s="39" t="inlineStr">
        <x:is>
          <x:t xml:space="preserve">S11</x:t>
        </x:is>
      </x:c>
    </x:row>
    <x:row r="90">
      <x:c r="A90" s="39" t="inlineStr">
        <x:is>
          <x:t xml:space="preserve">I144</x:t>
        </x:is>
      </x:c>
      <x:c r="B90" s="39" t="inlineStr">
        <x:is>
          <x:t xml:space="preserve">993</x:t>
        </x:is>
      </x:c>
      <x:c r="C90" s="39" t="n">
        <x:v>9</x:v>
      </x:c>
      <x:c r="D90" s="39" t="inlineStr">
        <x:is>
          <x:t xml:space="preserve">Hester (possibly Turner) Rives</x:t>
        </x:is>
      </x:c>
      <x:c r="E90" s="39" t="inlineStr">
        <x:is>
          <x:t xml:space="preserve">F</x:t>
        </x:is>
      </x:c>
      <x:c r="F90" s="39" t="str"/>
      <x:c r="G90" s="39" t="n"/>
      <x:c r="H90" s="39" t="str"/>
      <x:c r="I90" s="39" t="inlineStr">
        <x:is>
          <x:t xml:space="preserve">after 23 Aug 1772</x:t>
        </x:is>
      </x:c>
      <x:c r="J90" s="39" t="n">
        <x:v>1772</x:v>
      </x:c>
      <x:c r="K90" s="39" t="str"/>
      <x:c r="L90" s="39" t="inlineStr">
        <x:is>
          <x:t xml:space="preserve">Rives / Harrison</x:t>
        </x:is>
      </x:c>
      <x:c r="M90" s="39" t="inlineStr">
        <x:is>
          <x:t xml:space="preserve">C - Provisional</x:t>
        </x:is>
      </x:c>
      <x:c r="N90" s="39" t="str"/>
      <x:c r="O90" s="39" t="str"/>
      <x:c r="P90" s="39" t="inlineStr">
        <x:is>
          <x:t xml:space="preserve">Fredric Muller Vollmer → Jan Muller Vollmer → Anne Rives McCormick Muller → Eloise A. “Elvie/Elvia” Slaughter McCormick → Lula Arnelia Rives → Robert Calhoun Rives → Robert Rives → Green Rives → William Rives → Hester (possibly Turner) Rives</x:t>
        </x:is>
      </x:c>
      <x:c r="Q90" s="39" t="inlineStr">
        <x:is>
          <x:t xml:space="preserve">Given name is supported; Turner as surname remains uncertain.</x:t>
        </x:is>
      </x:c>
      <x:c r="R90" s="39" t="inlineStr">
        <x:is>
          <x:t xml:space="preserve">S4, S12</x:t>
        </x:is>
      </x:c>
    </x:row>
    <x:row r="91">
      <x:c r="A91" s="39" t="inlineStr">
        <x:is>
          <x:t xml:space="preserve">I152</x:t>
        </x:is>
      </x:c>
      <x:c r="B91" s="39" t="inlineStr">
        <x:is>
          <x:t xml:space="preserve">994</x:t>
        </x:is>
      </x:c>
      <x:c r="C91" s="39" t="n">
        <x:v>9</x:v>
      </x:c>
      <x:c r="D91" s="39" t="inlineStr">
        <x:is>
          <x:t xml:space="preserve">Peter Wyche</x:t>
        </x:is>
      </x:c>
      <x:c r="E91" s="39" t="inlineStr">
        <x:is>
          <x:t xml:space="preserve">M</x:t>
        </x:is>
      </x:c>
      <x:c r="F91" s="39" t="str"/>
      <x:c r="G91" s="39" t="n"/>
      <x:c r="H91" s="39" t="str"/>
      <x:c r="I91" s="39" t="str"/>
      <x:c r="J91" s="39" t="n"/>
      <x:c r="K91" s="39" t="str"/>
      <x:c r="L91" s="39" t="inlineStr">
        <x:is>
          <x:t xml:space="preserve">Rives / Harrison</x:t>
        </x:is>
      </x:c>
      <x:c r="M91" s="39" t="inlineStr">
        <x:is>
          <x:t xml:space="preserve">B - Strong</x:t>
        </x:is>
      </x:c>
      <x:c r="N91" s="39" t="str"/>
      <x:c r="O91" s="39" t="str"/>
      <x:c r="P91" s="39" t="inlineStr">
        <x:is>
          <x:t xml:space="preserve">Fredric Muller Vollmer → Jan Muller Vollmer → Anne Rives McCormick Muller → Eloise A. “Elvie/Elvia” Slaughter McCormick → Lula Arnelia Rives → Robert Calhoun Rives → Robert Rives → Green Rives → Lucy Wyche → Peter Wyche</x:t>
        </x:is>
      </x:c>
      <x:c r="Q91" s="39" t="str"/>
      <x:c r="R91" s="39" t="inlineStr">
        <x:is>
          <x:t xml:space="preserve">S11</x:t>
        </x:is>
      </x:c>
    </x:row>
    <x:row r="92">
      <x:c r="A92" s="39" t="inlineStr">
        <x:is>
          <x:t xml:space="preserve">I143</x:t>
        </x:is>
      </x:c>
      <x:c r="B92" s="39" t="inlineStr">
        <x:is>
          <x:t xml:space="preserve">992</x:t>
        </x:is>
      </x:c>
      <x:c r="C92" s="39" t="n">
        <x:v>9</x:v>
      </x:c>
      <x:c r="D92" s="39" t="inlineStr">
        <x:is>
          <x:t xml:space="preserve">Timothy Rives</x:t>
        </x:is>
      </x:c>
      <x:c r="E92" s="39" t="inlineStr">
        <x:is>
          <x:t xml:space="preserve">M</x:t>
        </x:is>
      </x:c>
      <x:c r="F92" s="39" t="inlineStr">
        <x:is>
          <x:t xml:space="preserve">about 1710</x:t>
        </x:is>
      </x:c>
      <x:c r="G92" s="39" t="n">
        <x:v>1710</x:v>
      </x:c>
      <x:c r="H92" s="39" t="str"/>
      <x:c r="I92" s="39" t="inlineStr">
        <x:is>
          <x:t xml:space="preserve">about 1772</x:t>
        </x:is>
      </x:c>
      <x:c r="J92" s="39" t="n">
        <x:v>1772</x:v>
      </x:c>
      <x:c r="K92" s="39" t="str"/>
      <x:c r="L92" s="39" t="inlineStr">
        <x:is>
          <x:t xml:space="preserve">Rives / Harrison</x:t>
        </x:is>
      </x:c>
      <x:c r="M92" s="39" t="inlineStr">
        <x:is>
          <x:t xml:space="preserve">B - Strong</x:t>
        </x:is>
      </x:c>
      <x:c r="N92" s="39" t="inlineStr">
        <x:is>
          <x:t xml:space="preserve">Col. William Rives</x:t>
        </x:is>
      </x:c>
      <x:c r="O92" s="39" t="inlineStr">
        <x:is>
          <x:t xml:space="preserve">Elizabeth (possibly Foster) Rives</x:t>
        </x:is>
      </x:c>
      <x:c r="P92" s="39" t="inlineStr">
        <x:is>
          <x:t xml:space="preserve">Fredric Muller Vollmer → Jan Muller Vollmer → Anne Rives McCormick Muller → Eloise A. “Elvie/Elvia” Slaughter McCormick → Lula Arnelia Rives → Robert Calhoun Rives → Robert Rives → Green Rives → William Rives → Timothy Rives</x:t>
        </x:is>
      </x:c>
      <x:c r="Q92" s="39" t="str"/>
      <x:c r="R92" s="39" t="inlineStr">
        <x:is>
          <x:t xml:space="preserve">S4, S11, S12</x:t>
        </x:is>
      </x:c>
    </x:row>
    <x:row r="93">
      <x:c r="A93" s="39" t="inlineStr">
        <x:is>
          <x:t xml:space="preserve">I171</x:t>
        </x:is>
      </x:c>
      <x:c r="B93" s="39" t="inlineStr">
        <x:is>
          <x:t xml:space="preserve">2019</x:t>
        </x:is>
      </x:c>
      <x:c r="C93" s="39" t="n">
        <x:v>10</x:v>
      </x:c>
      <x:c r="D93" s="39" t="inlineStr">
        <x:is>
          <x:t xml:space="preserve">Ann (surname unknown) Godwin</x:t>
        </x:is>
      </x:c>
      <x:c r="E93" s="39" t="inlineStr">
        <x:is>
          <x:t xml:space="preserve">F</x:t>
        </x:is>
      </x:c>
      <x:c r="F93" s="39" t="str"/>
      <x:c r="G93" s="39" t="n"/>
      <x:c r="H93" s="39" t="str"/>
      <x:c r="I93" s="39" t="str"/>
      <x:c r="J93" s="39" t="n"/>
      <x:c r="K93" s="39" t="str"/>
      <x:c r="L93" s="39" t="inlineStr">
        <x:is>
          <x:t xml:space="preserve">Agee / Ford / Bondurant</x:t>
        </x:is>
      </x:c>
      <x:c r="M93" s="39" t="inlineStr">
        <x:is>
          <x:t xml:space="preserve">C - Provisional</x:t>
        </x:is>
      </x:c>
      <x:c r="N93" s="39" t="str"/>
      <x:c r="O93" s="39" t="str"/>
      <x:c r="P93" s="39" t="inlineStr">
        <x:is>
          <x:t xml:space="preserve">Fredric Muller Vollmer → Jan Muller Vollmer → Anne Rives McCormick Muller → Eloise A. “Elvie/Elvia” Slaughter McCormick → Lula Arnelia Rives → Florence Estelle Agee → William Raiford Agee → Noah Agee → James Agee → Ann Godwin (or Goodwin) → Ann (surname unknown) Godwin</x:t>
        </x:is>
      </x:c>
      <x:c r="Q93" s="39" t="str"/>
      <x:c r="R93" s="39" t="inlineStr">
        <x:is>
          <x:t xml:space="preserve">S8</x:t>
        </x:is>
      </x:c>
    </x:row>
    <x:row r="94">
      <x:c r="A94" s="39" t="inlineStr">
        <x:is>
          <x:t xml:space="preserve">I172</x:t>
        </x:is>
      </x:c>
      <x:c r="B94" s="39" t="inlineStr">
        <x:is>
          <x:t xml:space="preserve">2016</x:t>
        </x:is>
      </x:c>
      <x:c r="C94" s="39" t="n">
        <x:v>10</x:v>
      </x:c>
      <x:c r="D94" s="39" t="inlineStr">
        <x:is>
          <x:t xml:space="preserve">Anthony Agee (traditional)</x:t>
        </x:is>
      </x:c>
      <x:c r="E94" s="39" t="inlineStr">
        <x:is>
          <x:t xml:space="preserve">M</x:t>
        </x:is>
      </x:c>
      <x:c r="F94" s="39" t="str"/>
      <x:c r="G94" s="39" t="n"/>
      <x:c r="H94" s="39" t="str"/>
      <x:c r="I94" s="39" t="str"/>
      <x:c r="J94" s="39" t="n"/>
      <x:c r="K94" s="39" t="str"/>
      <x:c r="L94" s="39" t="inlineStr">
        <x:is>
          <x:t xml:space="preserve">Agee / Ford / Bondurant</x:t>
        </x:is>
      </x:c>
      <x:c r="M94" s="39" t="inlineStr">
        <x:is>
          <x:t xml:space="preserve">D - Traditional / disputed</x:t>
        </x:is>
      </x:c>
      <x:c r="N94" s="39" t="str"/>
      <x:c r="O94" s="39" t="str"/>
      <x:c r="P94" s="39" t="inlineStr">
        <x:is>
          <x:t xml:space="preserve">Fredric Muller Vollmer → Jan Muller Vollmer → Anne Rives McCormick Muller → Eloise A. “Elvie/Elvia” Slaughter McCormick → Lula Arnelia Rives → Florence Estelle Agee → William Raiford Agee → Noah Agee → James Agee → Mathieu Agee → Anthony Agee (traditional)</x:t>
        </x:is>
      </x:c>
      <x:c r="Q94" s="39" t="inlineStr">
        <x:is>
          <x:t xml:space="preserve">The claim that Anthony Agee and Judith Chastain were Mathieu’s parents appears in later addenda/tradition and needs independent French records.</x:t>
        </x:is>
      </x:c>
      <x:c r="R94" s="39" t="inlineStr">
        <x:is>
          <x:t xml:space="preserve">S8</x:t>
        </x:is>
      </x:c>
    </x:row>
    <x:row r="95">
      <x:c r="A95" s="39" t="inlineStr">
        <x:is>
          <x:t xml:space="preserve">I170</x:t>
        </x:is>
      </x:c>
      <x:c r="B95" s="39" t="inlineStr">
        <x:is>
          <x:t xml:space="preserve">2018</x:t>
        </x:is>
      </x:c>
      <x:c r="C95" s="39" t="n">
        <x:v>10</x:v>
      </x:c>
      <x:c r="D95" s="39" t="inlineStr">
        <x:is>
          <x:t xml:space="preserve">Isaac Godwin</x:t>
        </x:is>
      </x:c>
      <x:c r="E95" s="39" t="inlineStr">
        <x:is>
          <x:t xml:space="preserve">M</x:t>
        </x:is>
      </x:c>
      <x:c r="F95" s="39" t="str"/>
      <x:c r="G95" s="39" t="n"/>
      <x:c r="H95" s="39" t="str"/>
      <x:c r="I95" s="39" t="str"/>
      <x:c r="J95" s="39" t="n"/>
      <x:c r="K95" s="39" t="str"/>
      <x:c r="L95" s="39" t="inlineStr">
        <x:is>
          <x:t xml:space="preserve">Agee / Ford / Bondurant</x:t>
        </x:is>
      </x:c>
      <x:c r="M95" s="39" t="inlineStr">
        <x:is>
          <x:t xml:space="preserve">C - Provisional</x:t>
        </x:is>
      </x:c>
      <x:c r="N95" s="39" t="str"/>
      <x:c r="O95" s="39" t="str"/>
      <x:c r="P95" s="39" t="inlineStr">
        <x:is>
          <x:t xml:space="preserve">Fredric Muller Vollmer → Jan Muller Vollmer → Anne Rives McCormick Muller → Eloise A. “Elvie/Elvia” Slaughter McCormick → Lula Arnelia Rives → Florence Estelle Agee → William Raiford Agee → Noah Agee → James Agee → Ann Godwin (or Goodwin) → Isaac Godwin</x:t>
        </x:is>
      </x:c>
      <x:c r="Q95" s="39" t="str"/>
      <x:c r="R95" s="39" t="inlineStr">
        <x:is>
          <x:t xml:space="preserve">S8</x:t>
        </x:is>
      </x:c>
    </x:row>
    <x:row r="96">
      <x:c r="A96" s="39" t="inlineStr">
        <x:is>
          <x:t xml:space="preserve">I174</x:t>
        </x:is>
      </x:c>
      <x:c r="B96" s="39" t="inlineStr">
        <x:is>
          <x:t xml:space="preserve">2022</x:t>
        </x:is>
      </x:c>
      <x:c r="C96" s="39" t="n">
        <x:v>10</x:v>
      </x:c>
      <x:c r="D96" s="39" t="inlineStr">
        <x:is>
          <x:t xml:space="preserve">Jean Pierre “John Peter” Bondurant</x:t>
        </x:is>
      </x:c>
      <x:c r="E96" s="39" t="inlineStr">
        <x:is>
          <x:t xml:space="preserve">M</x:t>
        </x:is>
      </x:c>
      <x:c r="F96" s="39" t="str"/>
      <x:c r="G96" s="39" t="n"/>
      <x:c r="H96" s="39" t="inlineStr">
        <x:is>
          <x:t xml:space="preserve">near Lyon, France</x:t>
        </x:is>
      </x:c>
      <x:c r="I96" s="39" t="str"/>
      <x:c r="J96" s="39" t="n"/>
      <x:c r="K96" s="39" t="inlineStr">
        <x:is>
          <x:t xml:space="preserve">Virginia</x:t>
        </x:is>
      </x:c>
      <x:c r="L96" s="39" t="inlineStr">
        <x:is>
          <x:t xml:space="preserve">Agee / Ford / Bondurant</x:t>
        </x:is>
      </x:c>
      <x:c r="M96" s="39" t="inlineStr">
        <x:is>
          <x:t xml:space="preserve">C - Provisional</x:t>
        </x:is>
      </x:c>
      <x:c r="N96" s="39" t="str"/>
      <x:c r="O96" s="39" t="str"/>
      <x:c r="P96" s="39" t="inlineStr">
        <x:is>
          <x:t xml:space="preserve">Fredric Muller Vollmer → Jan Muller Vollmer → Anne Rives McCormick Muller → Eloise A. “Elvie/Elvia” Slaughter McCormick → Lula Arnelia Rives → Florence Estelle Agee → William Raiford Agee → Noah Agee → Mary (possibly Elizabeth) Ford → Ann Bondurant → Jean Pierre “John Peter” Bondurant</x:t>
        </x:is>
      </x:c>
      <x:c r="Q96" s="39" t="inlineStr">
        <x:is>
          <x:t xml:space="preserve">The Agee family history identifies him as Ann Bondurant’s father and describes his Huguenot migration.</x:t>
        </x:is>
      </x:c>
      <x:c r="R96" s="39" t="inlineStr">
        <x:is>
          <x:t xml:space="preserve">S8</x:t>
        </x:is>
      </x:c>
    </x:row>
    <x:row r="97">
      <x:c r="A97" s="39" t="inlineStr">
        <x:is>
          <x:t xml:space="preserve">I173</x:t>
        </x:is>
      </x:c>
      <x:c r="B97" s="39" t="inlineStr">
        <x:is>
          <x:t xml:space="preserve">2017</x:t>
        </x:is>
      </x:c>
      <x:c r="C97" s="39" t="n">
        <x:v>10</x:v>
      </x:c>
      <x:c r="D97" s="39" t="inlineStr">
        <x:is>
          <x:t xml:space="preserve">Judith Chastain (traditional)</x:t>
        </x:is>
      </x:c>
      <x:c r="E97" s="39" t="inlineStr">
        <x:is>
          <x:t xml:space="preserve">F</x:t>
        </x:is>
      </x:c>
      <x:c r="F97" s="39" t="str"/>
      <x:c r="G97" s="39" t="n"/>
      <x:c r="H97" s="39" t="str"/>
      <x:c r="I97" s="39" t="str"/>
      <x:c r="J97" s="39" t="n"/>
      <x:c r="K97" s="39" t="str"/>
      <x:c r="L97" s="39" t="inlineStr">
        <x:is>
          <x:t xml:space="preserve">Agee / Ford / Bondurant</x:t>
        </x:is>
      </x:c>
      <x:c r="M97" s="39" t="inlineStr">
        <x:is>
          <x:t xml:space="preserve">D - Traditional / disputed</x:t>
        </x:is>
      </x:c>
      <x:c r="N97" s="39" t="str"/>
      <x:c r="O97" s="39" t="str"/>
      <x:c r="P97" s="39" t="inlineStr">
        <x:is>
          <x:t xml:space="preserve">Fredric Muller Vollmer → Jan Muller Vollmer → Anne Rives McCormick Muller → Eloise A. “Elvie/Elvia” Slaughter McCormick → Lula Arnelia Rives → Florence Estelle Agee → William Raiford Agee → Noah Agee → James Agee → Mathieu Agee → Judith Chastain (traditional)</x:t>
        </x:is>
      </x:c>
      <x:c r="Q97" s="39" t="inlineStr">
        <x:is>
          <x:t xml:space="preserve">Traditional mother of Mathieu Agee; not treated as proved.</x:t>
        </x:is>
      </x:c>
      <x:c r="R97" s="39" t="inlineStr">
        <x:is>
          <x:t xml:space="preserve">S8</x:t>
        </x:is>
      </x:c>
    </x:row>
    <x:row r="98">
      <x:c r="A98" s="39" t="inlineStr">
        <x:is>
          <x:t xml:space="preserve">I050</x:t>
        </x:is>
      </x:c>
      <x:c r="B98" s="39" t="inlineStr">
        <x:is>
          <x:t xml:space="preserve">1680</x:t>
        </x:is>
      </x:c>
      <x:c r="C98" s="39" t="n">
        <x:v>10</x:v>
      </x:c>
      <x:c r="D98" s="39" t="inlineStr">
        <x:is>
          <x:t xml:space="preserve">Caleb Stone</x:t>
        </x:is>
      </x:c>
      <x:c r="E98" s="39" t="inlineStr">
        <x:is>
          <x:t xml:space="preserve">M</x:t>
        </x:is>
      </x:c>
      <x:c r="F98" s="39" t="inlineStr">
        <x:is>
          <x:t xml:space="preserve">10 Nov 1685</x:t>
        </x:is>
      </x:c>
      <x:c r="G98" s="39" t="n">
        <x:v>1685</x:v>
      </x:c>
      <x:c r="H98" s="39" t="str"/>
      <x:c r="I98" s="39" t="inlineStr">
        <x:is>
          <x:t xml:space="preserve">25 May 1765</x:t>
        </x:is>
      </x:c>
      <x:c r="J98" s="39" t="n">
        <x:v>1765</x:v>
      </x:c>
      <x:c r="K98" s="39" t="str"/>
      <x:c r="L98" s="39" t="inlineStr">
        <x:is>
          <x:t xml:space="preserve">Lee / New England</x:t>
        </x:is>
      </x:c>
      <x:c r="M98" s="39" t="inlineStr">
        <x:is>
          <x:t xml:space="preserve">B - Strong</x:t>
        </x:is>
      </x:c>
      <x:c r="N98" s="39" t="inlineStr">
        <x:is>
          <x:t xml:space="preserve">Nathaniel Stone</x:t>
        </x:is>
      </x:c>
      <x:c r="O98" s="39" t="inlineStr">
        <x:is>
          <x:t xml:space="preserve">Mary Bartlett</x:t>
        </x:is>
      </x:c>
      <x:c r="P98" s="39" t="inlineStr">
        <x:is>
          <x:t xml:space="preserve">Fredric Muller Vollmer → Jan Muller Vollmer → Arthur John Muller → Elma Anna Lee → Elmer Ellsworth Lee → Hubbard Stone Lee → Grace Stone → John Evarts Stone → Asher Stone → Caleb Stone Jr. → Caleb Stone</x:t>
        </x:is>
      </x:c>
      <x:c r="Q98" s="39" t="str"/>
      <x:c r="R98" s="39" t="inlineStr">
        <x:is>
          <x:t xml:space="preserve">S7</x:t>
        </x:is>
      </x:c>
    </x:row>
    <x:row r="99">
      <x:c r="A99" s="39" t="inlineStr">
        <x:is>
          <x:t xml:space="preserve">I047</x:t>
        </x:is>
      </x:c>
      <x:c r="B99" s="39" t="inlineStr">
        <x:is>
          <x:t xml:space="preserve">1673</x:t>
        </x:is>
      </x:c>
      <x:c r="C99" s="39" t="n">
        <x:v>10</x:v>
      </x:c>
      <x:c r="D99" s="39" t="inlineStr">
        <x:is>
          <x:t xml:space="preserve">Elizabeth Peck</x:t>
        </x:is>
      </x:c>
      <x:c r="E99" s="39" t="inlineStr">
        <x:is>
          <x:t xml:space="preserve">F</x:t>
        </x:is>
      </x:c>
      <x:c r="F99" s="39" t="str"/>
      <x:c r="G99" s="39" t="n"/>
      <x:c r="H99" s="39" t="str"/>
      <x:c r="I99" s="39" t="str"/>
      <x:c r="J99" s="39" t="n"/>
      <x:c r="K99" s="39" t="str"/>
      <x:c r="L99" s="39" t="inlineStr">
        <x:is>
          <x:t xml:space="preserve">Lee / New England</x:t>
        </x:is>
      </x:c>
      <x:c r="M99" s="39" t="inlineStr">
        <x:is>
          <x:t xml:space="preserve">B - Strong</x:t>
        </x:is>
      </x:c>
      <x:c r="N99" s="39" t="str"/>
      <x:c r="O99" s="39" t="str"/>
      <x:c r="P99" s="39" t="inlineStr">
        <x:is>
          <x:t xml:space="preserve">Fredric Muller Vollmer → Jan Muller Vollmer → Arthur John Muller → Elma Anna Lee → Elmer Ellsworth Lee → Hubbard Stone Lee → Elon Lee → Eunice Hotchkiss → Mark Hotchkiss → Joseph Hotchkiss → Elizabeth Peck</x:t>
        </x:is>
      </x:c>
      <x:c r="Q99" s="39" t="inlineStr">
        <x:is>
          <x:t xml:space="preserve">Earlier parentage not supplied in the consulted Ahnentafel.</x:t>
        </x:is>
      </x:c>
      <x:c r="R99" s="39" t="inlineStr">
        <x:is>
          <x:t xml:space="preserve">S7</x:t>
        </x:is>
      </x:c>
    </x:row>
    <x:row r="100">
      <x:c r="A100" s="39" t="inlineStr">
        <x:is>
          <x:t xml:space="preserve">I056</x:t>
        </x:is>
      </x:c>
      <x:c r="B100" s="39" t="inlineStr">
        <x:is>
          <x:t xml:space="preserve">1687</x:t>
        </x:is>
      </x:c>
      <x:c r="C100" s="39" t="n">
        <x:v>10</x:v>
      </x:c>
      <x:c r="D100" s="39" t="inlineStr">
        <x:is>
          <x:t xml:space="preserve">Hannah Evarts</x:t>
        </x:is>
      </x:c>
      <x:c r="E100" s="39" t="inlineStr">
        <x:is>
          <x:t xml:space="preserve">F</x:t>
        </x:is>
      </x:c>
      <x:c r="F100" s="39" t="str"/>
      <x:c r="G100" s="39" t="n"/>
      <x:c r="H100" s="39" t="str"/>
      <x:c r="I100" s="39" t="str"/>
      <x:c r="J100" s="39" t="n"/>
      <x:c r="K100" s="39" t="str"/>
      <x:c r="L100" s="39" t="inlineStr">
        <x:is>
          <x:t xml:space="preserve">Lee / New England</x:t>
        </x:is>
      </x:c>
      <x:c r="M100" s="39" t="inlineStr">
        <x:is>
          <x:t xml:space="preserve">B - Strong</x:t>
        </x:is>
      </x:c>
      <x:c r="N100" s="39" t="str"/>
      <x:c r="O100" s="39" t="str"/>
      <x:c r="P100" s="39" t="inlineStr">
        <x:is>
          <x:t xml:space="preserve">Fredric Muller Vollmer → Jan Muller Vollmer → Arthur John Muller → Elma Anna Lee → Elmer Ellsworth Lee → Hubbard Stone Lee → Grace Stone → John Evarts Stone → Carine Ward → Abigail Crampton → Hannah Evarts</x:t>
        </x:is>
      </x:c>
      <x:c r="Q100" s="39" t="str"/>
      <x:c r="R100" s="39" t="inlineStr">
        <x:is>
          <x:t xml:space="preserve">S7</x:t>
        </x:is>
      </x:c>
    </x:row>
    <x:row r="101">
      <x:c r="A101" s="39" t="inlineStr">
        <x:is>
          <x:t xml:space="preserve">I048</x:t>
        </x:is>
      </x:c>
      <x:c r="B101" s="39" t="inlineStr">
        <x:is>
          <x:t xml:space="preserve">1674</x:t>
        </x:is>
      </x:c>
      <x:c r="C101" s="39" t="n">
        <x:v>10</x:v>
      </x:c>
      <x:c r="D101" s="39" t="inlineStr">
        <x:is>
          <x:t xml:space="preserve">Isaac Cruttenden</x:t>
        </x:is>
      </x:c>
      <x:c r="E101" s="39" t="inlineStr">
        <x:is>
          <x:t xml:space="preserve">M</x:t>
        </x:is>
      </x:c>
      <x:c r="F101" s="39" t="inlineStr">
        <x:is>
          <x:t xml:space="preserve">about 1643</x:t>
        </x:is>
      </x:c>
      <x:c r="G101" s="39" t="n">
        <x:v>1643</x:v>
      </x:c>
      <x:c r="H101" s="39" t="str"/>
      <x:c r="I101" s="39" t="inlineStr">
        <x:is>
          <x:t xml:space="preserve">13 Jul 1685</x:t>
        </x:is>
      </x:c>
      <x:c r="J101" s="39" t="n">
        <x:v>1685</x:v>
      </x:c>
      <x:c r="K101" s="39" t="str"/>
      <x:c r="L101" s="39" t="inlineStr">
        <x:is>
          <x:t xml:space="preserve">Lee / New England</x:t>
        </x:is>
      </x:c>
      <x:c r="M101" s="39" t="inlineStr">
        <x:is>
          <x:t xml:space="preserve">B - Strong</x:t>
        </x:is>
      </x:c>
      <x:c r="N101" s="39" t="inlineStr">
        <x:is>
          <x:t xml:space="preserve">Abraham Cruttenden</x:t>
        </x:is>
      </x:c>
      <x:c r="O101" s="39" t="inlineStr">
        <x:is>
          <x:t xml:space="preserve">Mary (surname unknown), wife of Abraham Cruttenden</x:t>
        </x:is>
      </x:c>
      <x:c r="P101" s="39" t="inlineStr">
        <x:is>
          <x:t xml:space="preserve">Fredric Muller Vollmer → Jan Muller Vollmer → Arthur John Muller → Elma Anna Lee → Elmer Ellsworth Lee → Hubbard Stone Lee → Elon Lee → Eunice Hotchkiss → Mark Hotchkiss → Hannah Cruttenden → Isaac Cruttenden</x:t>
        </x:is>
      </x:c>
      <x:c r="Q101" s="39" t="str"/>
      <x:c r="R101" s="39" t="inlineStr">
        <x:is>
          <x:t xml:space="preserve">S7</x:t>
        </x:is>
      </x:c>
    </x:row>
    <x:row r="102">
      <x:c r="A102" s="39" t="inlineStr">
        <x:is>
          <x:t xml:space="preserve">I052</x:t>
        </x:is>
      </x:c>
      <x:c r="B102" s="39" t="inlineStr">
        <x:is>
          <x:t xml:space="preserve">1682</x:t>
        </x:is>
      </x:c>
      <x:c r="C102" s="39" t="n">
        <x:v>10</x:v>
      </x:c>
      <x:c r="D102" s="39" t="inlineStr">
        <x:is>
          <x:t xml:space="preserve">James Evarts</x:t>
        </x:is>
      </x:c>
      <x:c r="E102" s="39" t="inlineStr">
        <x:is>
          <x:t xml:space="preserve">M</x:t>
        </x:is>
      </x:c>
      <x:c r="F102" s="39" t="inlineStr">
        <x:is>
          <x:t xml:space="preserve">18 Feb 1672</x:t>
        </x:is>
      </x:c>
      <x:c r="G102" s="39" t="n">
        <x:v>1672</x:v>
      </x:c>
      <x:c r="H102" s="39" t="str"/>
      <x:c r="I102" s="39" t="inlineStr">
        <x:is>
          <x:t xml:space="preserve">6 Apr 1751</x:t>
        </x:is>
      </x:c>
      <x:c r="J102" s="39" t="n">
        <x:v>1751</x:v>
      </x:c>
      <x:c r="K102" s="39" t="str"/>
      <x:c r="L102" s="39" t="inlineStr">
        <x:is>
          <x:t xml:space="preserve">Lee / New England</x:t>
        </x:is>
      </x:c>
      <x:c r="M102" s="39" t="inlineStr">
        <x:is>
          <x:t xml:space="preserve">B - Strong</x:t>
        </x:is>
      </x:c>
      <x:c r="N102" s="39" t="inlineStr">
        <x:is>
          <x:t xml:space="preserve">Daniel Evarts</x:t>
        </x:is>
      </x:c>
      <x:c r="O102" s="39" t="inlineStr">
        <x:is>
          <x:t xml:space="preserve">Rebecca Dowd</x:t>
        </x:is>
      </x:c>
      <x:c r="P102" s="39" t="inlineStr">
        <x:is>
          <x:t xml:space="preserve">Fredric Muller Vollmer → Jan Muller Vollmer → Arthur John Muller → Elma Anna Lee → Elmer Ellsworth Lee → Hubbard Stone Lee → Grace Stone → John Evarts Stone → Asher Stone → Rebecca Evarts → James Evarts</x:t>
        </x:is>
      </x:c>
      <x:c r="Q102" s="39" t="str"/>
      <x:c r="R102" s="39" t="inlineStr">
        <x:is>
          <x:t xml:space="preserve">S7</x:t>
        </x:is>
      </x:c>
    </x:row>
    <x:row r="103">
      <x:c r="A103" s="39" t="inlineStr">
        <x:is>
          <x:t xml:space="preserve">I055</x:t>
        </x:is>
      </x:c>
      <x:c r="B103" s="39" t="inlineStr">
        <x:is>
          <x:t xml:space="preserve">1686</x:t>
        </x:is>
      </x:c>
      <x:c r="C103" s="39" t="n">
        <x:v>10</x:v>
      </x:c>
      <x:c r="D103" s="39" t="inlineStr">
        <x:is>
          <x:t xml:space="preserve">John Crampton</x:t>
        </x:is>
      </x:c>
      <x:c r="E103" s="39" t="inlineStr">
        <x:is>
          <x:t xml:space="preserve">M</x:t>
        </x:is>
      </x:c>
      <x:c r="F103" s="39" t="str"/>
      <x:c r="G103" s="39" t="n"/>
      <x:c r="H103" s="39" t="str"/>
      <x:c r="I103" s="39" t="str"/>
      <x:c r="J103" s="39" t="n"/>
      <x:c r="K103" s="39" t="str"/>
      <x:c r="L103" s="39" t="inlineStr">
        <x:is>
          <x:t xml:space="preserve">Lee / New England</x:t>
        </x:is>
      </x:c>
      <x:c r="M103" s="39" t="inlineStr">
        <x:is>
          <x:t xml:space="preserve">B - Strong</x:t>
        </x:is>
      </x:c>
      <x:c r="N103" s="39" t="str"/>
      <x:c r="O103" s="39" t="str"/>
      <x:c r="P103" s="39" t="inlineStr">
        <x:is>
          <x:t xml:space="preserve">Fredric Muller Vollmer → Jan Muller Vollmer → Arthur John Muller → Elma Anna Lee → Elmer Ellsworth Lee → Hubbard Stone Lee → Grace Stone → John Evarts Stone → Carine Ward → Abigail Crampton → John Crampton</x:t>
        </x:is>
      </x:c>
      <x:c r="Q103" s="39" t="str"/>
      <x:c r="R103" s="39" t="inlineStr">
        <x:is>
          <x:t xml:space="preserve">S7</x:t>
        </x:is>
      </x:c>
    </x:row>
    <x:row r="104">
      <x:c r="A104" s="39" t="inlineStr">
        <x:is>
          <x:t xml:space="preserve">I046</x:t>
        </x:is>
      </x:c>
      <x:c r="B104" s="39" t="inlineStr">
        <x:is>
          <x:t xml:space="preserve">1672</x:t>
        </x:is>
      </x:c>
      <x:c r="C104" s="39" t="n">
        <x:v>10</x:v>
      </x:c>
      <x:c r="D104" s="39" t="inlineStr">
        <x:is>
          <x:t xml:space="preserve">John Hotchkiss</x:t>
        </x:is>
      </x:c>
      <x:c r="E104" s="39" t="inlineStr">
        <x:is>
          <x:t xml:space="preserve">M</x:t>
        </x:is>
      </x:c>
      <x:c r="F104" s="39" t="inlineStr">
        <x:is>
          <x:t xml:space="preserve">about 1643</x:t>
        </x:is>
      </x:c>
      <x:c r="G104" s="39" t="n">
        <x:v>1643</x:v>
      </x:c>
      <x:c r="H104" s="39" t="str"/>
      <x:c r="I104" s="39" t="inlineStr">
        <x:is>
          <x:t xml:space="preserve">by 23 Sep 1689</x:t>
        </x:is>
      </x:c>
      <x:c r="J104" s="39" t="n">
        <x:v>1689</x:v>
      </x:c>
      <x:c r="K104" s="39" t="str"/>
      <x:c r="L104" s="39" t="inlineStr">
        <x:is>
          <x:t xml:space="preserve">Lee / New England</x:t>
        </x:is>
      </x:c>
      <x:c r="M104" s="39" t="inlineStr">
        <x:is>
          <x:t xml:space="preserve">B - Strong</x:t>
        </x:is>
      </x:c>
      <x:c r="N104" s="39" t="inlineStr">
        <x:is>
          <x:t xml:space="preserve">Samuel Hotchkiss</x:t>
        </x:is>
      </x:c>
      <x:c r="O104" s="39" t="inlineStr">
        <x:is>
          <x:t xml:space="preserve">Elizabeth Cleverly</x:t>
        </x:is>
      </x:c>
      <x:c r="P104" s="39" t="inlineStr">
        <x:is>
          <x:t xml:space="preserve">Fredric Muller Vollmer → Jan Muller Vollmer → Arthur John Muller → Elma Anna Lee → Elmer Ellsworth Lee → Hubbard Stone Lee → Elon Lee → Eunice Hotchkiss → Mark Hotchkiss → Joseph Hotchkiss → John Hotchkiss</x:t>
        </x:is>
      </x:c>
      <x:c r="Q104" s="39" t="str"/>
      <x:c r="R104" s="39" t="inlineStr">
        <x:is>
          <x:t xml:space="preserve">S7</x:t>
        </x:is>
      </x:c>
    </x:row>
    <x:row r="105">
      <x:c r="A105" s="39" t="inlineStr">
        <x:is>
          <x:t xml:space="preserve">I054</x:t>
        </x:is>
      </x:c>
      <x:c r="B105" s="39" t="inlineStr">
        <x:is>
          <x:t xml:space="preserve">1685</x:t>
        </x:is>
      </x:c>
      <x:c r="C105" s="39" t="n">
        <x:v>10</x:v>
      </x:c>
      <x:c r="D105" s="39" t="inlineStr">
        <x:is>
          <x:t xml:space="preserve">Lettice Beach</x:t>
        </x:is>
      </x:c>
      <x:c r="E105" s="39" t="inlineStr">
        <x:is>
          <x:t xml:space="preserve">F</x:t>
        </x:is>
      </x:c>
      <x:c r="F105" s="39" t="inlineStr">
        <x:is>
          <x:t xml:space="preserve">24 Dec 1679</x:t>
        </x:is>
      </x:c>
      <x:c r="G105" s="39" t="n">
        <x:v>1679</x:v>
      </x:c>
      <x:c r="H105" s="39" t="inlineStr">
        <x:is>
          <x:t xml:space="preserve">Wallingford, New Haven County, Connecticut</x:t>
        </x:is>
      </x:c>
      <x:c r="I105" s="39" t="str"/>
      <x:c r="J105" s="39" t="n"/>
      <x:c r="K105" s="39" t="str"/>
      <x:c r="L105" s="39" t="inlineStr">
        <x:is>
          <x:t xml:space="preserve">Lee / New England</x:t>
        </x:is>
      </x:c>
      <x:c r="M105" s="39" t="inlineStr">
        <x:is>
          <x:t xml:space="preserve">B - Strong</x:t>
        </x:is>
      </x:c>
      <x:c r="N105" s="39" t="inlineStr">
        <x:is>
          <x:t xml:space="preserve">John Beach</x:t>
        </x:is>
      </x:c>
      <x:c r="O105" s="39" t="inlineStr">
        <x:is>
          <x:t xml:space="preserve">Mary Royce</x:t>
        </x:is>
      </x:c>
      <x:c r="P105" s="39" t="inlineStr">
        <x:is>
          <x:t xml:space="preserve">Fredric Muller Vollmer → Jan Muller Vollmer → Arthur John Muller → Elma Anna Lee → Elmer Ellsworth Lee → Hubbard Stone Lee → Grace Stone → John Evarts Stone → Carine Ward → William Ward → Lettice Beach</x:t>
        </x:is>
      </x:c>
      <x:c r="Q105" s="39" t="str"/>
      <x:c r="R105" s="39" t="inlineStr">
        <x:is>
          <x:t xml:space="preserve">S7</x:t>
        </x:is>
      </x:c>
    </x:row>
    <x:row r="106">
      <x:c r="A106" s="39" t="inlineStr">
        <x:is>
          <x:t xml:space="preserve">I049</x:t>
        </x:is>
      </x:c>
      <x:c r="B106" s="39" t="inlineStr">
        <x:is>
          <x:t xml:space="preserve">1675</x:t>
        </x:is>
      </x:c>
      <x:c r="C106" s="39" t="n">
        <x:v>10</x:v>
      </x:c>
      <x:c r="D106" s="39" t="inlineStr">
        <x:is>
          <x:t xml:space="preserve">Lydia Thompson</x:t>
        </x:is>
      </x:c>
      <x:c r="E106" s="39" t="inlineStr">
        <x:is>
          <x:t xml:space="preserve">F</x:t>
        </x:is>
      </x:c>
      <x:c r="F106" s="39" t="inlineStr">
        <x:is>
          <x:t xml:space="preserve">baptized 24 Jul 1647</x:t>
        </x:is>
      </x:c>
      <x:c r="G106" s="39" t="n">
        <x:v>1647</x:v>
      </x:c>
      <x:c r="H106" s="39" t="inlineStr">
        <x:is>
          <x:t xml:space="preserve">New Haven, Connecticut</x:t>
        </x:is>
      </x:c>
      <x:c r="I106" s="39" t="inlineStr">
        <x:is>
          <x:t xml:space="preserve">Dec 1729</x:t>
        </x:is>
      </x:c>
      <x:c r="J106" s="39" t="n">
        <x:v>1729</x:v>
      </x:c>
      <x:c r="K106" s="39" t="str"/>
      <x:c r="L106" s="39" t="inlineStr">
        <x:is>
          <x:t xml:space="preserve">Lee / New England</x:t>
        </x:is>
      </x:c>
      <x:c r="M106" s="39" t="inlineStr">
        <x:is>
          <x:t xml:space="preserve">B - Strong</x:t>
        </x:is>
      </x:c>
      <x:c r="N106" s="39" t="inlineStr">
        <x:is>
          <x:t xml:space="preserve">Anthony Thompson</x:t>
        </x:is>
      </x:c>
      <x:c r="O106" s="39" t="inlineStr">
        <x:is>
          <x:t xml:space="preserve">Katherine (surname unknown), wife of Anthony Thompson</x:t>
        </x:is>
      </x:c>
      <x:c r="P106" s="39" t="inlineStr">
        <x:is>
          <x:t xml:space="preserve">Fredric Muller Vollmer → Jan Muller Vollmer → Arthur John Muller → Elma Anna Lee → Elmer Ellsworth Lee → Hubbard Stone Lee → Elon Lee → Eunice Hotchkiss → Mark Hotchkiss → Hannah Cruttenden → Lydia Thompson</x:t>
        </x:is>
      </x:c>
      <x:c r="Q106" s="39" t="str"/>
      <x:c r="R106" s="39" t="inlineStr">
        <x:is>
          <x:t xml:space="preserve">S7</x:t>
        </x:is>
      </x:c>
    </x:row>
    <x:row r="107">
      <x:c r="A107" s="39" t="inlineStr">
        <x:is>
          <x:t xml:space="preserve">I051</x:t>
        </x:is>
      </x:c>
      <x:c r="B107" s="39" t="inlineStr">
        <x:is>
          <x:t xml:space="preserve">1681</x:t>
        </x:is>
      </x:c>
      <x:c r="C107" s="39" t="n">
        <x:v>10</x:v>
      </x:c>
      <x:c r="D107" s="39" t="inlineStr">
        <x:is>
          <x:t xml:space="preserve">Sarah Meigs</x:t>
        </x:is>
      </x:c>
      <x:c r="E107" s="39" t="inlineStr">
        <x:is>
          <x:t xml:space="preserve">F</x:t>
        </x:is>
      </x:c>
      <x:c r="F107" s="39" t="inlineStr">
        <x:is>
          <x:t xml:space="preserve">about 1691</x:t>
        </x:is>
      </x:c>
      <x:c r="G107" s="39" t="n">
        <x:v>1691</x:v>
      </x:c>
      <x:c r="H107" s="39" t="str"/>
      <x:c r="I107" s="39" t="inlineStr">
        <x:is>
          <x:t xml:space="preserve">4 May 1775</x:t>
        </x:is>
      </x:c>
      <x:c r="J107" s="39" t="n">
        <x:v>1775</x:v>
      </x:c>
      <x:c r="K107" s="39" t="str"/>
      <x:c r="L107" s="39" t="inlineStr">
        <x:is>
          <x:t xml:space="preserve">Lee / New England</x:t>
        </x:is>
      </x:c>
      <x:c r="M107" s="39" t="inlineStr">
        <x:is>
          <x:t xml:space="preserve">B - Strong</x:t>
        </x:is>
      </x:c>
      <x:c r="N107" s="39" t="inlineStr">
        <x:is>
          <x:t xml:space="preserve">John Meigs</x:t>
        </x:is>
      </x:c>
      <x:c r="O107" s="39" t="inlineStr">
        <x:is>
          <x:t xml:space="preserve">Sarah Wilcockson</x:t>
        </x:is>
      </x:c>
      <x:c r="P107" s="39" t="inlineStr">
        <x:is>
          <x:t xml:space="preserve">Fredric Muller Vollmer → Jan Muller Vollmer → Arthur John Muller → Elma Anna Lee → Elmer Ellsworth Lee → Hubbard Stone Lee → Grace Stone → John Evarts Stone → Asher Stone → Caleb Stone Jr. → Sarah Meigs</x:t>
        </x:is>
      </x:c>
      <x:c r="Q107" s="39" t="str"/>
      <x:c r="R107" s="39" t="inlineStr">
        <x:is>
          <x:t xml:space="preserve">S7</x:t>
        </x:is>
      </x:c>
    </x:row>
    <x:row r="108">
      <x:c r="A108" s="39" t="inlineStr">
        <x:is>
          <x:t xml:space="preserve">I045</x:t>
        </x:is>
      </x:c>
      <x:c r="B108" s="39" t="inlineStr">
        <x:is>
          <x:t xml:space="preserve">1666</x:t>
        </x:is>
      </x:c>
      <x:c r="C108" s="39" t="n">
        <x:v>10</x:v>
      </x:c>
      <x:c r="D108" s="39" t="inlineStr">
        <x:is>
          <x:t xml:space="preserve">Thomas Stevens</x:t>
        </x:is>
      </x:c>
      <x:c r="E108" s="39" t="inlineStr">
        <x:is>
          <x:t xml:space="preserve">M</x:t>
        </x:is>
      </x:c>
      <x:c r="F108" s="39" t="str"/>
      <x:c r="G108" s="39" t="n"/>
      <x:c r="H108" s="39" t="str"/>
      <x:c r="I108" s="39" t="str"/>
      <x:c r="J108" s="39" t="n"/>
      <x:c r="K108" s="39" t="str"/>
      <x:c r="L108" s="39" t="inlineStr">
        <x:is>
          <x:t xml:space="preserve">Lee / New England</x:t>
        </x:is>
      </x:c>
      <x:c r="M108" s="39" t="inlineStr">
        <x:is>
          <x:t xml:space="preserve">B - Strong</x:t>
        </x:is>
      </x:c>
      <x:c r="N108" s="39" t="str"/>
      <x:c r="O108" s="39" t="str"/>
      <x:c r="P108" s="39" t="inlineStr">
        <x:is>
          <x:t xml:space="preserve">Fredric Muller Vollmer → Jan Muller Vollmer → Arthur John Muller → Elma Anna Lee → Elmer Ellsworth Lee → Hubbard Stone Lee → Elon Lee → William Lee → Ebenezer Lee → Abigail Stevens → Thomas Stevens</x:t>
        </x:is>
      </x:c>
      <x:c r="Q108" s="39" t="str"/>
      <x:c r="R108" s="39" t="inlineStr">
        <x:is>
          <x:t xml:space="preserve">S7</x:t>
        </x:is>
      </x:c>
    </x:row>
    <x:row r="109">
      <x:c r="A109" s="39" t="inlineStr">
        <x:is>
          <x:t xml:space="preserve">I053</x:t>
        </x:is>
      </x:c>
      <x:c r="B109" s="39" t="inlineStr">
        <x:is>
          <x:t xml:space="preserve">1684</x:t>
        </x:is>
      </x:c>
      <x:c r="C109" s="39" t="n">
        <x:v>10</x:v>
      </x:c>
      <x:c r="D109" s="39" t="inlineStr">
        <x:is>
          <x:t xml:space="preserve">William Ward</x:t>
        </x:is>
      </x:c>
      <x:c r="E109" s="39" t="inlineStr">
        <x:is>
          <x:t xml:space="preserve">M</x:t>
        </x:is>
      </x:c>
      <x:c r="F109" s="39" t="inlineStr">
        <x:is>
          <x:t xml:space="preserve">18 Oct 1678</x:t>
        </x:is>
      </x:c>
      <x:c r="G109" s="39" t="n">
        <x:v>1678</x:v>
      </x:c>
      <x:c r="H109" s="39" t="inlineStr">
        <x:is>
          <x:t xml:space="preserve">Wallingford, New Haven County, Connecticut</x:t>
        </x:is>
      </x:c>
      <x:c r="I109" s="39" t="inlineStr">
        <x:is>
          <x:t xml:space="preserve">19 Dec 1767</x:t>
        </x:is>
      </x:c>
      <x:c r="J109" s="39" t="n">
        <x:v>1767</x:v>
      </x:c>
      <x:c r="K109" s="39" t="inlineStr">
        <x:is>
          <x:t xml:space="preserve">Wallingford, New Haven County, Connecticut</x:t>
        </x:is>
      </x:c>
      <x:c r="L109" s="39" t="inlineStr">
        <x:is>
          <x:t xml:space="preserve">Lee / New England</x:t>
        </x:is>
      </x:c>
      <x:c r="M109" s="39" t="inlineStr">
        <x:is>
          <x:t xml:space="preserve">B - Strong</x:t>
        </x:is>
      </x:c>
      <x:c r="N109" s="39" t="inlineStr">
        <x:is>
          <x:t xml:space="preserve">Andrew Ward Jr.</x:t>
        </x:is>
      </x:c>
      <x:c r="O109" s="39" t="inlineStr">
        <x:is>
          <x:t xml:space="preserve">Trial Meigs</x:t>
        </x:is>
      </x:c>
      <x:c r="P109" s="39" t="inlineStr">
        <x:is>
          <x:t xml:space="preserve">Fredric Muller Vollmer → Jan Muller Vollmer → Arthur John Muller → Elma Anna Lee → Elmer Ellsworth Lee → Hubbard Stone Lee → Grace Stone → John Evarts Stone → Carine Ward → William Ward → William Ward</x:t>
        </x:is>
      </x:c>
      <x:c r="Q109" s="39" t="str"/>
      <x:c r="R109" s="39" t="inlineStr">
        <x:is>
          <x:t xml:space="preserve">S7</x:t>
        </x:is>
      </x:c>
    </x:row>
    <x:row r="110">
      <x:c r="A110" s="39" t="inlineStr">
        <x:is>
          <x:t xml:space="preserve">I149</x:t>
        </x:is>
      </x:c>
      <x:c r="B110" s="39" t="inlineStr">
        <x:is>
          <x:t xml:space="preserve">1984</x:t>
        </x:is>
      </x:c>
      <x:c r="C110" s="39" t="n">
        <x:v>10</x:v>
      </x:c>
      <x:c r="D110" s="39" t="inlineStr">
        <x:is>
          <x:t xml:space="preserve">Col. William Rives</x:t>
        </x:is>
      </x:c>
      <x:c r="E110" s="39" t="inlineStr">
        <x:is>
          <x:t xml:space="preserve">M</x:t>
        </x:is>
      </x:c>
      <x:c r="F110" s="39" t="inlineStr">
        <x:is>
          <x:t xml:space="preserve">about 1683</x:t>
        </x:is>
      </x:c>
      <x:c r="G110" s="39" t="n">
        <x:v>1683</x:v>
      </x:c>
      <x:c r="H110" s="39" t="inlineStr">
        <x:is>
          <x:t xml:space="preserve">Prince George County, Virginia</x:t>
        </x:is>
      </x:c>
      <x:c r="I110" s="39" t="inlineStr">
        <x:is>
          <x:t xml:space="preserve">before 1 Mar 1746</x:t>
        </x:is>
      </x:c>
      <x:c r="J110" s="39" t="n">
        <x:v>1746</x:v>
      </x:c>
      <x:c r="K110" s="39" t="str"/>
      <x:c r="L110" s="39" t="inlineStr">
        <x:is>
          <x:t xml:space="preserve">Rives / Harrison</x:t>
        </x:is>
      </x:c>
      <x:c r="M110" s="39" t="inlineStr">
        <x:is>
          <x:t xml:space="preserve">C - Provisional</x:t>
        </x:is>
      </x:c>
      <x:c r="N110" s="39" t="inlineStr">
        <x:is>
          <x:t xml:space="preserve">George Rives</x:t>
        </x:is>
      </x:c>
      <x:c r="O110" s="39" t="str"/>
      <x:c r="P110" s="39" t="inlineStr">
        <x:is>
          <x:t xml:space="preserve">Fredric Muller Vollmer → Jan Muller Vollmer → Anne Rives McCormick Muller → Eloise A. “Elvie/Elvia” Slaughter McCormick → Lula Arnelia Rives → Robert Calhoun Rives → Robert Rives → Green Rives → William Rives → Timothy Rives → Col. William Rives</x:t>
        </x:is>
      </x:c>
      <x:c r="Q110" s="39" t="str"/>
      <x:c r="R110" s="39" t="inlineStr">
        <x:is>
          <x:t xml:space="preserve">S4, S12</x:t>
        </x:is>
      </x:c>
    </x:row>
    <x:row r="111">
      <x:c r="A111" s="39" t="inlineStr">
        <x:is>
          <x:t xml:space="preserve">I150</x:t>
        </x:is>
      </x:c>
      <x:c r="B111" s="39" t="inlineStr">
        <x:is>
          <x:t xml:space="preserve">1985</x:t>
        </x:is>
      </x:c>
      <x:c r="C111" s="39" t="n">
        <x:v>10</x:v>
      </x:c>
      <x:c r="D111" s="39" t="inlineStr">
        <x:is>
          <x:t xml:space="preserve">Elizabeth (possibly Foster) Rives</x:t>
        </x:is>
      </x:c>
      <x:c r="E111" s="39" t="inlineStr">
        <x:is>
          <x:t xml:space="preserve">F</x:t>
        </x:is>
      </x:c>
      <x:c r="F111" s="39" t="str"/>
      <x:c r="G111" s="39" t="n"/>
      <x:c r="H111" s="39" t="str"/>
      <x:c r="I111" s="39" t="inlineStr">
        <x:is>
          <x:t xml:space="preserve">before 1759</x:t>
        </x:is>
      </x:c>
      <x:c r="J111" s="39" t="n">
        <x:v>1759</x:v>
      </x:c>
      <x:c r="K111" s="39" t="inlineStr">
        <x:is>
          <x:t xml:space="preserve">Prince George County, Virginia</x:t>
        </x:is>
      </x:c>
      <x:c r="L111" s="39" t="inlineStr">
        <x:is>
          <x:t xml:space="preserve">Rives / Harrison</x:t>
        </x:is>
      </x:c>
      <x:c r="M111" s="39" t="inlineStr">
        <x:is>
          <x:t xml:space="preserve">C - Provisional</x:t>
        </x:is>
      </x:c>
      <x:c r="N111" s="39" t="str"/>
      <x:c r="O111" s="39" t="str"/>
      <x:c r="P111" s="39" t="inlineStr">
        <x:is>
          <x:t xml:space="preserve">Fredric Muller Vollmer → Jan Muller Vollmer → Anne Rives McCormick Muller → Eloise A. “Elvie/Elvia” Slaughter McCormick → Lula Arnelia Rives → Robert Calhoun Rives → Robert Rives → Green Rives → William Rives → Timothy Rives → Elizabeth (possibly Foster) Rives</x:t>
        </x:is>
      </x:c>
      <x:c r="Q111" s="39" t="inlineStr">
        <x:is>
          <x:t xml:space="preserve">Foster is a possibility rather than a proved maiden surname.</x:t>
        </x:is>
      </x:c>
      <x:c r="R111" s="39" t="inlineStr">
        <x:is>
          <x:t xml:space="preserve">S4, S12</x:t>
        </x:is>
      </x:c>
    </x:row>
    <x:row r="112">
      <x:c r="A112" s="39" t="inlineStr">
        <x:is>
          <x:t xml:space="preserve">I059</x:t>
        </x:is>
      </x:c>
      <x:c r="B112" s="39" t="inlineStr">
        <x:is>
          <x:t xml:space="preserve">3348</x:t>
        </x:is>
      </x:c>
      <x:c r="C112" s="39" t="n">
        <x:v>11</x:v>
      </x:c>
      <x:c r="D112" s="39" t="inlineStr">
        <x:is>
          <x:t xml:space="preserve">Abraham Cruttenden</x:t>
        </x:is>
      </x:c>
      <x:c r="E112" s="39" t="inlineStr">
        <x:is>
          <x:t xml:space="preserve">M</x:t>
        </x:is>
      </x:c>
      <x:c r="F112" s="39" t="str"/>
      <x:c r="G112" s="39" t="n"/>
      <x:c r="H112" s="39" t="str"/>
      <x:c r="I112" s="39" t="inlineStr">
        <x:is>
          <x:t xml:space="preserve">Jan 1683</x:t>
        </x:is>
      </x:c>
      <x:c r="J112" s="39" t="n">
        <x:v>1683</x:v>
      </x:c>
      <x:c r="K112" s="39" t="str"/>
      <x:c r="L112" s="39" t="inlineStr">
        <x:is>
          <x:t xml:space="preserve">Lee / New England</x:t>
        </x:is>
      </x:c>
      <x:c r="M112" s="39" t="inlineStr">
        <x:is>
          <x:t xml:space="preserve">B - Strong</x:t>
        </x:is>
      </x:c>
      <x:c r="N112" s="39" t="str"/>
      <x:c r="O112" s="39" t="str"/>
      <x:c r="P112" s="39" t="inlineStr">
        <x:is>
          <x:t xml:space="preserve">Fredric Muller Vollmer → Jan Muller Vollmer → Arthur John Muller → Elma Anna Lee → Elmer Ellsworth Lee → Hubbard Stone Lee → Elon Lee → Eunice Hotchkiss → Mark Hotchkiss → Hannah Cruttenden → Isaac Cruttenden → Abraham Cruttenden</x:t>
        </x:is>
      </x:c>
      <x:c r="Q112" s="39" t="str"/>
      <x:c r="R112" s="39" t="inlineStr">
        <x:is>
          <x:t xml:space="preserve">S7</x:t>
        </x:is>
      </x:c>
    </x:row>
    <x:row r="113">
      <x:c r="A113" s="39" t="inlineStr">
        <x:is>
          <x:t xml:space="preserve">I069</x:t>
        </x:is>
      </x:c>
      <x:c r="B113" s="39" t="inlineStr">
        <x:is>
          <x:t xml:space="preserve">3368</x:t>
        </x:is>
      </x:c>
      <x:c r="C113" s="39" t="n">
        <x:v>11</x:v>
      </x:c>
      <x:c r="D113" s="39" t="inlineStr">
        <x:is>
          <x:t xml:space="preserve">Andrew Ward Jr.</x:t>
        </x:is>
      </x:c>
      <x:c r="E113" s="39" t="inlineStr">
        <x:is>
          <x:t xml:space="preserve">M</x:t>
        </x:is>
      </x:c>
      <x:c r="F113" s="39" t="inlineStr">
        <x:is>
          <x:t xml:space="preserve">about 1644</x:t>
        </x:is>
      </x:c>
      <x:c r="G113" s="39" t="n">
        <x:v>1644</x:v>
      </x:c>
      <x:c r="H113" s="39" t="str"/>
      <x:c r="I113" s="39" t="inlineStr">
        <x:is>
          <x:t xml:space="preserve">about 1690</x:t>
        </x:is>
      </x:c>
      <x:c r="J113" s="39" t="n">
        <x:v>1690</x:v>
      </x:c>
      <x:c r="K113" s="39" t="str"/>
      <x:c r="L113" s="39" t="inlineStr">
        <x:is>
          <x:t xml:space="preserve">Lee / New England</x:t>
        </x:is>
      </x:c>
      <x:c r="M113" s="39" t="inlineStr">
        <x:is>
          <x:t xml:space="preserve">B - Strong</x:t>
        </x:is>
      </x:c>
      <x:c r="N113" s="39" t="inlineStr">
        <x:is>
          <x:t xml:space="preserve">Andrew Ward</x:t>
        </x:is>
      </x:c>
      <x:c r="O113" s="39" t="inlineStr">
        <x:is>
          <x:t xml:space="preserve">Hester Sherman</x:t>
        </x:is>
      </x:c>
      <x:c r="P113" s="39" t="inlineStr">
        <x:is>
          <x:t xml:space="preserve">Fredric Muller Vollmer → Jan Muller Vollmer → Arthur John Muller → Elma Anna Lee → Elmer Ellsworth Lee → Hubbard Stone Lee → Grace Stone → John Evarts Stone → Carine Ward → William Ward → William Ward → Andrew Ward Jr.</x:t>
        </x:is>
      </x:c>
      <x:c r="Q113" s="39" t="str"/>
      <x:c r="R113" s="39" t="inlineStr">
        <x:is>
          <x:t xml:space="preserve">S7</x:t>
        </x:is>
      </x:c>
    </x:row>
    <x:row r="114">
      <x:c r="A114" s="39" t="inlineStr">
        <x:is>
          <x:t xml:space="preserve">I061</x:t>
        </x:is>
      </x:c>
      <x:c r="B114" s="39" t="inlineStr">
        <x:is>
          <x:t xml:space="preserve">3350</x:t>
        </x:is>
      </x:c>
      <x:c r="C114" s="39" t="n">
        <x:v>11</x:v>
      </x:c>
      <x:c r="D114" s="39" t="inlineStr">
        <x:is>
          <x:t xml:space="preserve">Anthony Thompson</x:t>
        </x:is>
      </x:c>
      <x:c r="E114" s="39" t="inlineStr">
        <x:is>
          <x:t xml:space="preserve">M</x:t>
        </x:is>
      </x:c>
      <x:c r="F114" s="39" t="inlineStr">
        <x:is>
          <x:t xml:space="preserve">about 1612</x:t>
        </x:is>
      </x:c>
      <x:c r="G114" s="39" t="n">
        <x:v>1612</x:v>
      </x:c>
      <x:c r="H114" s="39" t="str"/>
      <x:c r="I114" s="39" t="inlineStr">
        <x:is>
          <x:t xml:space="preserve">Sep 1648</x:t>
        </x:is>
      </x:c>
      <x:c r="J114" s="39" t="n">
        <x:v>1648</x:v>
      </x:c>
      <x:c r="K114" s="39" t="str"/>
      <x:c r="L114" s="39" t="inlineStr">
        <x:is>
          <x:t xml:space="preserve">Lee / New England</x:t>
        </x:is>
      </x:c>
      <x:c r="M114" s="39" t="inlineStr">
        <x:is>
          <x:t xml:space="preserve">B - Strong</x:t>
        </x:is>
      </x:c>
      <x:c r="N114" s="39" t="str"/>
      <x:c r="O114" s="39" t="str"/>
      <x:c r="P114" s="39" t="inlineStr">
        <x:is>
          <x:t xml:space="preserve">Fredric Muller Vollmer → Jan Muller Vollmer → Arthur John Muller → Elma Anna Lee → Elmer Ellsworth Lee → Hubbard Stone Lee → Elon Lee → Eunice Hotchkiss → Mark Hotchkiss → Hannah Cruttenden → Lydia Thompson → Anthony Thompson</x:t>
        </x:is>
      </x:c>
      <x:c r="Q114" s="39" t="str"/>
      <x:c r="R114" s="39" t="inlineStr">
        <x:is>
          <x:t xml:space="preserve">S7</x:t>
        </x:is>
      </x:c>
    </x:row>
    <x:row r="115">
      <x:c r="A115" s="39" t="inlineStr">
        <x:is>
          <x:t xml:space="preserve">I067</x:t>
        </x:is>
      </x:c>
      <x:c r="B115" s="39" t="inlineStr">
        <x:is>
          <x:t xml:space="preserve">3364</x:t>
        </x:is>
      </x:c>
      <x:c r="C115" s="39" t="n">
        <x:v>11</x:v>
      </x:c>
      <x:c r="D115" s="39" t="inlineStr">
        <x:is>
          <x:t xml:space="preserve">Daniel Evarts</x:t>
        </x:is>
      </x:c>
      <x:c r="E115" s="39" t="inlineStr">
        <x:is>
          <x:t xml:space="preserve">M</x:t>
        </x:is>
      </x:c>
      <x:c r="F115" s="39" t="inlineStr">
        <x:is>
          <x:t xml:space="preserve">about 1645</x:t>
        </x:is>
      </x:c>
      <x:c r="G115" s="39" t="n">
        <x:v>1645</x:v>
      </x:c>
      <x:c r="H115" s="39" t="str"/>
      <x:c r="I115" s="39" t="inlineStr">
        <x:is>
          <x:t xml:space="preserve">5 Dec 1692</x:t>
        </x:is>
      </x:c>
      <x:c r="J115" s="39" t="n">
        <x:v>1692</x:v>
      </x:c>
      <x:c r="K115" s="39" t="str"/>
      <x:c r="L115" s="39" t="inlineStr">
        <x:is>
          <x:t xml:space="preserve">Lee / New England</x:t>
        </x:is>
      </x:c>
      <x:c r="M115" s="39" t="inlineStr">
        <x:is>
          <x:t xml:space="preserve">B - Strong</x:t>
        </x:is>
      </x:c>
      <x:c r="N115" s="39" t="inlineStr">
        <x:is>
          <x:t xml:space="preserve">John Evarts</x:t>
        </x:is>
      </x:c>
      <x:c r="O115" s="39" t="inlineStr">
        <x:is>
          <x:t xml:space="preserve">Elizabeth (surname unknown), wife of John Evarts</x:t>
        </x:is>
      </x:c>
      <x:c r="P115" s="39" t="inlineStr">
        <x:is>
          <x:t xml:space="preserve">Fredric Muller Vollmer → Jan Muller Vollmer → Arthur John Muller → Elma Anna Lee → Elmer Ellsworth Lee → Hubbard Stone Lee → Grace Stone → John Evarts Stone → Asher Stone → Rebecca Evarts → James Evarts → Daniel Evarts</x:t>
        </x:is>
      </x:c>
      <x:c r="Q115" s="39" t="str"/>
      <x:c r="R115" s="39" t="inlineStr">
        <x:is>
          <x:t xml:space="preserve">S7</x:t>
        </x:is>
      </x:c>
    </x:row>
    <x:row r="116">
      <x:c r="A116" s="39" t="inlineStr">
        <x:is>
          <x:t xml:space="preserve">I058</x:t>
        </x:is>
      </x:c>
      <x:c r="B116" s="39" t="inlineStr">
        <x:is>
          <x:t xml:space="preserve">3345</x:t>
        </x:is>
      </x:c>
      <x:c r="C116" s="39" t="n">
        <x:v>11</x:v>
      </x:c>
      <x:c r="D116" s="39" t="inlineStr">
        <x:is>
          <x:t xml:space="preserve">Elizabeth Cleverly</x:t>
        </x:is>
      </x:c>
      <x:c r="E116" s="39" t="inlineStr">
        <x:is>
          <x:t xml:space="preserve">F</x:t>
        </x:is>
      </x:c>
      <x:c r="F116" s="39" t="str"/>
      <x:c r="G116" s="39" t="n"/>
      <x:c r="H116" s="39" t="str"/>
      <x:c r="I116" s="39" t="inlineStr">
        <x:is>
          <x:t xml:space="preserve">about 1681</x:t>
        </x:is>
      </x:c>
      <x:c r="J116" s="39" t="n">
        <x:v>1681</x:v>
      </x:c>
      <x:c r="K116" s="39" t="str"/>
      <x:c r="L116" s="39" t="inlineStr">
        <x:is>
          <x:t xml:space="preserve">Lee / New England</x:t>
        </x:is>
      </x:c>
      <x:c r="M116" s="39" t="inlineStr">
        <x:is>
          <x:t xml:space="preserve">B - Strong</x:t>
        </x:is>
      </x:c>
      <x:c r="N116" s="39" t="str"/>
      <x:c r="O116" s="39" t="str"/>
      <x:c r="P116" s="39" t="inlineStr">
        <x:is>
          <x:t xml:space="preserve">Fredric Muller Vollmer → Jan Muller Vollmer → Arthur John Muller → Elma Anna Lee → Elmer Ellsworth Lee → Hubbard Stone Lee → Elon Lee → Eunice Hotchkiss → Mark Hotchkiss → Joseph Hotchkiss → John Hotchkiss → Elizabeth Cleverly</x:t>
        </x:is>
      </x:c>
      <x:c r="Q116" s="39" t="str"/>
      <x:c r="R116" s="39" t="inlineStr">
        <x:is>
          <x:t xml:space="preserve">S7</x:t>
        </x:is>
      </x:c>
    </x:row>
    <x:row r="117">
      <x:c r="A117" s="39" t="inlineStr">
        <x:is>
          <x:t xml:space="preserve">I071</x:t>
        </x:is>
      </x:c>
      <x:c r="B117" s="39" t="inlineStr">
        <x:is>
          <x:t xml:space="preserve">3370</x:t>
        </x:is>
      </x:c>
      <x:c r="C117" s="39" t="n">
        <x:v>11</x:v>
      </x:c>
      <x:c r="D117" s="39" t="inlineStr">
        <x:is>
          <x:t xml:space="preserve">John Beach</x:t>
        </x:is>
      </x:c>
      <x:c r="E117" s="39" t="inlineStr">
        <x:is>
          <x:t xml:space="preserve">M</x:t>
        </x:is>
      </x:c>
      <x:c r="F117" s="39" t="inlineStr">
        <x:is>
          <x:t xml:space="preserve">19 Oct 1655</x:t>
        </x:is>
      </x:c>
      <x:c r="G117" s="39" t="n">
        <x:v>1655</x:v>
      </x:c>
      <x:c r="H117" s="39" t="inlineStr">
        <x:is>
          <x:t xml:space="preserve">Milford, New Haven County, Connecticut</x:t>
        </x:is>
      </x:c>
      <x:c r="I117" s="39" t="inlineStr">
        <x:is>
          <x:t xml:space="preserve">about 1709</x:t>
        </x:is>
      </x:c>
      <x:c r="J117" s="39" t="n">
        <x:v>1709</x:v>
      </x:c>
      <x:c r="K117" s="39" t="str"/>
      <x:c r="L117" s="39" t="inlineStr">
        <x:is>
          <x:t xml:space="preserve">Lee / New England</x:t>
        </x:is>
      </x:c>
      <x:c r="M117" s="39" t="inlineStr">
        <x:is>
          <x:t xml:space="preserve">B - Strong</x:t>
        </x:is>
      </x:c>
      <x:c r="N117" s="39" t="inlineStr">
        <x:is>
          <x:t xml:space="preserve">Thomas Beach</x:t>
        </x:is>
      </x:c>
      <x:c r="O117" s="39" t="inlineStr">
        <x:is>
          <x:t xml:space="preserve">Sarah Platt</x:t>
        </x:is>
      </x:c>
      <x:c r="P117" s="39" t="inlineStr">
        <x:is>
          <x:t xml:space="preserve">Fredric Muller Vollmer → Jan Muller Vollmer → Arthur John Muller → Elma Anna Lee → Elmer Ellsworth Lee → Hubbard Stone Lee → Grace Stone → John Evarts Stone → Carine Ward → William Ward → Lettice Beach → John Beach</x:t>
        </x:is>
      </x:c>
      <x:c r="Q117" s="39" t="str"/>
      <x:c r="R117" s="39" t="inlineStr">
        <x:is>
          <x:t xml:space="preserve">S7</x:t>
        </x:is>
      </x:c>
    </x:row>
    <x:row r="118">
      <x:c r="A118" s="39" t="inlineStr">
        <x:is>
          <x:t xml:space="preserve">I065</x:t>
        </x:is>
      </x:c>
      <x:c r="B118" s="39" t="inlineStr">
        <x:is>
          <x:t xml:space="preserve">3362, 6738</x:t>
        </x:is>
      </x:c>
      <x:c r="C118" s="39" t="n">
        <x:v>11</x:v>
      </x:c>
      <x:c r="D118" s="39" t="inlineStr">
        <x:is>
          <x:t xml:space="preserve">John Meigs</x:t>
        </x:is>
      </x:c>
      <x:c r="E118" s="39" t="inlineStr">
        <x:is>
          <x:t xml:space="preserve">M</x:t>
        </x:is>
      </x:c>
      <x:c r="F118" s="39" t="inlineStr">
        <x:is>
          <x:t xml:space="preserve">28 Feb 1641</x:t>
        </x:is>
      </x:c>
      <x:c r="G118" s="39" t="n">
        <x:v>1641</x:v>
      </x:c>
      <x:c r="H118" s="39" t="str"/>
      <x:c r="I118" s="39" t="inlineStr">
        <x:is>
          <x:t xml:space="preserve">9 Nov 1713</x:t>
        </x:is>
      </x:c>
      <x:c r="J118" s="39" t="n">
        <x:v>1713</x:v>
      </x:c>
      <x:c r="K118" s="39" t="str"/>
      <x:c r="L118" s="39" t="inlineStr">
        <x:is>
          <x:t xml:space="preserve">Lee / New England</x:t>
        </x:is>
      </x:c>
      <x:c r="M118" s="39" t="inlineStr">
        <x:is>
          <x:t xml:space="preserve">B - Strong</x:t>
        </x:is>
      </x:c>
      <x:c r="N118" s="39" t="inlineStr">
        <x:is>
          <x:t xml:space="preserve">Vincent Meigs</x:t>
        </x:is>
      </x:c>
      <x:c r="O118" s="39" t="inlineStr">
        <x:is>
          <x:t xml:space="preserve">Tamasin Fry</x:t>
        </x:is>
      </x:c>
      <x:c r="P118" s="39" t="inlineStr">
        <x:is>
          <x:t xml:space="preserve">Fredric Muller Vollmer → Jan Muller Vollmer → Arthur John Muller → Elma Anna Lee → Elmer Ellsworth Lee → Hubbard Stone Lee → Grace Stone → John Evarts Stone → Asher Stone → Caleb Stone Jr. → Sarah Meigs → John Meigs</x:t>
        </x:is>
      </x:c>
      <x:c r="Q118" s="39" t="str"/>
      <x:c r="R118" s="39" t="inlineStr">
        <x:is>
          <x:t xml:space="preserve">S7</x:t>
        </x:is>
      </x:c>
    </x:row>
    <x:row r="119">
      <x:c r="A119" s="39" t="inlineStr">
        <x:is>
          <x:t xml:space="preserve">I062</x:t>
        </x:is>
      </x:c>
      <x:c r="B119" s="39" t="inlineStr">
        <x:is>
          <x:t xml:space="preserve">3351</x:t>
        </x:is>
      </x:c>
      <x:c r="C119" s="39" t="n">
        <x:v>11</x:v>
      </x:c>
      <x:c r="D119" s="39" t="inlineStr">
        <x:is>
          <x:t xml:space="preserve">Katherine (surname unknown), wife of Anthony Thompson</x:t>
        </x:is>
      </x:c>
      <x:c r="E119" s="39" t="inlineStr">
        <x:is>
          <x:t xml:space="preserve">F</x:t>
        </x:is>
      </x:c>
      <x:c r="F119" s="39" t="str"/>
      <x:c r="G119" s="39" t="n"/>
      <x:c r="H119" s="39" t="str"/>
      <x:c r="I119" s="39" t="str"/>
      <x:c r="J119" s="39" t="n"/>
      <x:c r="K119" s="39" t="str"/>
      <x:c r="L119" s="39" t="inlineStr">
        <x:is>
          <x:t xml:space="preserve">Lee / New England</x:t>
        </x:is>
      </x:c>
      <x:c r="M119" s="39" t="inlineStr">
        <x:is>
          <x:t xml:space="preserve">B - Strong</x:t>
        </x:is>
      </x:c>
      <x:c r="N119" s="39" t="str"/>
      <x:c r="O119" s="39" t="str"/>
      <x:c r="P119" s="39" t="inlineStr">
        <x:is>
          <x:t xml:space="preserve">Fredric Muller Vollmer → Jan Muller Vollmer → Arthur John Muller → Elma Anna Lee → Elmer Ellsworth Lee → Hubbard Stone Lee → Elon Lee → Eunice Hotchkiss → Mark Hotchkiss → Hannah Cruttenden → Lydia Thompson → Katherine (surname unknown), wife of Anthony Thompson</x:t>
        </x:is>
      </x:c>
      <x:c r="Q119" s="39" t="str"/>
      <x:c r="R119" s="39" t="inlineStr">
        <x:is>
          <x:t xml:space="preserve">S7</x:t>
        </x:is>
      </x:c>
    </x:row>
    <x:row r="120">
      <x:c r="A120" s="39" t="inlineStr">
        <x:is>
          <x:t xml:space="preserve">I060</x:t>
        </x:is>
      </x:c>
      <x:c r="B120" s="39" t="inlineStr">
        <x:is>
          <x:t xml:space="preserve">3349</x:t>
        </x:is>
      </x:c>
      <x:c r="C120" s="39" t="n">
        <x:v>11</x:v>
      </x:c>
      <x:c r="D120" s="39" t="inlineStr">
        <x:is>
          <x:t xml:space="preserve">Mary (surname unknown), wife of Abraham Cruttenden</x:t>
        </x:is>
      </x:c>
      <x:c r="E120" s="39" t="inlineStr">
        <x:is>
          <x:t xml:space="preserve">F</x:t>
        </x:is>
      </x:c>
      <x:c r="F120" s="39" t="str"/>
      <x:c r="G120" s="39" t="n"/>
      <x:c r="H120" s="39" t="str"/>
      <x:c r="I120" s="39" t="inlineStr">
        <x:is>
          <x:t xml:space="preserve">about 1664</x:t>
        </x:is>
      </x:c>
      <x:c r="J120" s="39" t="n">
        <x:v>1664</x:v>
      </x:c>
      <x:c r="K120" s="39" t="str"/>
      <x:c r="L120" s="39" t="inlineStr">
        <x:is>
          <x:t xml:space="preserve">Lee / New England</x:t>
        </x:is>
      </x:c>
      <x:c r="M120" s="39" t="inlineStr">
        <x:is>
          <x:t xml:space="preserve">B - Strong</x:t>
        </x:is>
      </x:c>
      <x:c r="N120" s="39" t="str"/>
      <x:c r="O120" s="39" t="str"/>
      <x:c r="P120" s="39" t="inlineStr">
        <x:is>
          <x:t xml:space="preserve">Fredric Muller Vollmer → Jan Muller Vollmer → Arthur John Muller → Elma Anna Lee → Elmer Ellsworth Lee → Hubbard Stone Lee → Elon Lee → Eunice Hotchkiss → Mark Hotchkiss → Hannah Cruttenden → Isaac Cruttenden → Mary (surname unknown), wife of Abraham Cruttenden</x:t>
        </x:is>
      </x:c>
      <x:c r="Q120" s="39" t="str"/>
      <x:c r="R120" s="39" t="inlineStr">
        <x:is>
          <x:t xml:space="preserve">S7</x:t>
        </x:is>
      </x:c>
    </x:row>
    <x:row r="121">
      <x:c r="A121" s="39" t="inlineStr">
        <x:is>
          <x:t xml:space="preserve">I064</x:t>
        </x:is>
      </x:c>
      <x:c r="B121" s="39" t="inlineStr">
        <x:is>
          <x:t xml:space="preserve">3361</x:t>
        </x:is>
      </x:c>
      <x:c r="C121" s="39" t="n">
        <x:v>11</x:v>
      </x:c>
      <x:c r="D121" s="39" t="inlineStr">
        <x:is>
          <x:t xml:space="preserve">Mary Bartlett</x:t>
        </x:is>
      </x:c>
      <x:c r="E121" s="39" t="inlineStr">
        <x:is>
          <x:t xml:space="preserve">F</x:t>
        </x:is>
      </x:c>
      <x:c r="F121" s="39" t="inlineStr">
        <x:is>
          <x:t xml:space="preserve">1 Feb 1655</x:t>
        </x:is>
      </x:c>
      <x:c r="G121" s="39" t="n">
        <x:v>1655</x:v>
      </x:c>
      <x:c r="H121" s="39" t="str"/>
      <x:c r="I121" s="39" t="inlineStr">
        <x:is>
          <x:t xml:space="preserve">5 Nov 1724</x:t>
        </x:is>
      </x:c>
      <x:c r="J121" s="39" t="n">
        <x:v>1724</x:v>
      </x:c>
      <x:c r="K121" s="39" t="str"/>
      <x:c r="L121" s="39" t="inlineStr">
        <x:is>
          <x:t xml:space="preserve">Lee / New England</x:t>
        </x:is>
      </x:c>
      <x:c r="M121" s="39" t="inlineStr">
        <x:is>
          <x:t xml:space="preserve">B - Strong</x:t>
        </x:is>
      </x:c>
      <x:c r="N121" s="39" t="str"/>
      <x:c r="O121" s="39" t="str"/>
      <x:c r="P121" s="39" t="inlineStr">
        <x:is>
          <x:t xml:space="preserve">Fredric Muller Vollmer → Jan Muller Vollmer → Arthur John Muller → Elma Anna Lee → Elmer Ellsworth Lee → Hubbard Stone Lee → Grace Stone → John Evarts Stone → Asher Stone → Caleb Stone Jr. → Caleb Stone → Mary Bartlett</x:t>
        </x:is>
      </x:c>
      <x:c r="Q121" s="39" t="inlineStr">
        <x:is>
          <x:t xml:space="preserve">Her parents were not supplied on the consulted Ahnentafel page.</x:t>
        </x:is>
      </x:c>
      <x:c r="R121" s="39" t="inlineStr">
        <x:is>
          <x:t xml:space="preserve">S7</x:t>
        </x:is>
      </x:c>
    </x:row>
    <x:row r="122">
      <x:c r="A122" s="39" t="inlineStr">
        <x:is>
          <x:t xml:space="preserve">I072</x:t>
        </x:is>
      </x:c>
      <x:c r="B122" s="39" t="inlineStr">
        <x:is>
          <x:t xml:space="preserve">3371</x:t>
        </x:is>
      </x:c>
      <x:c r="C122" s="39" t="n">
        <x:v>11</x:v>
      </x:c>
      <x:c r="D122" s="39" t="inlineStr">
        <x:is>
          <x:t xml:space="preserve">Mary Royce</x:t>
        </x:is>
      </x:c>
      <x:c r="E122" s="39" t="inlineStr">
        <x:is>
          <x:t xml:space="preserve">F</x:t>
        </x:is>
      </x:c>
      <x:c r="F122" s="39" t="inlineStr">
        <x:is>
          <x:t xml:space="preserve">about 1658</x:t>
        </x:is>
      </x:c>
      <x:c r="G122" s="39" t="n">
        <x:v>1658</x:v>
      </x:c>
      <x:c r="H122" s="39" t="str"/>
      <x:c r="I122" s="39" t="str"/>
      <x:c r="J122" s="39" t="n"/>
      <x:c r="K122" s="39" t="str"/>
      <x:c r="L122" s="39" t="inlineStr">
        <x:is>
          <x:t xml:space="preserve">Lee / New England</x:t>
        </x:is>
      </x:c>
      <x:c r="M122" s="39" t="inlineStr">
        <x:is>
          <x:t xml:space="preserve">B - Strong</x:t>
        </x:is>
      </x:c>
      <x:c r="N122" s="39" t="inlineStr">
        <x:is>
          <x:t xml:space="preserve">Jonathan Royce</x:t>
        </x:is>
      </x:c>
      <x:c r="O122" s="39" t="inlineStr">
        <x:is>
          <x:t xml:space="preserve">Ann Spinning</x:t>
        </x:is>
      </x:c>
      <x:c r="P122" s="39" t="inlineStr">
        <x:is>
          <x:t xml:space="preserve">Fredric Muller Vollmer → Jan Muller Vollmer → Arthur John Muller → Elma Anna Lee → Elmer Ellsworth Lee → Hubbard Stone Lee → Grace Stone → John Evarts Stone → Carine Ward → William Ward → Lettice Beach → Mary Royce</x:t>
        </x:is>
      </x:c>
      <x:c r="Q122" s="39" t="str"/>
      <x:c r="R122" s="39" t="inlineStr">
        <x:is>
          <x:t xml:space="preserve">S7</x:t>
        </x:is>
      </x:c>
    </x:row>
    <x:row r="123">
      <x:c r="A123" s="39" t="inlineStr">
        <x:is>
          <x:t xml:space="preserve">I063</x:t>
        </x:is>
      </x:c>
      <x:c r="B123" s="39" t="inlineStr">
        <x:is>
          <x:t xml:space="preserve">3360</x:t>
        </x:is>
      </x:c>
      <x:c r="C123" s="39" t="n">
        <x:v>11</x:v>
      </x:c>
      <x:c r="D123" s="39" t="inlineStr">
        <x:is>
          <x:t xml:space="preserve">Nathaniel Stone</x:t>
        </x:is>
      </x:c>
      <x:c r="E123" s="39" t="inlineStr">
        <x:is>
          <x:t xml:space="preserve">M</x:t>
        </x:is>
      </x:c>
      <x:c r="F123" s="39" t="inlineStr">
        <x:is>
          <x:t xml:space="preserve">2 Feb 1648</x:t>
        </x:is>
      </x:c>
      <x:c r="G123" s="39" t="n">
        <x:v>1648</x:v>
      </x:c>
      <x:c r="H123" s="39" t="inlineStr">
        <x:is>
          <x:t xml:space="preserve">Guilford, New Haven County, Connecticut</x:t>
        </x:is>
      </x:c>
      <x:c r="I123" s="39" t="inlineStr">
        <x:is>
          <x:t xml:space="preserve">11 Aug 1709</x:t>
        </x:is>
      </x:c>
      <x:c r="J123" s="39" t="n">
        <x:v>1709</x:v>
      </x:c>
      <x:c r="K123" s="39" t="str"/>
      <x:c r="L123" s="39" t="inlineStr">
        <x:is>
          <x:t xml:space="preserve">Lee / New England</x:t>
        </x:is>
      </x:c>
      <x:c r="M123" s="39" t="inlineStr">
        <x:is>
          <x:t xml:space="preserve">B - Strong</x:t>
        </x:is>
      </x:c>
      <x:c r="N123" s="39" t="inlineStr">
        <x:is>
          <x:t xml:space="preserve">John Stone</x:t>
        </x:is>
      </x:c>
      <x:c r="O123" s="39" t="inlineStr">
        <x:is>
          <x:t xml:space="preserve">Mary (surname unknown), wife of John Stone</x:t>
        </x:is>
      </x:c>
      <x:c r="P123" s="39" t="inlineStr">
        <x:is>
          <x:t xml:space="preserve">Fredric Muller Vollmer → Jan Muller Vollmer → Arthur John Muller → Elma Anna Lee → Elmer Ellsworth Lee → Hubbard Stone Lee → Grace Stone → John Evarts Stone → Asher Stone → Caleb Stone Jr. → Caleb Stone → Nathaniel Stone</x:t>
        </x:is>
      </x:c>
      <x:c r="Q123" s="39" t="str"/>
      <x:c r="R123" s="39" t="inlineStr">
        <x:is>
          <x:t xml:space="preserve">S7</x:t>
        </x:is>
      </x:c>
    </x:row>
    <x:row r="124">
      <x:c r="A124" s="39" t="inlineStr">
        <x:is>
          <x:t xml:space="preserve">I068</x:t>
        </x:is>
      </x:c>
      <x:c r="B124" s="39" t="inlineStr">
        <x:is>
          <x:t xml:space="preserve">3365</x:t>
        </x:is>
      </x:c>
      <x:c r="C124" s="39" t="n">
        <x:v>11</x:v>
      </x:c>
      <x:c r="D124" s="39" t="inlineStr">
        <x:is>
          <x:t xml:space="preserve">Rebecca Dowd</x:t>
        </x:is>
      </x:c>
      <x:c r="E124" s="39" t="inlineStr">
        <x:is>
          <x:t xml:space="preserve">F</x:t>
        </x:is>
      </x:c>
      <x:c r="F124" s="39" t="str"/>
      <x:c r="G124" s="39" t="n"/>
      <x:c r="H124" s="39" t="str"/>
      <x:c r="I124" s="39" t="inlineStr">
        <x:is>
          <x:t xml:space="preserve">16 Oct 1703</x:t>
        </x:is>
      </x:c>
      <x:c r="J124" s="39" t="n">
        <x:v>1703</x:v>
      </x:c>
      <x:c r="K124" s="39" t="str"/>
      <x:c r="L124" s="39" t="inlineStr">
        <x:is>
          <x:t xml:space="preserve">Lee / New England</x:t>
        </x:is>
      </x:c>
      <x:c r="M124" s="39" t="inlineStr">
        <x:is>
          <x:t xml:space="preserve">B - Strong</x:t>
        </x:is>
      </x:c>
      <x:c r="N124" s="39" t="inlineStr">
        <x:is>
          <x:t xml:space="preserve">Henry Dowd</x:t>
        </x:is>
      </x:c>
      <x:c r="O124" s="39" t="str"/>
      <x:c r="P124" s="39" t="inlineStr">
        <x:is>
          <x:t xml:space="preserve">Fredric Muller Vollmer → Jan Muller Vollmer → Arthur John Muller → Elma Anna Lee → Elmer Ellsworth Lee → Hubbard Stone Lee → Grace Stone → John Evarts Stone → Asher Stone → Rebecca Evarts → James Evarts → Rebecca Dowd</x:t>
        </x:is>
      </x:c>
      <x:c r="Q124" s="39" t="str"/>
      <x:c r="R124" s="39" t="inlineStr">
        <x:is>
          <x:t xml:space="preserve">S7</x:t>
        </x:is>
      </x:c>
    </x:row>
    <x:row r="125">
      <x:c r="A125" s="39" t="inlineStr">
        <x:is>
          <x:t xml:space="preserve">I057</x:t>
        </x:is>
      </x:c>
      <x:c r="B125" s="39" t="inlineStr">
        <x:is>
          <x:t xml:space="preserve">3344</x:t>
        </x:is>
      </x:c>
      <x:c r="C125" s="39" t="n">
        <x:v>11</x:v>
      </x:c>
      <x:c r="D125" s="39" t="inlineStr">
        <x:is>
          <x:t xml:space="preserve">Samuel Hotchkiss</x:t>
        </x:is>
      </x:c>
      <x:c r="E125" s="39" t="inlineStr">
        <x:is>
          <x:t xml:space="preserve">M</x:t>
        </x:is>
      </x:c>
      <x:c r="F125" s="39" t="str"/>
      <x:c r="G125" s="39" t="n"/>
      <x:c r="H125" s="39" t="str"/>
      <x:c r="I125" s="39" t="inlineStr">
        <x:is>
          <x:t xml:space="preserve">28 Dec 1663</x:t>
        </x:is>
      </x:c>
      <x:c r="J125" s="39" t="n">
        <x:v>1663</x:v>
      </x:c>
      <x:c r="K125" s="39" t="inlineStr">
        <x:is>
          <x:t xml:space="preserve">New Haven, Connecticut</x:t>
        </x:is>
      </x:c>
      <x:c r="L125" s="39" t="inlineStr">
        <x:is>
          <x:t xml:space="preserve">Lee / New England</x:t>
        </x:is>
      </x:c>
      <x:c r="M125" s="39" t="inlineStr">
        <x:is>
          <x:t xml:space="preserve">B - Strong</x:t>
        </x:is>
      </x:c>
      <x:c r="N125" s="39" t="str"/>
      <x:c r="O125" s="39" t="str"/>
      <x:c r="P125" s="39" t="inlineStr">
        <x:is>
          <x:t xml:space="preserve">Fredric Muller Vollmer → Jan Muller Vollmer → Arthur John Muller → Elma Anna Lee → Elmer Ellsworth Lee → Hubbard Stone Lee → Elon Lee → Eunice Hotchkiss → Mark Hotchkiss → Joseph Hotchkiss → John Hotchkiss → Samuel Hotchkiss</x:t>
        </x:is>
      </x:c>
      <x:c r="Q125" s="39" t="str"/>
      <x:c r="R125" s="39" t="inlineStr">
        <x:is>
          <x:t xml:space="preserve">S7</x:t>
        </x:is>
      </x:c>
    </x:row>
    <x:row r="126">
      <x:c r="A126" s="39" t="inlineStr">
        <x:is>
          <x:t xml:space="preserve">I066</x:t>
        </x:is>
      </x:c>
      <x:c r="B126" s="39" t="inlineStr">
        <x:is>
          <x:t xml:space="preserve">3363</x:t>
        </x:is>
      </x:c>
      <x:c r="C126" s="39" t="n">
        <x:v>11</x:v>
      </x:c>
      <x:c r="D126" s="39" t="inlineStr">
        <x:is>
          <x:t xml:space="preserve">Sarah Wilcockson</x:t>
        </x:is>
      </x:c>
      <x:c r="E126" s="39" t="inlineStr">
        <x:is>
          <x:t xml:space="preserve">F</x:t>
        </x:is>
      </x:c>
      <x:c r="F126" s="39" t="inlineStr">
        <x:is>
          <x:t xml:space="preserve">26 Oct 1648</x:t>
        </x:is>
      </x:c>
      <x:c r="G126" s="39" t="n">
        <x:v>1648</x:v>
      </x:c>
      <x:c r="H126" s="39" t="inlineStr">
        <x:is>
          <x:t xml:space="preserve">Stratford, Fairfield County, Connecticut</x:t>
        </x:is>
      </x:c>
      <x:c r="I126" s="39" t="inlineStr">
        <x:is>
          <x:t xml:space="preserve">24 Nov 1691</x:t>
        </x:is>
      </x:c>
      <x:c r="J126" s="39" t="n">
        <x:v>1691</x:v>
      </x:c>
      <x:c r="K126" s="39" t="str"/>
      <x:c r="L126" s="39" t="inlineStr">
        <x:is>
          <x:t xml:space="preserve">Lee / New England</x:t>
        </x:is>
      </x:c>
      <x:c r="M126" s="39" t="inlineStr">
        <x:is>
          <x:t xml:space="preserve">B - Strong</x:t>
        </x:is>
      </x:c>
      <x:c r="N126" s="39" t="inlineStr">
        <x:is>
          <x:t xml:space="preserve">William Wilcockson</x:t>
        </x:is>
      </x:c>
      <x:c r="O126" s="39" t="inlineStr">
        <x:is>
          <x:t xml:space="preserve">Margaret Harvey</x:t>
        </x:is>
      </x:c>
      <x:c r="P126" s="39" t="inlineStr">
        <x:is>
          <x:t xml:space="preserve">Fredric Muller Vollmer → Jan Muller Vollmer → Arthur John Muller → Elma Anna Lee → Elmer Ellsworth Lee → Hubbard Stone Lee → Grace Stone → John Evarts Stone → Asher Stone → Caleb Stone Jr. → Sarah Meigs → Sarah Wilcockson</x:t>
        </x:is>
      </x:c>
      <x:c r="Q126" s="39" t="str"/>
      <x:c r="R126" s="39" t="inlineStr">
        <x:is>
          <x:t xml:space="preserve">S7</x:t>
        </x:is>
      </x:c>
    </x:row>
    <x:row r="127">
      <x:c r="A127" s="39" t="inlineStr">
        <x:is>
          <x:t xml:space="preserve">I070</x:t>
        </x:is>
      </x:c>
      <x:c r="B127" s="39" t="inlineStr">
        <x:is>
          <x:t xml:space="preserve">3369</x:t>
        </x:is>
      </x:c>
      <x:c r="C127" s="39" t="n">
        <x:v>11</x:v>
      </x:c>
      <x:c r="D127" s="39" t="inlineStr">
        <x:is>
          <x:t xml:space="preserve">Trial Meigs</x:t>
        </x:is>
      </x:c>
      <x:c r="E127" s="39" t="inlineStr">
        <x:is>
          <x:t xml:space="preserve">F</x:t>
        </x:is>
      </x:c>
      <x:c r="F127" s="39" t="inlineStr">
        <x:is>
          <x:t xml:space="preserve">about 1646</x:t>
        </x:is>
      </x:c>
      <x:c r="G127" s="39" t="n">
        <x:v>1646</x:v>
      </x:c>
      <x:c r="H127" s="39" t="inlineStr">
        <x:is>
          <x:t xml:space="preserve">probably New Haven, Connecticut</x:t>
        </x:is>
      </x:c>
      <x:c r="I127" s="39" t="inlineStr">
        <x:is>
          <x:t xml:space="preserve">about 1690</x:t>
        </x:is>
      </x:c>
      <x:c r="J127" s="39" t="n">
        <x:v>1690</x:v>
      </x:c>
      <x:c r="K127" s="39" t="str"/>
      <x:c r="L127" s="39" t="inlineStr">
        <x:is>
          <x:t xml:space="preserve">Lee / New England</x:t>
        </x:is>
      </x:c>
      <x:c r="M127" s="39" t="inlineStr">
        <x:is>
          <x:t xml:space="preserve">B - Strong</x:t>
        </x:is>
      </x:c>
      <x:c r="N127" s="39" t="inlineStr">
        <x:is>
          <x:t xml:space="preserve">John Meigs</x:t>
        </x:is>
      </x:c>
      <x:c r="O127" s="39" t="inlineStr">
        <x:is>
          <x:t xml:space="preserve">Tamasin Fry</x:t>
        </x:is>
      </x:c>
      <x:c r="P127" s="39" t="inlineStr">
        <x:is>
          <x:t xml:space="preserve">Fredric Muller Vollmer → Jan Muller Vollmer → Arthur John Muller → Elma Anna Lee → Elmer Ellsworth Lee → Hubbard Stone Lee → Grace Stone → John Evarts Stone → Carine Ward → William Ward → William Ward → Trial Meigs</x:t>
        </x:is>
      </x:c>
      <x:c r="Q127" s="39" t="inlineStr">
        <x:is>
          <x:t xml:space="preserve">Pedigree collapse: the same John Meigs and Tamasin Fry are also ancestors through Sarah Meigs.</x:t>
        </x:is>
      </x:c>
      <x:c r="R127" s="39" t="inlineStr">
        <x:is>
          <x:t xml:space="preserve">S7</x:t>
        </x:is>
      </x:c>
    </x:row>
    <x:row r="128">
      <x:c r="A128" s="39" t="inlineStr">
        <x:is>
          <x:t xml:space="preserve">I151</x:t>
        </x:is>
      </x:c>
      <x:c r="B128" s="39" t="inlineStr">
        <x:is>
          <x:t xml:space="preserve">3968</x:t>
        </x:is>
      </x:c>
      <x:c r="C128" s="39" t="n">
        <x:v>11</x:v>
      </x:c>
      <x:c r="D128" s="39" t="inlineStr">
        <x:is>
          <x:t xml:space="preserve">George Rives</x:t>
        </x:is>
      </x:c>
      <x:c r="E128" s="39" t="inlineStr">
        <x:is>
          <x:t xml:space="preserve">M</x:t>
        </x:is>
      </x:c>
      <x:c r="F128" s="39" t="inlineStr">
        <x:is>
          <x:t xml:space="preserve">about 1660</x:t>
        </x:is>
      </x:c>
      <x:c r="G128" s="39" t="n">
        <x:v>1660</x:v>
      </x:c>
      <x:c r="H128" s="39" t="inlineStr">
        <x:is>
          <x:t xml:space="preserve">Prince George County, Virginia</x:t>
        </x:is>
      </x:c>
      <x:c r="I128" s="39" t="inlineStr">
        <x:is>
          <x:t xml:space="preserve">after 8 Sep 1719</x:t>
        </x:is>
      </x:c>
      <x:c r="J128" s="39" t="n">
        <x:v>1719</x:v>
      </x:c>
      <x:c r="K128" s="39" t="str"/>
      <x:c r="L128" s="39" t="inlineStr">
        <x:is>
          <x:t xml:space="preserve">Rives / Harrison</x:t>
        </x:is>
      </x:c>
      <x:c r="M128" s="39" t="inlineStr">
        <x:is>
          <x:t xml:space="preserve">D - Traditional / disputed</x:t>
        </x:is>
      </x:c>
      <x:c r="N128" s="39" t="inlineStr">
        <x:is>
          <x:t xml:space="preserve">William Rives (traditional immigrant ancestor)</x:t>
        </x:is>
      </x:c>
      <x:c r="O128" s="39" t="str"/>
      <x:c r="P128" s="39" t="inlineStr">
        <x:is>
          <x:t xml:space="preserve">Fredric Muller Vollmer → Jan Muller Vollmer → Anne Rives McCormick Muller → Eloise A. “Elvie/Elvia” Slaughter McCormick → Lula Arnelia Rives → Robert Calhoun Rives → Robert Rives → Green Rives → William Rives → Timothy Rives → Col. William Rives → George Rives</x:t>
        </x:is>
      </x:c>
      <x:c r="Q128" s="39" t="inlineStr">
        <x:is>
          <x:t xml:space="preserve">The link to immigrant William is inherited/traditional and should not be treated as proved.</x:t>
        </x:is>
      </x:c>
      <x:c r="R128" s="39" t="inlineStr">
        <x:is>
          <x:t xml:space="preserve">S4, S13</x:t>
        </x:is>
      </x:c>
    </x:row>
    <x:row r="129">
      <x:c r="A129" s="39" t="inlineStr">
        <x:is>
          <x:t xml:space="preserve">I082</x:t>
        </x:is>
      </x:c>
      <x:c r="B129" s="39" t="inlineStr">
        <x:is>
          <x:t xml:space="preserve">6736</x:t>
        </x:is>
      </x:c>
      <x:c r="C129" s="39" t="n">
        <x:v>12</x:v>
      </x:c>
      <x:c r="D129" s="39" t="inlineStr">
        <x:is>
          <x:t xml:space="preserve">Andrew Ward</x:t>
        </x:is>
      </x:c>
      <x:c r="E129" s="39" t="inlineStr">
        <x:is>
          <x:t xml:space="preserve">M</x:t>
        </x:is>
      </x:c>
      <x:c r="F129" s="39" t="inlineStr">
        <x:is>
          <x:t xml:space="preserve">about 1603</x:t>
        </x:is>
      </x:c>
      <x:c r="G129" s="39" t="n">
        <x:v>1603</x:v>
      </x:c>
      <x:c r="H129" s="39" t="str"/>
      <x:c r="I129" s="39" t="inlineStr">
        <x:is>
          <x:t xml:space="preserve">1659</x:t>
        </x:is>
      </x:c>
      <x:c r="J129" s="39" t="n">
        <x:v>1659</x:v>
      </x:c>
      <x:c r="K129" s="39" t="str"/>
      <x:c r="L129" s="39" t="inlineStr">
        <x:is>
          <x:t xml:space="preserve">Lee / New England</x:t>
        </x:is>
      </x:c>
      <x:c r="M129" s="39" t="inlineStr">
        <x:is>
          <x:t xml:space="preserve">B - Strong</x:t>
        </x:is>
      </x:c>
      <x:c r="N129" s="39" t="str"/>
      <x:c r="O129" s="39" t="str"/>
      <x:c r="P129" s="39" t="inlineStr">
        <x:is>
          <x:t xml:space="preserve">Fredric Muller Vollmer → Jan Muller Vollmer → Arthur John Muller → Elma Anna Lee → Elmer Ellsworth Lee → Hubbard Stone Lee → Grace Stone → John Evarts Stone → Carine Ward → William Ward → William Ward → Andrew Ward Jr. → Andrew Ward</x:t>
        </x:is>
      </x:c>
      <x:c r="Q129" s="39" t="str"/>
      <x:c r="R129" s="39" t="inlineStr">
        <x:is>
          <x:t xml:space="preserve">S7</x:t>
        </x:is>
      </x:c>
    </x:row>
    <x:row r="130">
      <x:c r="A130" s="39" t="inlineStr">
        <x:is>
          <x:t xml:space="preserve">I087</x:t>
        </x:is>
      </x:c>
      <x:c r="B130" s="39" t="inlineStr">
        <x:is>
          <x:t xml:space="preserve">6743</x:t>
        </x:is>
      </x:c>
      <x:c r="C130" s="39" t="n">
        <x:v>12</x:v>
      </x:c>
      <x:c r="D130" s="39" t="inlineStr">
        <x:is>
          <x:t xml:space="preserve">Ann Spinning</x:t>
        </x:is>
      </x:c>
      <x:c r="E130" s="39" t="inlineStr">
        <x:is>
          <x:t xml:space="preserve">F</x:t>
        </x:is>
      </x:c>
      <x:c r="F130" s="39" t="str"/>
      <x:c r="G130" s="39" t="n"/>
      <x:c r="H130" s="39" t="str"/>
      <x:c r="I130" s="39" t="inlineStr">
        <x:is>
          <x:t xml:space="preserve">about 1658</x:t>
        </x:is>
      </x:c>
      <x:c r="J130" s="39" t="n">
        <x:v>1658</x:v>
      </x:c>
      <x:c r="K130" s="39" t="str"/>
      <x:c r="L130" s="39" t="inlineStr">
        <x:is>
          <x:t xml:space="preserve">Lee / New England</x:t>
        </x:is>
      </x:c>
      <x:c r="M130" s="39" t="inlineStr">
        <x:is>
          <x:t xml:space="preserve">B - Strong</x:t>
        </x:is>
      </x:c>
      <x:c r="N130" s="39" t="inlineStr">
        <x:is>
          <x:t xml:space="preserve">Humphrey Spinning</x:t>
        </x:is>
      </x:c>
      <x:c r="O130" s="39" t="str"/>
      <x:c r="P130" s="39" t="inlineStr">
        <x:is>
          <x:t xml:space="preserve">Fredric Muller Vollmer → Jan Muller Vollmer → Arthur John Muller → Elma Anna Lee → Elmer Ellsworth Lee → Hubbard Stone Lee → Grace Stone → John Evarts Stone → Carine Ward → William Ward → Lettice Beach → Mary Royce → Ann Spinning</x:t>
        </x:is>
      </x:c>
      <x:c r="Q130" s="39" t="str"/>
      <x:c r="R130" s="39" t="inlineStr">
        <x:is>
          <x:t xml:space="preserve">S7</x:t>
        </x:is>
      </x:c>
    </x:row>
    <x:row r="131">
      <x:c r="A131" s="39" t="inlineStr">
        <x:is>
          <x:t xml:space="preserve">I080</x:t>
        </x:is>
      </x:c>
      <x:c r="B131" s="39" t="inlineStr">
        <x:is>
          <x:t xml:space="preserve">6729</x:t>
        </x:is>
      </x:c>
      <x:c r="C131" s="39" t="n">
        <x:v>12</x:v>
      </x:c>
      <x:c r="D131" s="39" t="inlineStr">
        <x:is>
          <x:t xml:space="preserve">Elizabeth (surname unknown), wife of John Evarts</x:t>
        </x:is>
      </x:c>
      <x:c r="E131" s="39" t="inlineStr">
        <x:is>
          <x:t xml:space="preserve">F</x:t>
        </x:is>
      </x:c>
      <x:c r="F131" s="39" t="str"/>
      <x:c r="G131" s="39" t="n"/>
      <x:c r="H131" s="39" t="str"/>
      <x:c r="I131" s="39" t="str"/>
      <x:c r="J131" s="39" t="n"/>
      <x:c r="K131" s="39" t="str"/>
      <x:c r="L131" s="39" t="inlineStr">
        <x:is>
          <x:t xml:space="preserve">Lee / New England</x:t>
        </x:is>
      </x:c>
      <x:c r="M131" s="39" t="inlineStr">
        <x:is>
          <x:t xml:space="preserve">B - Strong</x:t>
        </x:is>
      </x:c>
      <x:c r="N131" s="39" t="str"/>
      <x:c r="O131" s="39" t="str"/>
      <x:c r="P131" s="39" t="inlineStr">
        <x:is>
          <x:t xml:space="preserve">Fredric Muller Vollmer → Jan Muller Vollmer → Arthur John Muller → Elma Anna Lee → Elmer Ellsworth Lee → Hubbard Stone Lee → Grace Stone → John Evarts Stone → Asher Stone → Rebecca Evarts → James Evarts → Daniel Evarts → Elizabeth (surname unknown), wife of John Evarts</x:t>
        </x:is>
      </x:c>
      <x:c r="Q131" s="39" t="str"/>
      <x:c r="R131" s="39" t="inlineStr">
        <x:is>
          <x:t xml:space="preserve">S7</x:t>
        </x:is>
      </x:c>
    </x:row>
    <x:row r="132">
      <x:c r="A132" s="39" t="inlineStr">
        <x:is>
          <x:t xml:space="preserve">I081</x:t>
        </x:is>
      </x:c>
      <x:c r="B132" s="39" t="inlineStr">
        <x:is>
          <x:t xml:space="preserve">6730</x:t>
        </x:is>
      </x:c>
      <x:c r="C132" s="39" t="n">
        <x:v>12</x:v>
      </x:c>
      <x:c r="D132" s="39" t="inlineStr">
        <x:is>
          <x:t xml:space="preserve">Henry Dowd</x:t>
        </x:is>
      </x:c>
      <x:c r="E132" s="39" t="inlineStr">
        <x:is>
          <x:t xml:space="preserve">M</x:t>
        </x:is>
      </x:c>
      <x:c r="F132" s="39" t="str"/>
      <x:c r="G132" s="39" t="n"/>
      <x:c r="H132" s="39" t="str"/>
      <x:c r="I132" s="39" t="str"/>
      <x:c r="J132" s="39" t="n"/>
      <x:c r="K132" s="39" t="str"/>
      <x:c r="L132" s="39" t="inlineStr">
        <x:is>
          <x:t xml:space="preserve">Lee / New England</x:t>
        </x:is>
      </x:c>
      <x:c r="M132" s="39" t="inlineStr">
        <x:is>
          <x:t xml:space="preserve">B - Strong</x:t>
        </x:is>
      </x:c>
      <x:c r="N132" s="39" t="str"/>
      <x:c r="O132" s="39" t="str"/>
      <x:c r="P132" s="39" t="inlineStr">
        <x:is>
          <x:t xml:space="preserve">Fredric Muller Vollmer → Jan Muller Vollmer → Arthur John Muller → Elma Anna Lee → Elmer Ellsworth Lee → Hubbard Stone Lee → Grace Stone → John Evarts Stone → Asher Stone → Rebecca Evarts → James Evarts → Rebecca Dowd → Henry Dowd</x:t>
        </x:is>
      </x:c>
      <x:c r="Q132" s="39" t="str"/>
      <x:c r="R132" s="39" t="inlineStr">
        <x:is>
          <x:t xml:space="preserve">S7</x:t>
        </x:is>
      </x:c>
    </x:row>
    <x:row r="133">
      <x:c r="A133" s="39" t="inlineStr">
        <x:is>
          <x:t xml:space="preserve">I083</x:t>
        </x:is>
      </x:c>
      <x:c r="B133" s="39" t="inlineStr">
        <x:is>
          <x:t xml:space="preserve">6737</x:t>
        </x:is>
      </x:c>
      <x:c r="C133" s="39" t="n">
        <x:v>12</x:v>
      </x:c>
      <x:c r="D133" s="39" t="inlineStr">
        <x:is>
          <x:t xml:space="preserve">Hester Sherman</x:t>
        </x:is>
      </x:c>
      <x:c r="E133" s="39" t="inlineStr">
        <x:is>
          <x:t xml:space="preserve">F</x:t>
        </x:is>
      </x:c>
      <x:c r="F133" s="39" t="inlineStr">
        <x:is>
          <x:t xml:space="preserve">baptized 1 Apr 1606</x:t>
        </x:is>
      </x:c>
      <x:c r="G133" s="39" t="n">
        <x:v>1606</x:v>
      </x:c>
      <x:c r="H133" s="39" t="inlineStr">
        <x:is>
          <x:t xml:space="preserve">Dedham, Essex, England</x:t>
        </x:is>
      </x:c>
      <x:c r="I133" s="39" t="inlineStr">
        <x:is>
          <x:t xml:space="preserve">1665/66</x:t>
        </x:is>
      </x:c>
      <x:c r="J133" s="39" t="n">
        <x:v>1665</x:v>
      </x:c>
      <x:c r="K133" s="39" t="str"/>
      <x:c r="L133" s="39" t="inlineStr">
        <x:is>
          <x:t xml:space="preserve">Lee / New England</x:t>
        </x:is>
      </x:c>
      <x:c r="M133" s="39" t="inlineStr">
        <x:is>
          <x:t xml:space="preserve">B - Strong</x:t>
        </x:is>
      </x:c>
      <x:c r="N133" s="39" t="inlineStr">
        <x:is>
          <x:t xml:space="preserve">Edmund Sherman</x:t>
        </x:is>
      </x:c>
      <x:c r="O133" s="39" t="inlineStr">
        <x:is>
          <x:t xml:space="preserve">Grace Makin</x:t>
        </x:is>
      </x:c>
      <x:c r="P133" s="39" t="inlineStr">
        <x:is>
          <x:t xml:space="preserve">Fredric Muller Vollmer → Jan Muller Vollmer → Arthur John Muller → Elma Anna Lee → Elmer Ellsworth Lee → Hubbard Stone Lee → Grace Stone → John Evarts Stone → Carine Ward → William Ward → William Ward → Andrew Ward Jr. → Hester Sherman</x:t>
        </x:is>
      </x:c>
      <x:c r="Q133" s="39" t="str"/>
      <x:c r="R133" s="39" t="inlineStr">
        <x:is>
          <x:t xml:space="preserve">S7</x:t>
        </x:is>
      </x:c>
    </x:row>
    <x:row r="134">
      <x:c r="A134" s="39" t="inlineStr">
        <x:is>
          <x:t xml:space="preserve">I079</x:t>
        </x:is>
      </x:c>
      <x:c r="B134" s="39" t="inlineStr">
        <x:is>
          <x:t xml:space="preserve">6728</x:t>
        </x:is>
      </x:c>
      <x:c r="C134" s="39" t="n">
        <x:v>12</x:v>
      </x:c>
      <x:c r="D134" s="39" t="inlineStr">
        <x:is>
          <x:t xml:space="preserve">John Evarts</x:t>
        </x:is>
      </x:c>
      <x:c r="E134" s="39" t="inlineStr">
        <x:is>
          <x:t xml:space="preserve">M</x:t>
        </x:is>
      </x:c>
      <x:c r="F134" s="39" t="inlineStr">
        <x:is>
          <x:t xml:space="preserve">about 1600</x:t>
        </x:is>
      </x:c>
      <x:c r="G134" s="39" t="n">
        <x:v>1600</x:v>
      </x:c>
      <x:c r="H134" s="39" t="str"/>
      <x:c r="I134" s="39" t="inlineStr">
        <x:is>
          <x:t xml:space="preserve">buried 10 May 1669</x:t>
        </x:is>
      </x:c>
      <x:c r="J134" s="39" t="n">
        <x:v>1669</x:v>
      </x:c>
      <x:c r="K134" s="39" t="inlineStr">
        <x:is>
          <x:t xml:space="preserve">Guilford, New Haven County, Connecticut</x:t>
        </x:is>
      </x:c>
      <x:c r="L134" s="39" t="inlineStr">
        <x:is>
          <x:t xml:space="preserve">Lee / New England</x:t>
        </x:is>
      </x:c>
      <x:c r="M134" s="39" t="inlineStr">
        <x:is>
          <x:t xml:space="preserve">B - Strong</x:t>
        </x:is>
      </x:c>
      <x:c r="N134" s="39" t="str"/>
      <x:c r="O134" s="39" t="str"/>
      <x:c r="P134" s="39" t="inlineStr">
        <x:is>
          <x:t xml:space="preserve">Fredric Muller Vollmer → Jan Muller Vollmer → Arthur John Muller → Elma Anna Lee → Elmer Ellsworth Lee → Hubbard Stone Lee → Grace Stone → John Evarts Stone → Asher Stone → Rebecca Evarts → James Evarts → Daniel Evarts → John Evarts</x:t>
        </x:is>
      </x:c>
      <x:c r="Q134" s="39" t="str"/>
      <x:c r="R134" s="39" t="inlineStr">
        <x:is>
          <x:t xml:space="preserve">S7</x:t>
        </x:is>
      </x:c>
    </x:row>
    <x:row r="135">
      <x:c r="A135" s="39" t="inlineStr">
        <x:is>
          <x:t xml:space="preserve">I073</x:t>
        </x:is>
      </x:c>
      <x:c r="B135" s="39" t="inlineStr">
        <x:is>
          <x:t xml:space="preserve">6720</x:t>
        </x:is>
      </x:c>
      <x:c r="C135" s="39" t="n">
        <x:v>12</x:v>
      </x:c>
      <x:c r="D135" s="39" t="inlineStr">
        <x:is>
          <x:t xml:space="preserve">John Stone</x:t>
        </x:is>
      </x:c>
      <x:c r="E135" s="39" t="inlineStr">
        <x:is>
          <x:t xml:space="preserve">M</x:t>
        </x:is>
      </x:c>
      <x:c r="F135" s="39" t="inlineStr">
        <x:is>
          <x:t xml:space="preserve">about 1610</x:t>
        </x:is>
      </x:c>
      <x:c r="G135" s="39" t="n">
        <x:v>1610</x:v>
      </x:c>
      <x:c r="H135" s="39" t="str"/>
      <x:c r="I135" s="39" t="inlineStr">
        <x:is>
          <x:t xml:space="preserve">Feb 1687</x:t>
        </x:is>
      </x:c>
      <x:c r="J135" s="39" t="n">
        <x:v>1687</x:v>
      </x:c>
      <x:c r="K135" s="39" t="inlineStr">
        <x:is>
          <x:t xml:space="preserve">Guilford, New Haven County, Connecticut</x:t>
        </x:is>
      </x:c>
      <x:c r="L135" s="39" t="inlineStr">
        <x:is>
          <x:t xml:space="preserve">Lee / New England</x:t>
        </x:is>
      </x:c>
      <x:c r="M135" s="39" t="inlineStr">
        <x:is>
          <x:t xml:space="preserve">B - Strong</x:t>
        </x:is>
      </x:c>
      <x:c r="N135" s="39" t="str"/>
      <x:c r="O135" s="39" t="str"/>
      <x:c r="P135" s="39" t="inlineStr">
        <x:is>
          <x:t xml:space="preserve">Fredric Muller Vollmer → Jan Muller Vollmer → Arthur John Muller → Elma Anna Lee → Elmer Ellsworth Lee → Hubbard Stone Lee → Grace Stone → John Evarts Stone → Asher Stone → Caleb Stone Jr. → Caleb Stone → Nathaniel Stone → John Stone</x:t>
        </x:is>
      </x:c>
      <x:c r="Q135" s="39" t="str"/>
      <x:c r="R135" s="39" t="inlineStr">
        <x:is>
          <x:t xml:space="preserve">S7</x:t>
        </x:is>
      </x:c>
    </x:row>
    <x:row r="136">
      <x:c r="A136" s="39" t="inlineStr">
        <x:is>
          <x:t xml:space="preserve">I086</x:t>
        </x:is>
      </x:c>
      <x:c r="B136" s="39" t="inlineStr">
        <x:is>
          <x:t xml:space="preserve">6742</x:t>
        </x:is>
      </x:c>
      <x:c r="C136" s="39" t="n">
        <x:v>12</x:v>
      </x:c>
      <x:c r="D136" s="39" t="inlineStr">
        <x:is>
          <x:t xml:space="preserve">Jonathan Royce</x:t>
        </x:is>
      </x:c>
      <x:c r="E136" s="39" t="inlineStr">
        <x:is>
          <x:t xml:space="preserve">M</x:t>
        </x:is>
      </x:c>
      <x:c r="F136" s="39" t="str"/>
      <x:c r="G136" s="39" t="n"/>
      <x:c r="H136" s="39" t="str"/>
      <x:c r="I136" s="39" t="inlineStr">
        <x:is>
          <x:t xml:space="preserve">about 1690</x:t>
        </x:is>
      </x:c>
      <x:c r="J136" s="39" t="n">
        <x:v>1690</x:v>
      </x:c>
      <x:c r="K136" s="39" t="str"/>
      <x:c r="L136" s="39" t="inlineStr">
        <x:is>
          <x:t xml:space="preserve">Lee / New England</x:t>
        </x:is>
      </x:c>
      <x:c r="M136" s="39" t="inlineStr">
        <x:is>
          <x:t xml:space="preserve">B - Strong</x:t>
        </x:is>
      </x:c>
      <x:c r="N136" s="39" t="inlineStr">
        <x:is>
          <x:t xml:space="preserve">Robert Royce</x:t>
        </x:is>
      </x:c>
      <x:c r="O136" s="39" t="inlineStr">
        <x:is>
          <x:t xml:space="preserve">Mary (surname unknown), wife of Robert Royce</x:t>
        </x:is>
      </x:c>
      <x:c r="P136" s="39" t="inlineStr">
        <x:is>
          <x:t xml:space="preserve">Fredric Muller Vollmer → Jan Muller Vollmer → Arthur John Muller → Elma Anna Lee → Elmer Ellsworth Lee → Hubbard Stone Lee → Grace Stone → John Evarts Stone → Carine Ward → William Ward → Lettice Beach → Mary Royce → Jonathan Royce</x:t>
        </x:is>
      </x:c>
      <x:c r="Q136" s="39" t="str"/>
      <x:c r="R136" s="39" t="inlineStr">
        <x:is>
          <x:t xml:space="preserve">S7</x:t>
        </x:is>
      </x:c>
    </x:row>
    <x:row r="137">
      <x:c r="A137" s="39" t="inlineStr">
        <x:is>
          <x:t xml:space="preserve">I078</x:t>
        </x:is>
      </x:c>
      <x:c r="B137" s="39" t="inlineStr">
        <x:is>
          <x:t xml:space="preserve">6727</x:t>
        </x:is>
      </x:c>
      <x:c r="C137" s="39" t="n">
        <x:v>12</x:v>
      </x:c>
      <x:c r="D137" s="39" t="inlineStr">
        <x:is>
          <x:t xml:space="preserve">Margaret Harvey</x:t>
        </x:is>
      </x:c>
      <x:c r="E137" s="39" t="inlineStr">
        <x:is>
          <x:t xml:space="preserve">F</x:t>
        </x:is>
      </x:c>
      <x:c r="F137" s="39" t="str"/>
      <x:c r="G137" s="39" t="n"/>
      <x:c r="H137" s="39" t="str"/>
      <x:c r="I137" s="39" t="str"/>
      <x:c r="J137" s="39" t="n"/>
      <x:c r="K137" s="39" t="str"/>
      <x:c r="L137" s="39" t="inlineStr">
        <x:is>
          <x:t xml:space="preserve">Lee / New England</x:t>
        </x:is>
      </x:c>
      <x:c r="M137" s="39" t="inlineStr">
        <x:is>
          <x:t xml:space="preserve">B - Strong</x:t>
        </x:is>
      </x:c>
      <x:c r="N137" s="39" t="inlineStr">
        <x:is>
          <x:t xml:space="preserve">James Harvey</x:t>
        </x:is>
      </x:c>
      <x:c r="O137" s="39" t="str"/>
      <x:c r="P137" s="39" t="inlineStr">
        <x:is>
          <x:t xml:space="preserve">Fredric Muller Vollmer → Jan Muller Vollmer → Arthur John Muller → Elma Anna Lee → Elmer Ellsworth Lee → Hubbard Stone Lee → Grace Stone → John Evarts Stone → Asher Stone → Caleb Stone Jr. → Sarah Meigs → Sarah Wilcockson → Margaret Harvey</x:t>
        </x:is>
      </x:c>
      <x:c r="Q137" s="39" t="str"/>
      <x:c r="R137" s="39" t="inlineStr">
        <x:is>
          <x:t xml:space="preserve">S7</x:t>
        </x:is>
      </x:c>
    </x:row>
    <x:row r="138">
      <x:c r="A138" s="39" t="inlineStr">
        <x:is>
          <x:t xml:space="preserve">I074</x:t>
        </x:is>
      </x:c>
      <x:c r="B138" s="39" t="inlineStr">
        <x:is>
          <x:t xml:space="preserve">6721</x:t>
        </x:is>
      </x:c>
      <x:c r="C138" s="39" t="n">
        <x:v>12</x:v>
      </x:c>
      <x:c r="D138" s="39" t="inlineStr">
        <x:is>
          <x:t xml:space="preserve">Mary (surname unknown), wife of John Stone</x:t>
        </x:is>
      </x:c>
      <x:c r="E138" s="39" t="inlineStr">
        <x:is>
          <x:t xml:space="preserve">F</x:t>
        </x:is>
      </x:c>
      <x:c r="F138" s="39" t="str"/>
      <x:c r="G138" s="39" t="n"/>
      <x:c r="H138" s="39" t="str"/>
      <x:c r="I138" s="39" t="inlineStr">
        <x:is>
          <x:t xml:space="preserve">Feb 1687</x:t>
        </x:is>
      </x:c>
      <x:c r="J138" s="39" t="n">
        <x:v>1687</x:v>
      </x:c>
      <x:c r="K138" s="39" t="inlineStr">
        <x:is>
          <x:t xml:space="preserve">Guilford, New Haven County, Connecticut</x:t>
        </x:is>
      </x:c>
      <x:c r="L138" s="39" t="inlineStr">
        <x:is>
          <x:t xml:space="preserve">Lee / New England</x:t>
        </x:is>
      </x:c>
      <x:c r="M138" s="39" t="inlineStr">
        <x:is>
          <x:t xml:space="preserve">B - Strong</x:t>
        </x:is>
      </x:c>
      <x:c r="N138" s="39" t="str"/>
      <x:c r="O138" s="39" t="str"/>
      <x:c r="P138" s="39" t="inlineStr">
        <x:is>
          <x:t xml:space="preserve">Fredric Muller Vollmer → Jan Muller Vollmer → Arthur John Muller → Elma Anna Lee → Elmer Ellsworth Lee → Hubbard Stone Lee → Grace Stone → John Evarts Stone → Asher Stone → Caleb Stone Jr. → Caleb Stone → Nathaniel Stone → Mary (surname unknown), wife of John Stone</x:t>
        </x:is>
      </x:c>
      <x:c r="Q138" s="39" t="str"/>
      <x:c r="R138" s="39" t="inlineStr">
        <x:is>
          <x:t xml:space="preserve">S7</x:t>
        </x:is>
      </x:c>
    </x:row>
    <x:row r="139">
      <x:c r="A139" s="39" t="inlineStr">
        <x:is>
          <x:t xml:space="preserve">I085</x:t>
        </x:is>
      </x:c>
      <x:c r="B139" s="39" t="inlineStr">
        <x:is>
          <x:t xml:space="preserve">6741</x:t>
        </x:is>
      </x:c>
      <x:c r="C139" s="39" t="n">
        <x:v>12</x:v>
      </x:c>
      <x:c r="D139" s="39" t="inlineStr">
        <x:is>
          <x:t xml:space="preserve">Sarah Platt</x:t>
        </x:is>
      </x:c>
      <x:c r="E139" s="39" t="inlineStr">
        <x:is>
          <x:t xml:space="preserve">F</x:t>
        </x:is>
      </x:c>
      <x:c r="F139" s="39" t="inlineStr">
        <x:is>
          <x:t xml:space="preserve">baptized 11 Sep 1636</x:t>
        </x:is>
      </x:c>
      <x:c r="G139" s="39" t="n">
        <x:v>1636</x:v>
      </x:c>
      <x:c r="H139" s="39" t="inlineStr">
        <x:is>
          <x:t xml:space="preserve">Ware, Hertfordshire, England</x:t>
        </x:is>
      </x:c>
      <x:c r="I139" s="39" t="inlineStr">
        <x:is>
          <x:t xml:space="preserve">15 May 1670</x:t>
        </x:is>
      </x:c>
      <x:c r="J139" s="39" t="n">
        <x:v>1670</x:v>
      </x:c>
      <x:c r="K139" s="39" t="inlineStr">
        <x:is>
          <x:t xml:space="preserve">Milford, New Haven County, Connecticut</x:t>
        </x:is>
      </x:c>
      <x:c r="L139" s="39" t="inlineStr">
        <x:is>
          <x:t xml:space="preserve">Lee / New England</x:t>
        </x:is>
      </x:c>
      <x:c r="M139" s="39" t="inlineStr">
        <x:is>
          <x:t xml:space="preserve">B - Strong</x:t>
        </x:is>
      </x:c>
      <x:c r="N139" s="39" t="inlineStr">
        <x:is>
          <x:t xml:space="preserve">Richard Platt</x:t>
        </x:is>
      </x:c>
      <x:c r="O139" s="39" t="inlineStr">
        <x:is>
          <x:t xml:space="preserve">Mary Wood</x:t>
        </x:is>
      </x:c>
      <x:c r="P139" s="39" t="inlineStr">
        <x:is>
          <x:t xml:space="preserve">Fredric Muller Vollmer → Jan Muller Vollmer → Arthur John Muller → Elma Anna Lee → Elmer Ellsworth Lee → Hubbard Stone Lee → Grace Stone → John Evarts Stone → Carine Ward → William Ward → Lettice Beach → John Beach → Sarah Platt</x:t>
        </x:is>
      </x:c>
      <x:c r="Q139" s="39" t="str"/>
      <x:c r="R139" s="39" t="inlineStr">
        <x:is>
          <x:t xml:space="preserve">S7</x:t>
        </x:is>
      </x:c>
    </x:row>
    <x:row r="140">
      <x:c r="A140" s="39" t="inlineStr">
        <x:is>
          <x:t xml:space="preserve">I076</x:t>
        </x:is>
      </x:c>
      <x:c r="B140" s="39" t="inlineStr">
        <x:is>
          <x:t xml:space="preserve">6725, 6739, 13477</x:t>
        </x:is>
      </x:c>
      <x:c r="C140" s="39" t="n">
        <x:v>12</x:v>
      </x:c>
      <x:c r="D140" s="39" t="inlineStr">
        <x:is>
          <x:t xml:space="preserve">Tamasin Fry</x:t>
        </x:is>
      </x:c>
      <x:c r="E140" s="39" t="inlineStr">
        <x:is>
          <x:t xml:space="preserve">F</x:t>
        </x:is>
      </x:c>
      <x:c r="F140" s="39" t="str"/>
      <x:c r="G140" s="39" t="n"/>
      <x:c r="H140" s="39" t="str"/>
      <x:c r="I140" s="39" t="inlineStr">
        <x:is>
          <x:t xml:space="preserve">after 28 Aug 1671</x:t>
        </x:is>
      </x:c>
      <x:c r="J140" s="39" t="n">
        <x:v>1671</x:v>
      </x:c>
      <x:c r="K140" s="39" t="str"/>
      <x:c r="L140" s="39" t="inlineStr">
        <x:is>
          <x:t xml:space="preserve">Lee / New England</x:t>
        </x:is>
      </x:c>
      <x:c r="M140" s="39" t="inlineStr">
        <x:is>
          <x:t xml:space="preserve">B - Strong</x:t>
        </x:is>
      </x:c>
      <x:c r="N140" s="39" t="str"/>
      <x:c r="O140" s="39" t="str"/>
      <x:c r="P140" s="39" t="inlineStr">
        <x:is>
          <x:t xml:space="preserve">Fredric Muller Vollmer → Jan Muller Vollmer → Arthur John Muller → Elma Anna Lee → Elmer Ellsworth Lee → Hubbard Stone Lee → Grace Stone → John Evarts Stone → Asher Stone → Caleb Stone Jr. → Sarah Meigs → John Meigs → Tamasin Fry</x:t>
        </x:is>
      </x:c>
      <x:c r="Q140" s="39" t="str"/>
      <x:c r="R140" s="39" t="inlineStr">
        <x:is>
          <x:t xml:space="preserve">S7</x:t>
        </x:is>
      </x:c>
    </x:row>
    <x:row r="141">
      <x:c r="A141" s="39" t="inlineStr">
        <x:is>
          <x:t xml:space="preserve">I084</x:t>
        </x:is>
      </x:c>
      <x:c r="B141" s="39" t="inlineStr">
        <x:is>
          <x:t xml:space="preserve">6740</x:t>
        </x:is>
      </x:c>
      <x:c r="C141" s="39" t="n">
        <x:v>12</x:v>
      </x:c>
      <x:c r="D141" s="39" t="inlineStr">
        <x:is>
          <x:t xml:space="preserve">Thomas Beach</x:t>
        </x:is>
      </x:c>
      <x:c r="E141" s="39" t="inlineStr">
        <x:is>
          <x:t xml:space="preserve">M</x:t>
        </x:is>
      </x:c>
      <x:c r="F141" s="39" t="str"/>
      <x:c r="G141" s="39" t="n"/>
      <x:c r="H141" s="39" t="str"/>
      <x:c r="I141" s="39" t="inlineStr">
        <x:is>
          <x:t xml:space="preserve">by 31 May 1662</x:t>
        </x:is>
      </x:c>
      <x:c r="J141" s="39" t="n">
        <x:v>1662</x:v>
      </x:c>
      <x:c r="K141" s="39" t="inlineStr">
        <x:is>
          <x:t xml:space="preserve">Milford, New Haven County, Connecticut</x:t>
        </x:is>
      </x:c>
      <x:c r="L141" s="39" t="inlineStr">
        <x:is>
          <x:t xml:space="preserve">Lee / New England</x:t>
        </x:is>
      </x:c>
      <x:c r="M141" s="39" t="inlineStr">
        <x:is>
          <x:t xml:space="preserve">B - Strong</x:t>
        </x:is>
      </x:c>
      <x:c r="N141" s="39" t="inlineStr">
        <x:is>
          <x:t xml:space="preserve">Unknown Beach (father of Thomas Beach)</x:t>
        </x:is>
      </x:c>
      <x:c r="O141" s="39" t="str"/>
      <x:c r="P141" s="39" t="inlineStr">
        <x:is>
          <x:t xml:space="preserve">Fredric Muller Vollmer → Jan Muller Vollmer → Arthur John Muller → Elma Anna Lee → Elmer Ellsworth Lee → Hubbard Stone Lee → Grace Stone → John Evarts Stone → Carine Ward → William Ward → Lettice Beach → John Beach → Thomas Beach</x:t>
        </x:is>
      </x:c>
      <x:c r="Q141" s="39" t="str"/>
      <x:c r="R141" s="39" t="inlineStr">
        <x:is>
          <x:t xml:space="preserve">S7</x:t>
        </x:is>
      </x:c>
    </x:row>
    <x:row r="142">
      <x:c r="A142" s="39" t="inlineStr">
        <x:is>
          <x:t xml:space="preserve">I075</x:t>
        </x:is>
      </x:c>
      <x:c r="B142" s="39" t="inlineStr">
        <x:is>
          <x:t xml:space="preserve">6724, 13476</x:t>
        </x:is>
      </x:c>
      <x:c r="C142" s="39" t="n">
        <x:v>12</x:v>
      </x:c>
      <x:c r="D142" s="39" t="inlineStr">
        <x:is>
          <x:t xml:space="preserve">Vincent Meigs</x:t>
        </x:is>
      </x:c>
      <x:c r="E142" s="39" t="inlineStr">
        <x:is>
          <x:t xml:space="preserve">M</x:t>
        </x:is>
      </x:c>
      <x:c r="F142" s="39" t="inlineStr">
        <x:is>
          <x:t xml:space="preserve">about 1583</x:t>
        </x:is>
      </x:c>
      <x:c r="G142" s="39" t="n">
        <x:v>1583</x:v>
      </x:c>
      <x:c r="H142" s="39" t="str"/>
      <x:c r="I142" s="39" t="inlineStr">
        <x:is>
          <x:t xml:space="preserve">Dec 1658</x:t>
        </x:is>
      </x:c>
      <x:c r="J142" s="39" t="n">
        <x:v>1658</x:v>
      </x:c>
      <x:c r="K142" s="39" t="inlineStr">
        <x:is>
          <x:t xml:space="preserve">Killingworth, Middlesex County, Connecticut</x:t>
        </x:is>
      </x:c>
      <x:c r="L142" s="39" t="inlineStr">
        <x:is>
          <x:t xml:space="preserve">Lee / New England</x:t>
        </x:is>
      </x:c>
      <x:c r="M142" s="39" t="inlineStr">
        <x:is>
          <x:t xml:space="preserve">C - Provisional</x:t>
        </x:is>
      </x:c>
      <x:c r="N142" s="39" t="str"/>
      <x:c r="O142" s="39" t="str"/>
      <x:c r="P142" s="39" t="inlineStr">
        <x:is>
          <x:t xml:space="preserve">Fredric Muller Vollmer → Jan Muller Vollmer → Arthur John Muller → Elma Anna Lee → Elmer Ellsworth Lee → Hubbard Stone Lee → Grace Stone → John Evarts Stone → Asher Stone → Caleb Stone Jr. → Sarah Meigs → John Meigs → Vincent Meigs</x:t>
        </x:is>
      </x:c>
      <x:c r="Q142" s="39" t="str"/>
      <x:c r="R142" s="39" t="inlineStr">
        <x:is>
          <x:t xml:space="preserve">S7</x:t>
        </x:is>
      </x:c>
    </x:row>
    <x:row r="143">
      <x:c r="A143" s="39" t="inlineStr">
        <x:is>
          <x:t xml:space="preserve">I077</x:t>
        </x:is>
      </x:c>
      <x:c r="B143" s="39" t="inlineStr">
        <x:is>
          <x:t xml:space="preserve">6726</x:t>
        </x:is>
      </x:c>
      <x:c r="C143" s="39" t="n">
        <x:v>12</x:v>
      </x:c>
      <x:c r="D143" s="39" t="inlineStr">
        <x:is>
          <x:t xml:space="preserve">William Wilcockson</x:t>
        </x:is>
      </x:c>
      <x:c r="E143" s="39" t="inlineStr">
        <x:is>
          <x:t xml:space="preserve">M</x:t>
        </x:is>
      </x:c>
      <x:c r="F143" s="39" t="inlineStr">
        <x:is>
          <x:t xml:space="preserve">about 1601</x:t>
        </x:is>
      </x:c>
      <x:c r="G143" s="39" t="n">
        <x:v>1601</x:v>
      </x:c>
      <x:c r="H143" s="39" t="inlineStr">
        <x:is>
          <x:t xml:space="preserve">St. Albans, Hertfordshire, England</x:t>
        </x:is>
      </x:c>
      <x:c r="I143" s="39" t="inlineStr">
        <x:is>
          <x:t xml:space="preserve">1651/52</x:t>
        </x:is>
      </x:c>
      <x:c r="J143" s="39" t="n">
        <x:v>1651</x:v>
      </x:c>
      <x:c r="K143" s="39" t="inlineStr">
        <x:is>
          <x:t xml:space="preserve">Cambridge, Massachusetts</x:t>
        </x:is>
      </x:c>
      <x:c r="L143" s="39" t="inlineStr">
        <x:is>
          <x:t xml:space="preserve">Lee / New England</x:t>
        </x:is>
      </x:c>
      <x:c r="M143" s="39" t="inlineStr">
        <x:is>
          <x:t xml:space="preserve">B - Strong</x:t>
        </x:is>
      </x:c>
      <x:c r="N143" s="39" t="str"/>
      <x:c r="O143" s="39" t="str"/>
      <x:c r="P143" s="39" t="inlineStr">
        <x:is>
          <x:t xml:space="preserve">Fredric Muller Vollmer → Jan Muller Vollmer → Arthur John Muller → Elma Anna Lee → Elmer Ellsworth Lee → Hubbard Stone Lee → Grace Stone → John Evarts Stone → Asher Stone → Caleb Stone Jr. → Sarah Meigs → Sarah Wilcockson → William Wilcockson</x:t>
        </x:is>
      </x:c>
      <x:c r="Q143" s="39" t="str"/>
      <x:c r="R143" s="39" t="inlineStr">
        <x:is>
          <x:t xml:space="preserve">S7</x:t>
        </x:is>
      </x:c>
    </x:row>
    <x:row r="144">
      <x:c r="A144" s="39" t="inlineStr">
        <x:is>
          <x:t xml:space="preserve">I157</x:t>
        </x:is>
      </x:c>
      <x:c r="B144" s="39" t="inlineStr">
        <x:is>
          <x:t xml:space="preserve">7936</x:t>
        </x:is>
      </x:c>
      <x:c r="C144" s="39" t="n">
        <x:v>12</x:v>
      </x:c>
      <x:c r="D144" s="39" t="inlineStr">
        <x:is>
          <x:t xml:space="preserve">William Rives (traditional immigrant ancestor)</x:t>
        </x:is>
      </x:c>
      <x:c r="E144" s="39" t="inlineStr">
        <x:is>
          <x:t xml:space="preserve">M</x:t>
        </x:is>
      </x:c>
      <x:c r="F144" s="39" t="inlineStr">
        <x:is>
          <x:t xml:space="preserve">about 1636</x:t>
        </x:is>
      </x:c>
      <x:c r="G144" s="39" t="n">
        <x:v>1636</x:v>
      </x:c>
      <x:c r="H144" s="39" t="inlineStr">
        <x:is>
          <x:t xml:space="preserve">Oxfordshire, England</x:t>
        </x:is>
      </x:c>
      <x:c r="I144" s="39" t="inlineStr">
        <x:is>
          <x:t xml:space="preserve">after 1695</x:t>
        </x:is>
      </x:c>
      <x:c r="J144" s="39" t="n">
        <x:v>1695</x:v>
      </x:c>
      <x:c r="K144" s="39" t="inlineStr">
        <x:is>
          <x:t xml:space="preserve">Surry County, Virginia</x:t>
        </x:is>
      </x:c>
      <x:c r="L144" s="39" t="inlineStr">
        <x:is>
          <x:t xml:space="preserve">Rives / Harrison</x:t>
        </x:is>
      </x:c>
      <x:c r="M144" s="39" t="inlineStr">
        <x:is>
          <x:t xml:space="preserve">D - Traditional / disputed</x:t>
        </x:is>
      </x:c>
      <x:c r="N144" s="39" t="str"/>
      <x:c r="O144" s="39" t="str"/>
      <x:c r="P144" s="39" t="inlineStr">
        <x:is>
          <x:t xml:space="preserve">Fredric Muller Vollmer → Jan Muller Vollmer → Anne Rives McCormick Muller → Eloise A. “Elvie/Elvia” Slaughter McCormick → Lula Arnelia Rives → Robert Calhoun Rives → Robert Rives → Green Rives → William Rives → Timothy Rives → Col. William Rives → George Rives → William Rives (traditional immigrant ancestor)</x:t>
        </x:is>
      </x:c>
      <x:c r="Q144" s="39" t="inlineStr">
        <x:is>
          <x:t xml:space="preserve">Traditionally said to have settled at Blandford, Virginia. Published researchers disagree about the earliest immigrant and the parent-child links.</x:t>
        </x:is>
      </x:c>
      <x:c r="R144" s="39" t="inlineStr">
        <x:is>
          <x:t xml:space="preserve">S4, S13</x:t>
        </x:is>
      </x:c>
    </x:row>
    <x:row r="145">
      <x:c r="A145" s="39" t="inlineStr">
        <x:is>
          <x:t xml:space="preserve">I089</x:t>
        </x:is>
      </x:c>
      <x:c r="B145" s="39" t="inlineStr">
        <x:is>
          <x:t xml:space="preserve">13474</x:t>
        </x:is>
      </x:c>
      <x:c r="C145" s="39" t="n">
        <x:v>13</x:v>
      </x:c>
      <x:c r="D145" s="39" t="inlineStr">
        <x:is>
          <x:t xml:space="preserve">Edmund Sherman</x:t>
        </x:is>
      </x:c>
      <x:c r="E145" s="39" t="inlineStr">
        <x:is>
          <x:t xml:space="preserve">M</x:t>
        </x:is>
      </x:c>
      <x:c r="F145" s="39" t="inlineStr">
        <x:is>
          <x:t xml:space="preserve">about 1572</x:t>
        </x:is>
      </x:c>
      <x:c r="G145" s="39" t="n">
        <x:v>1572</x:v>
      </x:c>
      <x:c r="H145" s="39" t="inlineStr">
        <x:is>
          <x:t xml:space="preserve">probably Dedham, Essex, England</x:t>
        </x:is>
      </x:c>
      <x:c r="I145" s="39" t="inlineStr">
        <x:is>
          <x:t xml:space="preserve">1640/41</x:t>
        </x:is>
      </x:c>
      <x:c r="J145" s="39" t="n">
        <x:v>1640</x:v>
      </x:c>
      <x:c r="K145" s="39" t="inlineStr">
        <x:is>
          <x:t xml:space="preserve">New Haven, Connecticut</x:t>
        </x:is>
      </x:c>
      <x:c r="L145" s="39" t="inlineStr">
        <x:is>
          <x:t xml:space="preserve">Lee / New England</x:t>
        </x:is>
      </x:c>
      <x:c r="M145" s="39" t="inlineStr">
        <x:is>
          <x:t xml:space="preserve">C - Provisional</x:t>
        </x:is>
      </x:c>
      <x:c r="N145" s="39" t="inlineStr">
        <x:is>
          <x:t xml:space="preserve">Edmund Sherman</x:t>
        </x:is>
      </x:c>
      <x:c r="O145" s="39" t="inlineStr">
        <x:is>
          <x:t xml:space="preserve">Anne Pellett</x:t>
        </x:is>
      </x:c>
      <x:c r="P145" s="39" t="inlineStr">
        <x:is>
          <x:t xml:space="preserve">Fredric Muller Vollmer → Jan Muller Vollmer → Arthur John Muller → Elma Anna Lee → Elmer Ellsworth Lee → Hubbard Stone Lee → Grace Stone → John Evarts Stone → Carine Ward → William Ward → William Ward → Andrew Ward Jr. → Hester Sherman → Edmund Sherman</x:t>
        </x:is>
      </x:c>
      <x:c r="Q145" s="39" t="str"/>
      <x:c r="R145" s="39" t="inlineStr">
        <x:is>
          <x:t xml:space="preserve">S7</x:t>
        </x:is>
      </x:c>
    </x:row>
    <x:row r="146">
      <x:c r="A146" s="39" t="inlineStr">
        <x:is>
          <x:t xml:space="preserve">I090</x:t>
        </x:is>
      </x:c>
      <x:c r="B146" s="39" t="inlineStr">
        <x:is>
          <x:t xml:space="preserve">13475</x:t>
        </x:is>
      </x:c>
      <x:c r="C146" s="39" t="n">
        <x:v>13</x:v>
      </x:c>
      <x:c r="D146" s="39" t="inlineStr">
        <x:is>
          <x:t xml:space="preserve">Grace Makin</x:t>
        </x:is>
      </x:c>
      <x:c r="E146" s="39" t="inlineStr">
        <x:is>
          <x:t xml:space="preserve">F</x:t>
        </x:is>
      </x:c>
      <x:c r="F146" s="39" t="inlineStr">
        <x:is>
          <x:t xml:space="preserve">about 1578</x:t>
        </x:is>
      </x:c>
      <x:c r="G146" s="39" t="n">
        <x:v>1578</x:v>
      </x:c>
      <x:c r="H146" s="39" t="str"/>
      <x:c r="I146" s="39" t="inlineStr">
        <x:is>
          <x:t xml:space="preserve">after 14 Jun 1643</x:t>
        </x:is>
      </x:c>
      <x:c r="J146" s="39" t="n">
        <x:v>1643</x:v>
      </x:c>
      <x:c r="K146" s="39" t="str"/>
      <x:c r="L146" s="39" t="inlineStr">
        <x:is>
          <x:t xml:space="preserve">Lee / New England</x:t>
        </x:is>
      </x:c>
      <x:c r="M146" s="39" t="inlineStr">
        <x:is>
          <x:t xml:space="preserve">C - Provisional</x:t>
        </x:is>
      </x:c>
      <x:c r="N146" s="39" t="inlineStr">
        <x:is>
          <x:t xml:space="preserve">Tobias Makin</x:t>
        </x:is>
      </x:c>
      <x:c r="O146" s="39" t="inlineStr">
        <x:is>
          <x:t xml:space="preserve">Katherine Westbrome</x:t>
        </x:is>
      </x:c>
      <x:c r="P146" s="39" t="inlineStr">
        <x:is>
          <x:t xml:space="preserve">Fredric Muller Vollmer → Jan Muller Vollmer → Arthur John Muller → Elma Anna Lee → Elmer Ellsworth Lee → Hubbard Stone Lee → Grace Stone → John Evarts Stone → Carine Ward → William Ward → William Ward → Andrew Ward Jr. → Hester Sherman → Grace Makin</x:t>
        </x:is>
      </x:c>
      <x:c r="Q146" s="39" t="str"/>
      <x:c r="R146" s="39" t="inlineStr">
        <x:is>
          <x:t xml:space="preserve">S7</x:t>
        </x:is>
      </x:c>
    </x:row>
    <x:row r="147">
      <x:c r="A147" s="39" t="inlineStr">
        <x:is>
          <x:t xml:space="preserve">I096</x:t>
        </x:is>
      </x:c>
      <x:c r="B147" s="39" t="inlineStr">
        <x:is>
          <x:t xml:space="preserve">13486</x:t>
        </x:is>
      </x:c>
      <x:c r="C147" s="39" t="n">
        <x:v>13</x:v>
      </x:c>
      <x:c r="D147" s="39" t="inlineStr">
        <x:is>
          <x:t xml:space="preserve">Humphrey Spinning</x:t>
        </x:is>
      </x:c>
      <x:c r="E147" s="39" t="inlineStr">
        <x:is>
          <x:t xml:space="preserve">M</x:t>
        </x:is>
      </x:c>
      <x:c r="F147" s="39" t="str"/>
      <x:c r="G147" s="39" t="n"/>
      <x:c r="H147" s="39" t="str"/>
      <x:c r="I147" s="39" t="str"/>
      <x:c r="J147" s="39" t="n"/>
      <x:c r="K147" s="39" t="str"/>
      <x:c r="L147" s="39" t="inlineStr">
        <x:is>
          <x:t xml:space="preserve">Lee / New England</x:t>
        </x:is>
      </x:c>
      <x:c r="M147" s="39" t="inlineStr">
        <x:is>
          <x:t xml:space="preserve">C - Provisional</x:t>
        </x:is>
      </x:c>
      <x:c r="N147" s="39" t="str"/>
      <x:c r="O147" s="39" t="str"/>
      <x:c r="P147" s="39" t="inlineStr">
        <x:is>
          <x:t xml:space="preserve">Fredric Muller Vollmer → Jan Muller Vollmer → Arthur John Muller → Elma Anna Lee → Elmer Ellsworth Lee → Hubbard Stone Lee → Grace Stone → John Evarts Stone → Carine Ward → William Ward → Lettice Beach → Mary Royce → Ann Spinning → Humphrey Spinning</x:t>
        </x:is>
      </x:c>
      <x:c r="Q147" s="39" t="str"/>
      <x:c r="R147" s="39" t="inlineStr">
        <x:is>
          <x:t xml:space="preserve">S7</x:t>
        </x:is>
      </x:c>
    </x:row>
    <x:row r="148">
      <x:c r="A148" s="39" t="inlineStr">
        <x:is>
          <x:t xml:space="preserve">I088</x:t>
        </x:is>
      </x:c>
      <x:c r="B148" s="39" t="inlineStr">
        <x:is>
          <x:t xml:space="preserve">13454</x:t>
        </x:is>
      </x:c>
      <x:c r="C148" s="39" t="n">
        <x:v>13</x:v>
      </x:c>
      <x:c r="D148" s="39" t="inlineStr">
        <x:is>
          <x:t xml:space="preserve">James Harvey</x:t>
        </x:is>
      </x:c>
      <x:c r="E148" s="39" t="inlineStr">
        <x:is>
          <x:t xml:space="preserve">M</x:t>
        </x:is>
      </x:c>
      <x:c r="F148" s="39" t="str"/>
      <x:c r="G148" s="39" t="n"/>
      <x:c r="H148" s="39" t="str"/>
      <x:c r="I148" s="39" t="str"/>
      <x:c r="J148" s="39" t="n"/>
      <x:c r="K148" s="39" t="str"/>
      <x:c r="L148" s="39" t="inlineStr">
        <x:is>
          <x:t xml:space="preserve">Lee / New England</x:t>
        </x:is>
      </x:c>
      <x:c r="M148" s="39" t="inlineStr">
        <x:is>
          <x:t xml:space="preserve">C - Provisional</x:t>
        </x:is>
      </x:c>
      <x:c r="N148" s="39" t="str"/>
      <x:c r="O148" s="39" t="str"/>
      <x:c r="P148" s="39" t="inlineStr">
        <x:is>
          <x:t xml:space="preserve">Fredric Muller Vollmer → Jan Muller Vollmer → Arthur John Muller → Elma Anna Lee → Elmer Ellsworth Lee → Hubbard Stone Lee → Grace Stone → John Evarts Stone → Asher Stone → Caleb Stone Jr. → Sarah Meigs → Sarah Wilcockson → Margaret Harvey → James Harvey</x:t>
        </x:is>
      </x:c>
      <x:c r="Q148" s="39" t="str"/>
      <x:c r="R148" s="39" t="inlineStr">
        <x:is>
          <x:t xml:space="preserve">S7</x:t>
        </x:is>
      </x:c>
    </x:row>
    <x:row r="149">
      <x:c r="A149" s="39" t="inlineStr">
        <x:is>
          <x:t xml:space="preserve">I095</x:t>
        </x:is>
      </x:c>
      <x:c r="B149" s="39" t="inlineStr">
        <x:is>
          <x:t xml:space="preserve">13485</x:t>
        </x:is>
      </x:c>
      <x:c r="C149" s="39" t="n">
        <x:v>13</x:v>
      </x:c>
      <x:c r="D149" s="39" t="inlineStr">
        <x:is>
          <x:t xml:space="preserve">Mary (surname unknown), wife of Robert Royce</x:t>
        </x:is>
      </x:c>
      <x:c r="E149" s="39" t="inlineStr">
        <x:is>
          <x:t xml:space="preserve">F</x:t>
        </x:is>
      </x:c>
      <x:c r="F149" s="39" t="inlineStr">
        <x:is>
          <x:t xml:space="preserve">about 1609</x:t>
        </x:is>
      </x:c>
      <x:c r="G149" s="39" t="n">
        <x:v>1609</x:v>
      </x:c>
      <x:c r="H149" s="39" t="str"/>
      <x:c r="I149" s="39" t="inlineStr">
        <x:is>
          <x:t xml:space="preserve">about 1696</x:t>
        </x:is>
      </x:c>
      <x:c r="J149" s="39" t="n">
        <x:v>1696</x:v>
      </x:c>
      <x:c r="K149" s="39" t="inlineStr">
        <x:is>
          <x:t xml:space="preserve">Wallingford, Connecticut</x:t>
        </x:is>
      </x:c>
      <x:c r="L149" s="39" t="inlineStr">
        <x:is>
          <x:t xml:space="preserve">Lee / New England</x:t>
        </x:is>
      </x:c>
      <x:c r="M149" s="39" t="inlineStr">
        <x:is>
          <x:t xml:space="preserve">B - Strong</x:t>
        </x:is>
      </x:c>
      <x:c r="N149" s="39" t="str"/>
      <x:c r="O149" s="39" t="str"/>
      <x:c r="P149" s="39" t="inlineStr">
        <x:is>
          <x:t xml:space="preserve">Fredric Muller Vollmer → Jan Muller Vollmer → Arthur John Muller → Elma Anna Lee → Elmer Ellsworth Lee → Hubbard Stone Lee → Grace Stone → John Evarts Stone → Carine Ward → William Ward → Lettice Beach → Mary Royce → Jonathan Royce → Mary (surname unknown), wife of Robert Royce</x:t>
        </x:is>
      </x:c>
      <x:c r="Q149" s="39" t="str"/>
      <x:c r="R149" s="39" t="inlineStr">
        <x:is>
          <x:t xml:space="preserve">S7</x:t>
        </x:is>
      </x:c>
    </x:row>
    <x:row r="150">
      <x:c r="A150" s="39" t="inlineStr">
        <x:is>
          <x:t xml:space="preserve">I093</x:t>
        </x:is>
      </x:c>
      <x:c r="B150" s="39" t="inlineStr">
        <x:is>
          <x:t xml:space="preserve">13483</x:t>
        </x:is>
      </x:c>
      <x:c r="C150" s="39" t="n">
        <x:v>13</x:v>
      </x:c>
      <x:c r="D150" s="39" t="inlineStr">
        <x:is>
          <x:t xml:space="preserve">Mary Wood</x:t>
        </x:is>
      </x:c>
      <x:c r="E150" s="39" t="inlineStr">
        <x:is>
          <x:t xml:space="preserve">F</x:t>
        </x:is>
      </x:c>
      <x:c r="F150" s="39" t="inlineStr">
        <x:is>
          <x:t xml:space="preserve">baptized 10 Nov 1605</x:t>
        </x:is>
      </x:c>
      <x:c r="G150" s="39" t="n">
        <x:v>1605</x:v>
      </x:c>
      <x:c r="H150" s="39" t="inlineStr">
        <x:is>
          <x:t xml:space="preserve">Roydon, Essex, England</x:t>
        </x:is>
      </x:c>
      <x:c r="I150" s="39" t="inlineStr">
        <x:is>
          <x:t xml:space="preserve">buried 24 Mar 1675/76</x:t>
        </x:is>
      </x:c>
      <x:c r="J150" s="39" t="n">
        <x:v>1675</x:v>
      </x:c>
      <x:c r="K150" s="39" t="inlineStr">
        <x:is>
          <x:t xml:space="preserve">Milford, New Haven County, Connecticut</x:t>
        </x:is>
      </x:c>
      <x:c r="L150" s="39" t="inlineStr">
        <x:is>
          <x:t xml:space="preserve">Lee / New England</x:t>
        </x:is>
      </x:c>
      <x:c r="M150" s="39" t="inlineStr">
        <x:is>
          <x:t xml:space="preserve">B - Strong</x:t>
        </x:is>
      </x:c>
      <x:c r="N150" s="39" t="inlineStr">
        <x:is>
          <x:t xml:space="preserve">John Wood</x:t>
        </x:is>
      </x:c>
      <x:c r="O150" s="39" t="inlineStr">
        <x:is>
          <x:t xml:space="preserve">Jane (surname unknown), wife of John Wood</x:t>
        </x:is>
      </x:c>
      <x:c r="P150" s="39" t="inlineStr">
        <x:is>
          <x:t xml:space="preserve">Fredric Muller Vollmer → Jan Muller Vollmer → Arthur John Muller → Elma Anna Lee → Elmer Ellsworth Lee → Hubbard Stone Lee → Grace Stone → John Evarts Stone → Carine Ward → William Ward → Lettice Beach → John Beach → Sarah Platt → Mary Wood</x:t>
        </x:is>
      </x:c>
      <x:c r="Q150" s="39" t="str"/>
      <x:c r="R150" s="39" t="inlineStr">
        <x:is>
          <x:t xml:space="preserve">S7</x:t>
        </x:is>
      </x:c>
    </x:row>
    <x:row r="151">
      <x:c r="A151" s="39" t="inlineStr">
        <x:is>
          <x:t xml:space="preserve">I092</x:t>
        </x:is>
      </x:c>
      <x:c r="B151" s="39" t="inlineStr">
        <x:is>
          <x:t xml:space="preserve">13482</x:t>
        </x:is>
      </x:c>
      <x:c r="C151" s="39" t="n">
        <x:v>13</x:v>
      </x:c>
      <x:c r="D151" s="39" t="inlineStr">
        <x:is>
          <x:t xml:space="preserve">Richard Platt</x:t>
        </x:is>
      </x:c>
      <x:c r="E151" s="39" t="inlineStr">
        <x:is>
          <x:t xml:space="preserve">M</x:t>
        </x:is>
      </x:c>
      <x:c r="F151" s="39" t="inlineStr">
        <x:is>
          <x:t xml:space="preserve">baptized 6 May 1604</x:t>
        </x:is>
      </x:c>
      <x:c r="G151" s="39" t="n">
        <x:v>1604</x:v>
      </x:c>
      <x:c r="H151" s="39" t="inlineStr">
        <x:is>
          <x:t xml:space="preserve">Ware, Hertfordshire, England</x:t>
        </x:is>
      </x:c>
      <x:c r="I151" s="39" t="inlineStr">
        <x:is>
          <x:t xml:space="preserve">by 13 Feb 1684/85</x:t>
        </x:is>
      </x:c>
      <x:c r="J151" s="39" t="n">
        <x:v>1684</x:v>
      </x:c>
      <x:c r="K151" s="39" t="inlineStr">
        <x:is>
          <x:t xml:space="preserve">Milford, New Haven County, Connecticut</x:t>
        </x:is>
      </x:c>
      <x:c r="L151" s="39" t="inlineStr">
        <x:is>
          <x:t xml:space="preserve">Lee / New England</x:t>
        </x:is>
      </x:c>
      <x:c r="M151" s="39" t="inlineStr">
        <x:is>
          <x:t xml:space="preserve">B - Strong</x:t>
        </x:is>
      </x:c>
      <x:c r="N151" s="39" t="inlineStr">
        <x:is>
          <x:t xml:space="preserve">George Platt</x:t>
        </x:is>
      </x:c>
      <x:c r="O151" s="39" t="inlineStr">
        <x:is>
          <x:t xml:space="preserve">Mary (surname unknown), wife of George Platt</x:t>
        </x:is>
      </x:c>
      <x:c r="P151" s="39" t="inlineStr">
        <x:is>
          <x:t xml:space="preserve">Fredric Muller Vollmer → Jan Muller Vollmer → Arthur John Muller → Elma Anna Lee → Elmer Ellsworth Lee → Hubbard Stone Lee → Grace Stone → John Evarts Stone → Carine Ward → William Ward → Lettice Beach → John Beach → Sarah Platt → Richard Platt</x:t>
        </x:is>
      </x:c>
      <x:c r="Q151" s="39" t="str"/>
      <x:c r="R151" s="39" t="inlineStr">
        <x:is>
          <x:t xml:space="preserve">S7</x:t>
        </x:is>
      </x:c>
    </x:row>
    <x:row r="152">
      <x:c r="A152" s="39" t="inlineStr">
        <x:is>
          <x:t xml:space="preserve">I094</x:t>
        </x:is>
      </x:c>
      <x:c r="B152" s="39" t="inlineStr">
        <x:is>
          <x:t xml:space="preserve">13484</x:t>
        </x:is>
      </x:c>
      <x:c r="C152" s="39" t="n">
        <x:v>13</x:v>
      </x:c>
      <x:c r="D152" s="39" t="inlineStr">
        <x:is>
          <x:t xml:space="preserve">Robert Royce</x:t>
        </x:is>
      </x:c>
      <x:c r="E152" s="39" t="inlineStr">
        <x:is>
          <x:t xml:space="preserve">M</x:t>
        </x:is>
      </x:c>
      <x:c r="F152" s="39" t="str"/>
      <x:c r="G152" s="39" t="n"/>
      <x:c r="H152" s="39" t="str"/>
      <x:c r="I152" s="39" t="inlineStr">
        <x:is>
          <x:t xml:space="preserve">about 1676</x:t>
        </x:is>
      </x:c>
      <x:c r="J152" s="39" t="n">
        <x:v>1676</x:v>
      </x:c>
      <x:c r="K152" s="39" t="inlineStr">
        <x:is>
          <x:t xml:space="preserve">New London, Connecticut</x:t>
        </x:is>
      </x:c>
      <x:c r="L152" s="39" t="inlineStr">
        <x:is>
          <x:t xml:space="preserve">Lee / New England</x:t>
        </x:is>
      </x:c>
      <x:c r="M152" s="39" t="inlineStr">
        <x:is>
          <x:t xml:space="preserve">B - Strong</x:t>
        </x:is>
      </x:c>
      <x:c r="N152" s="39" t="str"/>
      <x:c r="O152" s="39" t="str"/>
      <x:c r="P152" s="39" t="inlineStr">
        <x:is>
          <x:t xml:space="preserve">Fredric Muller Vollmer → Jan Muller Vollmer → Arthur John Muller → Elma Anna Lee → Elmer Ellsworth Lee → Hubbard Stone Lee → Grace Stone → John Evarts Stone → Carine Ward → William Ward → Lettice Beach → Mary Royce → Jonathan Royce → Robert Royce</x:t>
        </x:is>
      </x:c>
      <x:c r="Q152" s="39" t="str"/>
      <x:c r="R152" s="39" t="inlineStr">
        <x:is>
          <x:t xml:space="preserve">S7</x:t>
        </x:is>
      </x:c>
    </x:row>
    <x:row r="153">
      <x:c r="A153" s="39" t="inlineStr">
        <x:is>
          <x:t xml:space="preserve">I091</x:t>
        </x:is>
      </x:c>
      <x:c r="B153" s="39" t="inlineStr">
        <x:is>
          <x:t xml:space="preserve">13480</x:t>
        </x:is>
      </x:c>
      <x:c r="C153" s="39" t="n">
        <x:v>13</x:v>
      </x:c>
      <x:c r="D153" s="39" t="inlineStr">
        <x:is>
          <x:t xml:space="preserve">Unknown Beach (father of Thomas Beach)</x:t>
        </x:is>
      </x:c>
      <x:c r="E153" s="39" t="inlineStr">
        <x:is>
          <x:t xml:space="preserve">M</x:t>
        </x:is>
      </x:c>
      <x:c r="F153" s="39" t="str"/>
      <x:c r="G153" s="39" t="n"/>
      <x:c r="H153" s="39" t="str"/>
      <x:c r="I153" s="39" t="str"/>
      <x:c r="J153" s="39" t="n"/>
      <x:c r="K153" s="39" t="str"/>
      <x:c r="L153" s="39" t="inlineStr">
        <x:is>
          <x:t xml:space="preserve">Lee / New England</x:t>
        </x:is>
      </x:c>
      <x:c r="M153" s="39" t="inlineStr">
        <x:is>
          <x:t xml:space="preserve">C - Provisional</x:t>
        </x:is>
      </x:c>
      <x:c r="N153" s="39" t="str"/>
      <x:c r="O153" s="39" t="str"/>
      <x:c r="P153" s="39" t="inlineStr">
        <x:is>
          <x:t xml:space="preserve">Fredric Muller Vollmer → Jan Muller Vollmer → Arthur John Muller → Elma Anna Lee → Elmer Ellsworth Lee → Hubbard Stone Lee → Grace Stone → John Evarts Stone → Carine Ward → William Ward → Lettice Beach → John Beach → Thomas Beach → Unknown Beach (father of Thomas Beach)</x:t>
        </x:is>
      </x:c>
      <x:c r="Q153" s="39" t="inlineStr">
        <x:is>
          <x:t xml:space="preserve">Only the surname is supplied in the consulted Ahnentafel.</x:t>
        </x:is>
      </x:c>
      <x:c r="R153" s="39" t="inlineStr">
        <x:is>
          <x:t xml:space="preserve">S7</x:t>
        </x:is>
      </x:c>
    </x:row>
    <x:row r="154">
      <x:c r="A154" s="39" t="inlineStr">
        <x:is>
          <x:t xml:space="preserve">I098</x:t>
        </x:is>
      </x:c>
      <x:c r="B154" s="39" t="inlineStr">
        <x:is>
          <x:t xml:space="preserve">26949</x:t>
        </x:is>
      </x:c>
      <x:c r="C154" s="39" t="n">
        <x:v>14</x:v>
      </x:c>
      <x:c r="D154" s="39" t="inlineStr">
        <x:is>
          <x:t xml:space="preserve">Anne Pellett</x:t>
        </x:is>
      </x:c>
      <x:c r="E154" s="39" t="inlineStr">
        <x:is>
          <x:t xml:space="preserve">F</x:t>
        </x:is>
      </x:c>
      <x:c r="F154" s="39" t="inlineStr">
        <x:is>
          <x:t xml:space="preserve">about 1549</x:t>
        </x:is>
      </x:c>
      <x:c r="G154" s="39" t="n">
        <x:v>1549</x:v>
      </x:c>
      <x:c r="H154" s="39" t="inlineStr">
        <x:is>
          <x:t xml:space="preserve">probably Steyning, Sussex, England</x:t>
        </x:is>
      </x:c>
      <x:c r="I154" s="39" t="inlineStr">
        <x:is>
          <x:t xml:space="preserve">buried 8 Jun 1584</x:t>
        </x:is>
      </x:c>
      <x:c r="J154" s="39" t="n">
        <x:v>1584</x:v>
      </x:c>
      <x:c r="K154" s="39" t="inlineStr">
        <x:is>
          <x:t xml:space="preserve">Dedham, Essex, England</x:t>
        </x:is>
      </x:c>
      <x:c r="L154" s="39" t="inlineStr">
        <x:is>
          <x:t xml:space="preserve">Lee / New England</x:t>
        </x:is>
      </x:c>
      <x:c r="M154" s="39" t="inlineStr">
        <x:is>
          <x:t xml:space="preserve">C - Provisional</x:t>
        </x:is>
      </x:c>
      <x:c r="N154" s="39" t="inlineStr">
        <x:is>
          <x:t xml:space="preserve">William Pellett</x:t>
        </x:is>
      </x:c>
      <x:c r="O154" s="39" t="str"/>
      <x:c r="P154" s="39" t="inlineStr">
        <x:is>
          <x:t xml:space="preserve">Fredric Muller Vollmer → Jan Muller Vollmer → Arthur John Muller → Elma Anna Lee → Elmer Ellsworth Lee → Hubbard Stone Lee → Grace Stone → John Evarts Stone → Carine Ward → William Ward → William Ward → Andrew Ward Jr. → Hester Sherman → Edmund Sherman → Anne Pellett</x:t>
        </x:is>
      </x:c>
      <x:c r="Q154" s="39" t="str"/>
      <x:c r="R154" s="39" t="inlineStr">
        <x:is>
          <x:t xml:space="preserve">S7</x:t>
        </x:is>
      </x:c>
    </x:row>
    <x:row r="155">
      <x:c r="A155" s="39" t="inlineStr">
        <x:is>
          <x:t xml:space="preserve">I097</x:t>
        </x:is>
      </x:c>
      <x:c r="B155" s="39" t="inlineStr">
        <x:is>
          <x:t xml:space="preserve">26948</x:t>
        </x:is>
      </x:c>
      <x:c r="C155" s="39" t="n">
        <x:v>14</x:v>
      </x:c>
      <x:c r="D155" s="39" t="inlineStr">
        <x:is>
          <x:t xml:space="preserve">Edmund Sherman</x:t>
        </x:is>
      </x:c>
      <x:c r="E155" s="39" t="inlineStr">
        <x:is>
          <x:t xml:space="preserve">M</x:t>
        </x:is>
      </x:c>
      <x:c r="F155" s="39" t="inlineStr">
        <x:is>
          <x:t xml:space="preserve">about 1548</x:t>
        </x:is>
      </x:c>
      <x:c r="G155" s="39" t="n">
        <x:v>1548</x:v>
      </x:c>
      <x:c r="H155" s="39" t="str"/>
      <x:c r="I155" s="39" t="inlineStr">
        <x:is>
          <x:t xml:space="preserve">buried 22 Dec 1600</x:t>
        </x:is>
      </x:c>
      <x:c r="J155" s="39" t="n">
        <x:v>1600</x:v>
      </x:c>
      <x:c r="K155" s="39" t="inlineStr">
        <x:is>
          <x:t xml:space="preserve">Dedham, Essex, England</x:t>
        </x:is>
      </x:c>
      <x:c r="L155" s="39" t="inlineStr">
        <x:is>
          <x:t xml:space="preserve">Lee / New England</x:t>
        </x:is>
      </x:c>
      <x:c r="M155" s="39" t="inlineStr">
        <x:is>
          <x:t xml:space="preserve">C - Provisional</x:t>
        </x:is>
      </x:c>
      <x:c r="N155" s="39" t="inlineStr">
        <x:is>
          <x:t xml:space="preserve">Henry Sherman</x:t>
        </x:is>
      </x:c>
      <x:c r="O155" s="39" t="inlineStr">
        <x:is>
          <x:t xml:space="preserve">Agnes (surname unknown), wife of Henry Sherman</x:t>
        </x:is>
      </x:c>
      <x:c r="P155" s="39" t="inlineStr">
        <x:is>
          <x:t xml:space="preserve">Fredric Muller Vollmer → Jan Muller Vollmer → Arthur John Muller → Elma Anna Lee → Elmer Ellsworth Lee → Hubbard Stone Lee → Grace Stone → John Evarts Stone → Carine Ward → William Ward → William Ward → Andrew Ward Jr. → Hester Sherman → Edmund Sherman → Edmund Sherman</x:t>
        </x:is>
      </x:c>
      <x:c r="Q155" s="39" t="str"/>
      <x:c r="R155" s="39" t="inlineStr">
        <x:is>
          <x:t xml:space="preserve">S7</x:t>
        </x:is>
      </x:c>
    </x:row>
    <x:row r="156">
      <x:c r="A156" s="39" t="inlineStr">
        <x:is>
          <x:t xml:space="preserve">I101</x:t>
        </x:is>
      </x:c>
      <x:c r="B156" s="39" t="inlineStr">
        <x:is>
          <x:t xml:space="preserve">26964</x:t>
        </x:is>
      </x:c>
      <x:c r="C156" s="39" t="n">
        <x:v>14</x:v>
      </x:c>
      <x:c r="D156" s="39" t="inlineStr">
        <x:is>
          <x:t xml:space="preserve">George Platt</x:t>
        </x:is>
      </x:c>
      <x:c r="E156" s="39" t="inlineStr">
        <x:is>
          <x:t xml:space="preserve">M</x:t>
        </x:is>
      </x:c>
      <x:c r="F156" s="39" t="inlineStr">
        <x:is>
          <x:t xml:space="preserve">baptized 13 May 1582</x:t>
        </x:is>
      </x:c>
      <x:c r="G156" s="39" t="n">
        <x:v>1582</x:v>
      </x:c>
      <x:c r="H156" s="39" t="inlineStr">
        <x:is>
          <x:t xml:space="preserve">Ware, Hertfordshire, England</x:t>
        </x:is>
      </x:c>
      <x:c r="I156" s="39" t="inlineStr">
        <x:is>
          <x:t xml:space="preserve">buried 20 Apr 1609</x:t>
        </x:is>
      </x:c>
      <x:c r="J156" s="39" t="n">
        <x:v>1609</x:v>
      </x:c>
      <x:c r="K156" s="39" t="inlineStr">
        <x:is>
          <x:t xml:space="preserve">Ware, Hertfordshire, England</x:t>
        </x:is>
      </x:c>
      <x:c r="L156" s="39" t="inlineStr">
        <x:is>
          <x:t xml:space="preserve">Lee / New England</x:t>
        </x:is>
      </x:c>
      <x:c r="M156" s="39" t="inlineStr">
        <x:is>
          <x:t xml:space="preserve">C - Provisional</x:t>
        </x:is>
      </x:c>
      <x:c r="N156" s="39" t="inlineStr">
        <x:is>
          <x:t xml:space="preserve">Simon Platt</x:t>
        </x:is>
      </x:c>
      <x:c r="O156" s="39" t="inlineStr">
        <x:is>
          <x:t xml:space="preserve">Elizabeth (surname unknown), wife of Simon Platt</x:t>
        </x:is>
      </x:c>
      <x:c r="P156" s="39" t="inlineStr">
        <x:is>
          <x:t xml:space="preserve">Fredric Muller Vollmer → Jan Muller Vollmer → Arthur John Muller → Elma Anna Lee → Elmer Ellsworth Lee → Hubbard Stone Lee → Grace Stone → John Evarts Stone → Carine Ward → William Ward → Lettice Beach → John Beach → Sarah Platt → Richard Platt → George Platt</x:t>
        </x:is>
      </x:c>
      <x:c r="Q156" s="39" t="str"/>
      <x:c r="R156" s="39" t="inlineStr">
        <x:is>
          <x:t xml:space="preserve">S7</x:t>
        </x:is>
      </x:c>
    </x:row>
    <x:row r="157">
      <x:c r="A157" s="39" t="inlineStr">
        <x:is>
          <x:t xml:space="preserve">I104</x:t>
        </x:is>
      </x:c>
      <x:c r="B157" s="39" t="inlineStr">
        <x:is>
          <x:t xml:space="preserve">26967</x:t>
        </x:is>
      </x:c>
      <x:c r="C157" s="39" t="n">
        <x:v>14</x:v>
      </x:c>
      <x:c r="D157" s="39" t="inlineStr">
        <x:is>
          <x:t xml:space="preserve">Jane (surname unknown), wife of John Wood</x:t>
        </x:is>
      </x:c>
      <x:c r="E157" s="39" t="inlineStr">
        <x:is>
          <x:t xml:space="preserve">F</x:t>
        </x:is>
      </x:c>
      <x:c r="F157" s="39" t="str"/>
      <x:c r="G157" s="39" t="n"/>
      <x:c r="H157" s="39" t="str"/>
      <x:c r="I157" s="39" t="str"/>
      <x:c r="J157" s="39" t="n"/>
      <x:c r="K157" s="39" t="str"/>
      <x:c r="L157" s="39" t="inlineStr">
        <x:is>
          <x:t xml:space="preserve">Lee / New England</x:t>
        </x:is>
      </x:c>
      <x:c r="M157" s="39" t="inlineStr">
        <x:is>
          <x:t xml:space="preserve">C - Provisional</x:t>
        </x:is>
      </x:c>
      <x:c r="N157" s="39" t="str"/>
      <x:c r="O157" s="39" t="str"/>
      <x:c r="P157" s="39" t="inlineStr">
        <x:is>
          <x:t xml:space="preserve">Fredric Muller Vollmer → Jan Muller Vollmer → Arthur John Muller → Elma Anna Lee → Elmer Ellsworth Lee → Hubbard Stone Lee → Grace Stone → John Evarts Stone → Carine Ward → William Ward → Lettice Beach → John Beach → Sarah Platt → Mary Wood → Jane (surname unknown), wife of John Wood</x:t>
        </x:is>
      </x:c>
      <x:c r="Q157" s="39" t="str"/>
      <x:c r="R157" s="39" t="inlineStr">
        <x:is>
          <x:t xml:space="preserve">S7</x:t>
        </x:is>
      </x:c>
    </x:row>
    <x:row r="158">
      <x:c r="A158" s="39" t="inlineStr">
        <x:is>
          <x:t xml:space="preserve">I103</x:t>
        </x:is>
      </x:c>
      <x:c r="B158" s="39" t="inlineStr">
        <x:is>
          <x:t xml:space="preserve">26966</x:t>
        </x:is>
      </x:c>
      <x:c r="C158" s="39" t="n">
        <x:v>14</x:v>
      </x:c>
      <x:c r="D158" s="39" t="inlineStr">
        <x:is>
          <x:t xml:space="preserve">John Wood</x:t>
        </x:is>
      </x:c>
      <x:c r="E158" s="39" t="inlineStr">
        <x:is>
          <x:t xml:space="preserve">M</x:t>
        </x:is>
      </x:c>
      <x:c r="F158" s="39" t="str"/>
      <x:c r="G158" s="39" t="n"/>
      <x:c r="H158" s="39" t="str"/>
      <x:c r="I158" s="39" t="str"/>
      <x:c r="J158" s="39" t="n"/>
      <x:c r="K158" s="39" t="str"/>
      <x:c r="L158" s="39" t="inlineStr">
        <x:is>
          <x:t xml:space="preserve">Lee / New England</x:t>
        </x:is>
      </x:c>
      <x:c r="M158" s="39" t="inlineStr">
        <x:is>
          <x:t xml:space="preserve">C - Provisional</x:t>
        </x:is>
      </x:c>
      <x:c r="N158" s="39" t="str"/>
      <x:c r="O158" s="39" t="str"/>
      <x:c r="P158" s="39" t="inlineStr">
        <x:is>
          <x:t xml:space="preserve">Fredric Muller Vollmer → Jan Muller Vollmer → Arthur John Muller → Elma Anna Lee → Elmer Ellsworth Lee → Hubbard Stone Lee → Grace Stone → John Evarts Stone → Carine Ward → William Ward → Lettice Beach → John Beach → Sarah Platt → Mary Wood → John Wood</x:t>
        </x:is>
      </x:c>
      <x:c r="Q158" s="39" t="str"/>
      <x:c r="R158" s="39" t="inlineStr">
        <x:is>
          <x:t xml:space="preserve">S7</x:t>
        </x:is>
      </x:c>
    </x:row>
    <x:row r="159">
      <x:c r="A159" s="39" t="inlineStr">
        <x:is>
          <x:t xml:space="preserve">I100</x:t>
        </x:is>
      </x:c>
      <x:c r="B159" s="39" t="inlineStr">
        <x:is>
          <x:t xml:space="preserve">26951</x:t>
        </x:is>
      </x:c>
      <x:c r="C159" s="39" t="n">
        <x:v>14</x:v>
      </x:c>
      <x:c r="D159" s="39" t="inlineStr">
        <x:is>
          <x:t xml:space="preserve">Katherine Westbrome</x:t>
        </x:is>
      </x:c>
      <x:c r="E159" s="39" t="inlineStr">
        <x:is>
          <x:t xml:space="preserve">F</x:t>
        </x:is>
      </x:c>
      <x:c r="F159" s="39" t="str"/>
      <x:c r="G159" s="39" t="n"/>
      <x:c r="H159" s="39" t="str"/>
      <x:c r="I159" s="39" t="str"/>
      <x:c r="J159" s="39" t="n"/>
      <x:c r="K159" s="39" t="str"/>
      <x:c r="L159" s="39" t="inlineStr">
        <x:is>
          <x:t xml:space="preserve">Lee / New England</x:t>
        </x:is>
      </x:c>
      <x:c r="M159" s="39" t="inlineStr">
        <x:is>
          <x:t xml:space="preserve">C - Provisional</x:t>
        </x:is>
      </x:c>
      <x:c r="N159" s="39" t="inlineStr">
        <x:is>
          <x:t xml:space="preserve">Thomas Westbrome</x:t>
        </x:is>
      </x:c>
      <x:c r="O159" s="39" t="inlineStr">
        <x:is>
          <x:t xml:space="preserve">Elizabeth (surname unknown), wife of Thomas Westbrome</x:t>
        </x:is>
      </x:c>
      <x:c r="P159" s="39" t="inlineStr">
        <x:is>
          <x:t xml:space="preserve">Fredric Muller Vollmer → Jan Muller Vollmer → Arthur John Muller → Elma Anna Lee → Elmer Ellsworth Lee → Hubbard Stone Lee → Grace Stone → John Evarts Stone → Carine Ward → William Ward → William Ward → Andrew Ward Jr. → Hester Sherman → Grace Makin → Katherine Westbrome</x:t>
        </x:is>
      </x:c>
      <x:c r="Q159" s="39" t="str"/>
      <x:c r="R159" s="39" t="inlineStr">
        <x:is>
          <x:t xml:space="preserve">S7</x:t>
        </x:is>
      </x:c>
    </x:row>
    <x:row r="160">
      <x:c r="A160" s="39" t="inlineStr">
        <x:is>
          <x:t xml:space="preserve">I102</x:t>
        </x:is>
      </x:c>
      <x:c r="B160" s="39" t="inlineStr">
        <x:is>
          <x:t xml:space="preserve">26965</x:t>
        </x:is>
      </x:c>
      <x:c r="C160" s="39" t="n">
        <x:v>14</x:v>
      </x:c>
      <x:c r="D160" s="39" t="inlineStr">
        <x:is>
          <x:t xml:space="preserve">Mary (surname unknown), wife of George Platt</x:t>
        </x:is>
      </x:c>
      <x:c r="E160" s="39" t="inlineStr">
        <x:is>
          <x:t xml:space="preserve">F</x:t>
        </x:is>
      </x:c>
      <x:c r="F160" s="39" t="str"/>
      <x:c r="G160" s="39" t="n"/>
      <x:c r="H160" s="39" t="str"/>
      <x:c r="I160" s="39" t="str"/>
      <x:c r="J160" s="39" t="n"/>
      <x:c r="K160" s="39" t="str"/>
      <x:c r="L160" s="39" t="inlineStr">
        <x:is>
          <x:t xml:space="preserve">Lee / New England</x:t>
        </x:is>
      </x:c>
      <x:c r="M160" s="39" t="inlineStr">
        <x:is>
          <x:t xml:space="preserve">C - Provisional</x:t>
        </x:is>
      </x:c>
      <x:c r="N160" s="39" t="str"/>
      <x:c r="O160" s="39" t="str"/>
      <x:c r="P160" s="39" t="inlineStr">
        <x:is>
          <x:t xml:space="preserve">Fredric Muller Vollmer → Jan Muller Vollmer → Arthur John Muller → Elma Anna Lee → Elmer Ellsworth Lee → Hubbard Stone Lee → Grace Stone → John Evarts Stone → Carine Ward → William Ward → Lettice Beach → John Beach → Sarah Platt → Richard Platt → Mary (surname unknown), wife of George Platt</x:t>
        </x:is>
      </x:c>
      <x:c r="Q160" s="39" t="str"/>
      <x:c r="R160" s="39" t="inlineStr">
        <x:is>
          <x:t xml:space="preserve">S7</x:t>
        </x:is>
      </x:c>
    </x:row>
    <x:row r="161">
      <x:c r="A161" s="39" t="inlineStr">
        <x:is>
          <x:t xml:space="preserve">I099</x:t>
        </x:is>
      </x:c>
      <x:c r="B161" s="39" t="inlineStr">
        <x:is>
          <x:t xml:space="preserve">26950</x:t>
        </x:is>
      </x:c>
      <x:c r="C161" s="39" t="n">
        <x:v>14</x:v>
      </x:c>
      <x:c r="D161" s="39" t="inlineStr">
        <x:is>
          <x:t xml:space="preserve">Tobias Makin</x:t>
        </x:is>
      </x:c>
      <x:c r="E161" s="39" t="inlineStr">
        <x:is>
          <x:t xml:space="preserve">M</x:t>
        </x:is>
      </x:c>
      <x:c r="F161" s="39" t="str"/>
      <x:c r="G161" s="39" t="n"/>
      <x:c r="H161" s="39" t="str"/>
      <x:c r="I161" s="39" t="inlineStr">
        <x:is>
          <x:t xml:space="preserve">1610</x:t>
        </x:is>
      </x:c>
      <x:c r="J161" s="39" t="n">
        <x:v>1610</x:v>
      </x:c>
      <x:c r="K161" s="39" t="inlineStr">
        <x:is>
          <x:t xml:space="preserve">probably Fingringhoe, Essex, England</x:t>
        </x:is>
      </x:c>
      <x:c r="L161" s="39" t="inlineStr">
        <x:is>
          <x:t xml:space="preserve">Lee / New England</x:t>
        </x:is>
      </x:c>
      <x:c r="M161" s="39" t="inlineStr">
        <x:is>
          <x:t xml:space="preserve">C - Provisional</x:t>
        </x:is>
      </x:c>
      <x:c r="N161" s="39" t="inlineStr">
        <x:is>
          <x:t xml:space="preserve">John Makin</x:t>
        </x:is>
      </x:c>
      <x:c r="O161" s="39" t="inlineStr">
        <x:is>
          <x:t xml:space="preserve">Agnes (surname unknown), wife of John Makin</x:t>
        </x:is>
      </x:c>
      <x:c r="P161" s="39" t="inlineStr">
        <x:is>
          <x:t xml:space="preserve">Fredric Muller Vollmer → Jan Muller Vollmer → Arthur John Muller → Elma Anna Lee → Elmer Ellsworth Lee → Hubbard Stone Lee → Grace Stone → John Evarts Stone → Carine Ward → William Ward → William Ward → Andrew Ward Jr. → Hester Sherman → Grace Makin → Tobias Makin</x:t>
        </x:is>
      </x:c>
      <x:c r="Q161" s="39" t="str"/>
      <x:c r="R161" s="39" t="inlineStr">
        <x:is>
          <x:t xml:space="preserve">S7</x:t>
        </x:is>
      </x:c>
    </x:row>
    <x:row r="162">
      <x:c r="A162" s="39" t="inlineStr">
        <x:is>
          <x:t xml:space="preserve">I106</x:t>
        </x:is>
      </x:c>
      <x:c r="B162" s="39" t="inlineStr">
        <x:is>
          <x:t xml:space="preserve">53897</x:t>
        </x:is>
      </x:c>
      <x:c r="C162" s="39" t="n">
        <x:v>15</x:v>
      </x:c>
      <x:c r="D162" s="39" t="inlineStr">
        <x:is>
          <x:t xml:space="preserve">Agnes (surname unknown), wife of Henry Sherman</x:t>
        </x:is>
      </x:c>
      <x:c r="E162" s="39" t="inlineStr">
        <x:is>
          <x:t xml:space="preserve">F</x:t>
        </x:is>
      </x:c>
      <x:c r="F162" s="39" t="str"/>
      <x:c r="G162" s="39" t="n"/>
      <x:c r="H162" s="39" t="str"/>
      <x:c r="I162" s="39" t="inlineStr">
        <x:is>
          <x:t xml:space="preserve">buried 14 Oct 1580</x:t>
        </x:is>
      </x:c>
      <x:c r="J162" s="39" t="n">
        <x:v>1580</x:v>
      </x:c>
      <x:c r="K162" s="39" t="inlineStr">
        <x:is>
          <x:t xml:space="preserve">Dedham, Essex, England</x:t>
        </x:is>
      </x:c>
      <x:c r="L162" s="39" t="inlineStr">
        <x:is>
          <x:t xml:space="preserve">Lee / New England</x:t>
        </x:is>
      </x:c>
      <x:c r="M162" s="39" t="inlineStr">
        <x:is>
          <x:t xml:space="preserve">C - Provisional</x:t>
        </x:is>
      </x:c>
      <x:c r="N162" s="39" t="str"/>
      <x:c r="O162" s="39" t="str"/>
      <x:c r="P162" s="39" t="inlineStr">
        <x:is>
          <x:t xml:space="preserve">Fredric Muller Vollmer → Jan Muller Vollmer → Arthur John Muller → Elma Anna Lee → Elmer Ellsworth Lee → Hubbard Stone Lee → Grace Stone → John Evarts Stone → Carine Ward → William Ward → William Ward → Andrew Ward Jr. → Hester Sherman → Edmund Sherman → Edmund Sherman → Agnes (surname unknown), wife of Henry Sherman</x:t>
        </x:is>
      </x:c>
      <x:c r="Q162" s="39" t="str"/>
      <x:c r="R162" s="39" t="inlineStr">
        <x:is>
          <x:t xml:space="preserve">S7</x:t>
        </x:is>
      </x:c>
    </x:row>
    <x:row r="163">
      <x:c r="A163" s="39" t="inlineStr">
        <x:is>
          <x:t xml:space="preserve">I109</x:t>
        </x:is>
      </x:c>
      <x:c r="B163" s="39" t="inlineStr">
        <x:is>
          <x:t xml:space="preserve">53901</x:t>
        </x:is>
      </x:c>
      <x:c r="C163" s="39" t="n">
        <x:v>15</x:v>
      </x:c>
      <x:c r="D163" s="39" t="inlineStr">
        <x:is>
          <x:t xml:space="preserve">Agnes (surname unknown), wife of John Makin</x:t>
        </x:is>
      </x:c>
      <x:c r="E163" s="39" t="inlineStr">
        <x:is>
          <x:t xml:space="preserve">F</x:t>
        </x:is>
      </x:c>
      <x:c r="F163" s="39" t="str"/>
      <x:c r="G163" s="39" t="n"/>
      <x:c r="H163" s="39" t="str"/>
      <x:c r="I163" s="39" t="str"/>
      <x:c r="J163" s="39" t="n"/>
      <x:c r="K163" s="39" t="str"/>
      <x:c r="L163" s="39" t="inlineStr">
        <x:is>
          <x:t xml:space="preserve">Lee / New England</x:t>
        </x:is>
      </x:c>
      <x:c r="M163" s="39" t="inlineStr">
        <x:is>
          <x:t xml:space="preserve">C - Provisional</x:t>
        </x:is>
      </x:c>
      <x:c r="N163" s="39" t="str"/>
      <x:c r="O163" s="39" t="str"/>
      <x:c r="P163" s="39" t="inlineStr">
        <x:is>
          <x:t xml:space="preserve">Fredric Muller Vollmer → Jan Muller Vollmer → Arthur John Muller → Elma Anna Lee → Elmer Ellsworth Lee → Hubbard Stone Lee → Grace Stone → John Evarts Stone → Carine Ward → William Ward → William Ward → Andrew Ward Jr. → Hester Sherman → Grace Makin → Tobias Makin → Agnes (surname unknown), wife of John Makin</x:t>
        </x:is>
      </x:c>
      <x:c r="Q163" s="39" t="str"/>
      <x:c r="R163" s="39" t="inlineStr">
        <x:is>
          <x:t xml:space="preserve">S7</x:t>
        </x:is>
      </x:c>
    </x:row>
    <x:row r="164">
      <x:c r="A164" s="39" t="inlineStr">
        <x:is>
          <x:t xml:space="preserve">I113</x:t>
        </x:is>
      </x:c>
      <x:c r="B164" s="39" t="inlineStr">
        <x:is>
          <x:t xml:space="preserve">53929</x:t>
        </x:is>
      </x:c>
      <x:c r="C164" s="39" t="n">
        <x:v>15</x:v>
      </x:c>
      <x:c r="D164" s="39" t="inlineStr">
        <x:is>
          <x:t xml:space="preserve">Elizabeth (surname unknown), wife of Simon Platt</x:t>
        </x:is>
      </x:c>
      <x:c r="E164" s="39" t="inlineStr">
        <x:is>
          <x:t xml:space="preserve">F</x:t>
        </x:is>
      </x:c>
      <x:c r="F164" s="39" t="str"/>
      <x:c r="G164" s="39" t="n"/>
      <x:c r="H164" s="39" t="str"/>
      <x:c r="I164" s="39" t="inlineStr">
        <x:is>
          <x:t xml:space="preserve">buried 21 Jul 1598</x:t>
        </x:is>
      </x:c>
      <x:c r="J164" s="39" t="n">
        <x:v>1598</x:v>
      </x:c>
      <x:c r="K164" s="39" t="inlineStr">
        <x:is>
          <x:t xml:space="preserve">Ware, Hertfordshire, England</x:t>
        </x:is>
      </x:c>
      <x:c r="L164" s="39" t="inlineStr">
        <x:is>
          <x:t xml:space="preserve">Lee / New England</x:t>
        </x:is>
      </x:c>
      <x:c r="M164" s="39" t="inlineStr">
        <x:is>
          <x:t xml:space="preserve">C - Provisional</x:t>
        </x:is>
      </x:c>
      <x:c r="N164" s="39" t="str"/>
      <x:c r="O164" s="39" t="str"/>
      <x:c r="P164" s="39" t="inlineStr">
        <x:is>
          <x:t xml:space="preserve">Fredric Muller Vollmer → Jan Muller Vollmer → Arthur John Muller → Elma Anna Lee → Elmer Ellsworth Lee → Hubbard Stone Lee → Grace Stone → John Evarts Stone → Carine Ward → William Ward → Lettice Beach → John Beach → Sarah Platt → Richard Platt → George Platt → Elizabeth (surname unknown), wife of Simon Platt</x:t>
        </x:is>
      </x:c>
      <x:c r="Q164" s="39" t="str"/>
      <x:c r="R164" s="39" t="inlineStr">
        <x:is>
          <x:t xml:space="preserve">S7</x:t>
        </x:is>
      </x:c>
    </x:row>
    <x:row r="165">
      <x:c r="A165" s="39" t="inlineStr">
        <x:is>
          <x:t xml:space="preserve">I111</x:t>
        </x:is>
      </x:c>
      <x:c r="B165" s="39" t="inlineStr">
        <x:is>
          <x:t xml:space="preserve">53903</x:t>
        </x:is>
      </x:c>
      <x:c r="C165" s="39" t="n">
        <x:v>15</x:v>
      </x:c>
      <x:c r="D165" s="39" t="inlineStr">
        <x:is>
          <x:t xml:space="preserve">Elizabeth (surname unknown), wife of Thomas Westbrome</x:t>
        </x:is>
      </x:c>
      <x:c r="E165" s="39" t="inlineStr">
        <x:is>
          <x:t xml:space="preserve">F</x:t>
        </x:is>
      </x:c>
      <x:c r="F165" s="39" t="str"/>
      <x:c r="G165" s="39" t="n"/>
      <x:c r="H165" s="39" t="str"/>
      <x:c r="I165" s="39" t="str"/>
      <x:c r="J165" s="39" t="n"/>
      <x:c r="K165" s="39" t="str"/>
      <x:c r="L165" s="39" t="inlineStr">
        <x:is>
          <x:t xml:space="preserve">Lee / New England</x:t>
        </x:is>
      </x:c>
      <x:c r="M165" s="39" t="inlineStr">
        <x:is>
          <x:t xml:space="preserve">C - Provisional</x:t>
        </x:is>
      </x:c>
      <x:c r="N165" s="39" t="str"/>
      <x:c r="O165" s="39" t="str"/>
      <x:c r="P165" s="39" t="inlineStr">
        <x:is>
          <x:t xml:space="preserve">Fredric Muller Vollmer → Jan Muller Vollmer → Arthur John Muller → Elma Anna Lee → Elmer Ellsworth Lee → Hubbard Stone Lee → Grace Stone → John Evarts Stone → Carine Ward → William Ward → William Ward → Andrew Ward Jr. → Hester Sherman → Grace Makin → Katherine Westbrome → Elizabeth (surname unknown), wife of Thomas Westbrome</x:t>
        </x:is>
      </x:c>
      <x:c r="Q165" s="39" t="str"/>
      <x:c r="R165" s="39" t="inlineStr">
        <x:is>
          <x:t xml:space="preserve">S7</x:t>
        </x:is>
      </x:c>
    </x:row>
    <x:row r="166">
      <x:c r="A166" s="39" t="inlineStr">
        <x:is>
          <x:t xml:space="preserve">I105</x:t>
        </x:is>
      </x:c>
      <x:c r="B166" s="39" t="inlineStr">
        <x:is>
          <x:t xml:space="preserve">53896</x:t>
        </x:is>
      </x:c>
      <x:c r="C166" s="39" t="n">
        <x:v>15</x:v>
      </x:c>
      <x:c r="D166" s="39" t="inlineStr">
        <x:is>
          <x:t xml:space="preserve">Henry Sherman</x:t>
        </x:is>
      </x:c>
      <x:c r="E166" s="39" t="inlineStr">
        <x:is>
          <x:t xml:space="preserve">M</x:t>
        </x:is>
      </x:c>
      <x:c r="F166" s="39" t="inlineStr">
        <x:is>
          <x:t xml:space="preserve">about 1512</x:t>
        </x:is>
      </x:c>
      <x:c r="G166" s="39" t="n">
        <x:v>1512</x:v>
      </x:c>
      <x:c r="H166" s="39" t="str"/>
      <x:c r="I166" s="39" t="inlineStr">
        <x:is>
          <x:t xml:space="preserve">1589/90</x:t>
        </x:is>
      </x:c>
      <x:c r="J166" s="39" t="n">
        <x:v>1589</x:v>
      </x:c>
      <x:c r="K166" s="39" t="str"/>
      <x:c r="L166" s="39" t="inlineStr">
        <x:is>
          <x:t xml:space="preserve">Lee / New England</x:t>
        </x:is>
      </x:c>
      <x:c r="M166" s="39" t="inlineStr">
        <x:is>
          <x:t xml:space="preserve">C - Provisional</x:t>
        </x:is>
      </x:c>
      <x:c r="N166" s="39" t="str"/>
      <x:c r="O166" s="39" t="str"/>
      <x:c r="P166" s="39" t="inlineStr">
        <x:is>
          <x:t xml:space="preserve">Fredric Muller Vollmer → Jan Muller Vollmer → Arthur John Muller → Elma Anna Lee → Elmer Ellsworth Lee → Hubbard Stone Lee → Grace Stone → John Evarts Stone → Carine Ward → William Ward → William Ward → Andrew Ward Jr. → Hester Sherman → Edmund Sherman → Edmund Sherman → Henry Sherman</x:t>
        </x:is>
      </x:c>
      <x:c r="Q166" s="39" t="inlineStr">
        <x:is>
          <x:t xml:space="preserve">Oldest dated ancestor in the compiled Lee branch used here.</x:t>
        </x:is>
      </x:c>
      <x:c r="R166" s="39" t="inlineStr">
        <x:is>
          <x:t xml:space="preserve">S7</x:t>
        </x:is>
      </x:c>
    </x:row>
    <x:row r="167">
      <x:c r="A167" s="39" t="inlineStr">
        <x:is>
          <x:t xml:space="preserve">I108</x:t>
        </x:is>
      </x:c>
      <x:c r="B167" s="39" t="inlineStr">
        <x:is>
          <x:t xml:space="preserve">53900</x:t>
        </x:is>
      </x:c>
      <x:c r="C167" s="39" t="n">
        <x:v>15</x:v>
      </x:c>
      <x:c r="D167" s="39" t="inlineStr">
        <x:is>
          <x:t xml:space="preserve">John Makin</x:t>
        </x:is>
      </x:c>
      <x:c r="E167" s="39" t="inlineStr">
        <x:is>
          <x:t xml:space="preserve">M</x:t>
        </x:is>
      </x:c>
      <x:c r="F167" s="39" t="str"/>
      <x:c r="G167" s="39" t="n"/>
      <x:c r="H167" s="39" t="str"/>
      <x:c r="I167" s="39" t="inlineStr">
        <x:is>
          <x:t xml:space="preserve">after 16 Mar 1562/63</x:t>
        </x:is>
      </x:c>
      <x:c r="J167" s="39" t="n">
        <x:v>1562</x:v>
      </x:c>
      <x:c r="K167" s="39" t="str"/>
      <x:c r="L167" s="39" t="inlineStr">
        <x:is>
          <x:t xml:space="preserve">Lee / New England</x:t>
        </x:is>
      </x:c>
      <x:c r="M167" s="39" t="inlineStr">
        <x:is>
          <x:t xml:space="preserve">C - Provisional</x:t>
        </x:is>
      </x:c>
      <x:c r="N167" s="39" t="str"/>
      <x:c r="O167" s="39" t="str"/>
      <x:c r="P167" s="39" t="inlineStr">
        <x:is>
          <x:t xml:space="preserve">Fredric Muller Vollmer → Jan Muller Vollmer → Arthur John Muller → Elma Anna Lee → Elmer Ellsworth Lee → Hubbard Stone Lee → Grace Stone → John Evarts Stone → Carine Ward → William Ward → William Ward → Andrew Ward Jr. → Hester Sherman → Grace Makin → Tobias Makin → John Makin</x:t>
        </x:is>
      </x:c>
      <x:c r="Q167" s="39" t="str"/>
      <x:c r="R167" s="39" t="inlineStr">
        <x:is>
          <x:t xml:space="preserve">S7</x:t>
        </x:is>
      </x:c>
    </x:row>
    <x:row r="168">
      <x:c r="A168" s="39" t="inlineStr">
        <x:is>
          <x:t xml:space="preserve">I112</x:t>
        </x:is>
      </x:c>
      <x:c r="B168" s="39" t="inlineStr">
        <x:is>
          <x:t xml:space="preserve">53928</x:t>
        </x:is>
      </x:c>
      <x:c r="C168" s="39" t="n">
        <x:v>15</x:v>
      </x:c>
      <x:c r="D168" s="39" t="inlineStr">
        <x:is>
          <x:t xml:space="preserve">Simon Platt</x:t>
        </x:is>
      </x:c>
      <x:c r="E168" s="39" t="inlineStr">
        <x:is>
          <x:t xml:space="preserve">M</x:t>
        </x:is>
      </x:c>
      <x:c r="F168" s="39" t="inlineStr">
        <x:is>
          <x:t xml:space="preserve">about 1533</x:t>
        </x:is>
      </x:c>
      <x:c r="G168" s="39" t="n">
        <x:v>1533</x:v>
      </x:c>
      <x:c r="H168" s="39" t="str"/>
      <x:c r="I168" s="39" t="inlineStr">
        <x:is>
          <x:t xml:space="preserve">buried 12 Apr 1594</x:t>
        </x:is>
      </x:c>
      <x:c r="J168" s="39" t="n">
        <x:v>1594</x:v>
      </x:c>
      <x:c r="K168" s="39" t="inlineStr">
        <x:is>
          <x:t xml:space="preserve">Ware, Hertfordshire, England</x:t>
        </x:is>
      </x:c>
      <x:c r="L168" s="39" t="inlineStr">
        <x:is>
          <x:t xml:space="preserve">Lee / New England</x:t>
        </x:is>
      </x:c>
      <x:c r="M168" s="39" t="inlineStr">
        <x:is>
          <x:t xml:space="preserve">C - Provisional</x:t>
        </x:is>
      </x:c>
      <x:c r="N168" s="39" t="str"/>
      <x:c r="O168" s="39" t="str"/>
      <x:c r="P168" s="39" t="inlineStr">
        <x:is>
          <x:t xml:space="preserve">Fredric Muller Vollmer → Jan Muller Vollmer → Arthur John Muller → Elma Anna Lee → Elmer Ellsworth Lee → Hubbard Stone Lee → Grace Stone → John Evarts Stone → Carine Ward → William Ward → Lettice Beach → John Beach → Sarah Platt → Richard Platt → George Platt → Simon Platt</x:t>
        </x:is>
      </x:c>
      <x:c r="Q168" s="39" t="str"/>
      <x:c r="R168" s="39" t="inlineStr">
        <x:is>
          <x:t xml:space="preserve">S7</x:t>
        </x:is>
      </x:c>
    </x:row>
    <x:row r="169">
      <x:c r="A169" s="39" t="inlineStr">
        <x:is>
          <x:t xml:space="preserve">I110</x:t>
        </x:is>
      </x:c>
      <x:c r="B169" s="39" t="inlineStr">
        <x:is>
          <x:t xml:space="preserve">53902</x:t>
        </x:is>
      </x:c>
      <x:c r="C169" s="39" t="n">
        <x:v>15</x:v>
      </x:c>
      <x:c r="D169" s="39" t="inlineStr">
        <x:is>
          <x:t xml:space="preserve">Thomas Westbrome</x:t>
        </x:is>
      </x:c>
      <x:c r="E169" s="39" t="inlineStr">
        <x:is>
          <x:t xml:space="preserve">M</x:t>
        </x:is>
      </x:c>
      <x:c r="F169" s="39" t="str"/>
      <x:c r="G169" s="39" t="n"/>
      <x:c r="H169" s="39" t="str"/>
      <x:c r="I169" s="39" t="str"/>
      <x:c r="J169" s="39" t="n"/>
      <x:c r="K169" s="39" t="str"/>
      <x:c r="L169" s="39" t="inlineStr">
        <x:is>
          <x:t xml:space="preserve">Lee / New England</x:t>
        </x:is>
      </x:c>
      <x:c r="M169" s="39" t="inlineStr">
        <x:is>
          <x:t xml:space="preserve">C - Provisional</x:t>
        </x:is>
      </x:c>
      <x:c r="N169" s="39" t="str"/>
      <x:c r="O169" s="39" t="str"/>
      <x:c r="P169" s="39" t="inlineStr">
        <x:is>
          <x:t xml:space="preserve">Fredric Muller Vollmer → Jan Muller Vollmer → Arthur John Muller → Elma Anna Lee → Elmer Ellsworth Lee → Hubbard Stone Lee → Grace Stone → John Evarts Stone → Carine Ward → William Ward → William Ward → Andrew Ward Jr. → Hester Sherman → Grace Makin → Katherine Westbrome → Thomas Westbrome</x:t>
        </x:is>
      </x:c>
      <x:c r="Q169" s="39" t="str"/>
      <x:c r="R169" s="39" t="inlineStr">
        <x:is>
          <x:t xml:space="preserve">S7</x:t>
        </x:is>
      </x:c>
    </x:row>
    <x:row r="170">
      <x:c r="A170" s="39" t="inlineStr">
        <x:is>
          <x:t xml:space="preserve">I107</x:t>
        </x:is>
      </x:c>
      <x:c r="B170" s="39" t="inlineStr">
        <x:is>
          <x:t xml:space="preserve">53898</x:t>
        </x:is>
      </x:c>
      <x:c r="C170" s="39" t="n">
        <x:v>15</x:v>
      </x:c>
      <x:c r="D170" s="39" t="inlineStr">
        <x:is>
          <x:t xml:space="preserve">William Pellett</x:t>
        </x:is>
      </x:c>
      <x:c r="E170" s="39" t="inlineStr">
        <x:is>
          <x:t xml:space="preserve">M</x:t>
        </x:is>
      </x:c>
      <x:c r="F170" s="39" t="str"/>
      <x:c r="G170" s="39" t="n"/>
      <x:c r="H170" s="39" t="str"/>
      <x:c r="I170" s="39" t="str"/>
      <x:c r="J170" s="39" t="n"/>
      <x:c r="K170" s="39" t="str"/>
      <x:c r="L170" s="39" t="inlineStr">
        <x:is>
          <x:t xml:space="preserve">Lee / New England</x:t>
        </x:is>
      </x:c>
      <x:c r="M170" s="39" t="inlineStr">
        <x:is>
          <x:t xml:space="preserve">C - Provisional</x:t>
        </x:is>
      </x:c>
      <x:c r="N170" s="39" t="str"/>
      <x:c r="O170" s="39" t="str"/>
      <x:c r="P170" s="39" t="inlineStr">
        <x:is>
          <x:t xml:space="preserve">Fredric Muller Vollmer → Jan Muller Vollmer → Arthur John Muller → Elma Anna Lee → Elmer Ellsworth Lee → Hubbard Stone Lee → Grace Stone → John Evarts Stone → Carine Ward → William Ward → William Ward → Andrew Ward Jr. → Hester Sherman → Edmund Sherman → Anne Pellett → William Pellett</x:t>
        </x:is>
      </x:c>
      <x:c r="Q170" s="39" t="str"/>
      <x:c r="R170" s="39" t="inlineStr">
        <x:is>
          <x:t xml:space="preserve">S7</x:t>
        </x:is>
      </x:c>
    </x:row>
  </x:sheetData>
  <x:conditionalFormatting sqref="M2:M170">
    <x:cfRule type="expression" dxfId="0" priority="1">
      <x:formula>LEFT(M2,1)="A"</x:formula>
    </x:cfRule>
    <x:cfRule type="expression" dxfId="1" priority="2">
      <x:formula>LEFT(M2,1)="B"</x:formula>
    </x:cfRule>
    <x:cfRule type="expression" dxfId="2" priority="3">
      <x:formula>LEFT(M2,1)="C"</x:formula>
    </x:cfRule>
    <x:cfRule type="expression" dxfId="3" priority="4">
      <x:formula>LEFT(M2,1)="D"</x:formula>
    </x:cfRule>
  </x:conditionalFormatting>
  <x:pageMargins left="0.7" right="0.7" top="0.75" bottom="0.75" header="0.3" footer="0.3"/>
  <x:tableParts count="1">
    <x:tablePart xmlns:r="http://schemas.openxmlformats.org/officeDocument/2006/relationships" r:id="Rbe7fd968e96a4ece"/>
  </x:tableParts>
</x:worksheet>
</file>

<file path=xl/worksheets/sheet3.xml><?xml version="1.0" encoding="utf-8"?>
<x:worksheet xmlns:x="http://schemas.openxmlformats.org/spreadsheetml/2006/main">
  <x:sheetFormatPr baseColWidth="8" defaultRowHeight="15"/>
  <x:cols>
    <x:col min="1" max="1" width="12" customWidth="1"/>
    <x:col min="2" max="2" width="32" customWidth="1"/>
    <x:col min="3" max="3" width="10" customWidth="1"/>
    <x:col min="4" max="4" width="12" customWidth="1"/>
    <x:col min="5" max="5" width="30" customWidth="1"/>
    <x:col min="6" max="6" width="12" customWidth="1"/>
    <x:col min="7" max="7" width="30" customWidth="1"/>
    <x:col min="8" max="8" width="24" customWidth="1"/>
    <x:col min="9" max="9" width="18" customWidth="1"/>
  </x:cols>
  <x:sheetData>
    <x:row r="1">
      <x:c r="A1" s="38" t="inlineStr">
        <x:is>
          <x:t xml:space="preserve">Child ID</x:t>
        </x:is>
      </x:c>
      <x:c r="B1" s="38" t="inlineStr">
        <x:is>
          <x:t xml:space="preserve">Child</x:t>
        </x:is>
      </x:c>
      <x:c r="C1" s="38" t="inlineStr">
        <x:is>
          <x:t xml:space="preserve">Generation</x:t>
        </x:is>
      </x:c>
      <x:c r="D1" s="38" t="inlineStr">
        <x:is>
          <x:t xml:space="preserve">Father ID</x:t>
        </x:is>
      </x:c>
      <x:c r="E1" s="38" t="inlineStr">
        <x:is>
          <x:t xml:space="preserve">Father</x:t>
        </x:is>
      </x:c>
      <x:c r="F1" s="38" t="inlineStr">
        <x:is>
          <x:t xml:space="preserve">Mother ID</x:t>
        </x:is>
      </x:c>
      <x:c r="G1" s="38" t="inlineStr">
        <x:is>
          <x:t xml:space="preserve">Mother</x:t>
        </x:is>
      </x:c>
      <x:c r="H1" s="38" t="inlineStr">
        <x:is>
          <x:t xml:space="preserve">Relationship confidence</x:t>
        </x:is>
      </x:c>
      <x:c r="I1" s="38" t="inlineStr">
        <x:is>
          <x:t xml:space="preserve">Source IDs</x:t>
        </x:is>
      </x:c>
    </x:row>
    <x:row r="2">
      <x:c r="A2" s="39" t="inlineStr">
        <x:is>
          <x:t xml:space="preserve">I001</x:t>
        </x:is>
      </x:c>
      <x:c r="B2" s="39" t="inlineStr">
        <x:is>
          <x:t xml:space="preserve">Fredric Muller Vollmer</x:t>
        </x:is>
      </x:c>
      <x:c r="C2" s="39" t="n">
        <x:v>0</x:v>
      </x:c>
      <x:c r="D2" s="39" t="str"/>
      <x:c r="E2" s="39" t="str"/>
      <x:c r="F2" s="39" t="inlineStr">
        <x:is>
          <x:t xml:space="preserve">I002</x:t>
        </x:is>
      </x:c>
      <x:c r="G2" s="39" t="inlineStr">
        <x:is>
          <x:t xml:space="preserve">Jan Muller Vollmer</x:t>
        </x:is>
      </x:c>
      <x:c r="H2" s="39" t="inlineStr">
        <x:is>
          <x:t xml:space="preserve">A - Confirmed</x:t>
        </x:is>
      </x:c>
      <x:c r="I2" s="39" t="inlineStr">
        <x:is>
          <x:t xml:space="preserve">S1</x:t>
        </x:is>
      </x:c>
    </x:row>
    <x:row r="3">
      <x:c r="A3" s="39" t="inlineStr">
        <x:is>
          <x:t xml:space="preserve">I002</x:t>
        </x:is>
      </x:c>
      <x:c r="B3" s="39" t="inlineStr">
        <x:is>
          <x:t xml:space="preserve">Jan Muller Vollmer</x:t>
        </x:is>
      </x:c>
      <x:c r="C3" s="39" t="n">
        <x:v>1</x:v>
      </x:c>
      <x:c r="D3" s="39" t="inlineStr">
        <x:is>
          <x:t xml:space="preserve">I003</x:t>
        </x:is>
      </x:c>
      <x:c r="E3" s="39" t="inlineStr">
        <x:is>
          <x:t xml:space="preserve">Arthur John Muller</x:t>
        </x:is>
      </x:c>
      <x:c r="F3" s="39" t="inlineStr">
        <x:is>
          <x:t xml:space="preserve">I004</x:t>
        </x:is>
      </x:c>
      <x:c r="G3" s="39" t="inlineStr">
        <x:is>
          <x:t xml:space="preserve">Anne Rives McCormick Muller</x:t>
        </x:is>
      </x:c>
      <x:c r="H3" s="39" t="inlineStr">
        <x:is>
          <x:t xml:space="preserve">A - Confirmed</x:t>
        </x:is>
      </x:c>
      <x:c r="I3" s="39" t="inlineStr">
        <x:is>
          <x:t xml:space="preserve">S1, S2</x:t>
        </x:is>
      </x:c>
    </x:row>
    <x:row r="4">
      <x:c r="A4" s="39" t="inlineStr">
        <x:is>
          <x:t xml:space="preserve">I004</x:t>
        </x:is>
      </x:c>
      <x:c r="B4" s="39" t="inlineStr">
        <x:is>
          <x:t xml:space="preserve">Anne Rives McCormick Muller</x:t>
        </x:is>
      </x:c>
      <x:c r="C4" s="39" t="n">
        <x:v>2</x:v>
      </x:c>
      <x:c r="D4" s="39" t="inlineStr">
        <x:is>
          <x:t xml:space="preserve">I007</x:t>
        </x:is>
      </x:c>
      <x:c r="E4" s="39" t="inlineStr">
        <x:is>
          <x:t xml:space="preserve">Charles Ellsworth McCormick II</x:t>
        </x:is>
      </x:c>
      <x:c r="F4" s="39" t="inlineStr">
        <x:is>
          <x:t xml:space="preserve">I008</x:t>
        </x:is>
      </x:c>
      <x:c r="G4" s="39" t="inlineStr">
        <x:is>
          <x:t xml:space="preserve">Eloise A. “Elvie/Elvia” Slaughter McCormick</x:t>
        </x:is>
      </x:c>
      <x:c r="H4" s="39" t="inlineStr">
        <x:is>
          <x:t xml:space="preserve">A - Confirmed</x:t>
        </x:is>
      </x:c>
      <x:c r="I4" s="39" t="inlineStr">
        <x:is>
          <x:t xml:space="preserve">S1, S8</x:t>
        </x:is>
      </x:c>
    </x:row>
    <x:row r="5">
      <x:c r="A5" s="39" t="inlineStr">
        <x:is>
          <x:t xml:space="preserve">I003</x:t>
        </x:is>
      </x:c>
      <x:c r="B5" s="39" t="inlineStr">
        <x:is>
          <x:t xml:space="preserve">Arthur John Muller</x:t>
        </x:is>
      </x:c>
      <x:c r="C5" s="39" t="n">
        <x:v>2</x:v>
      </x:c>
      <x:c r="D5" s="39" t="inlineStr">
        <x:is>
          <x:t xml:space="preserve">I005</x:t>
        </x:is>
      </x:c>
      <x:c r="E5" s="39" t="inlineStr">
        <x:is>
          <x:t xml:space="preserve">Arthur Herman Muller</x:t>
        </x:is>
      </x:c>
      <x:c r="F5" s="39" t="inlineStr">
        <x:is>
          <x:t xml:space="preserve">I006</x:t>
        </x:is>
      </x:c>
      <x:c r="G5" s="39" t="inlineStr">
        <x:is>
          <x:t xml:space="preserve">Elma Anna Lee</x:t>
        </x:is>
      </x:c>
      <x:c r="H5" s="39" t="inlineStr">
        <x:is>
          <x:t xml:space="preserve">A - Confirmed</x:t>
        </x:is>
      </x:c>
      <x:c r="I5" s="39" t="inlineStr">
        <x:is>
          <x:t xml:space="preserve">S2, S5</x:t>
        </x:is>
      </x:c>
    </x:row>
    <x:row r="6">
      <x:c r="A6" s="39" t="inlineStr">
        <x:is>
          <x:t xml:space="preserve">I005</x:t>
        </x:is>
      </x:c>
      <x:c r="B6" s="39" t="inlineStr">
        <x:is>
          <x:t xml:space="preserve">Arthur Herman Muller</x:t>
        </x:is>
      </x:c>
      <x:c r="C6" s="39" t="n">
        <x:v>3</x:v>
      </x:c>
      <x:c r="D6" s="39" t="inlineStr">
        <x:is>
          <x:t xml:space="preserve">I009</x:t>
        </x:is>
      </x:c>
      <x:c r="E6" s="39" t="inlineStr">
        <x:is>
          <x:t xml:space="preserve">Christian August Vollrath Muller</x:t>
        </x:is>
      </x:c>
      <x:c r="F6" s="39" t="inlineStr">
        <x:is>
          <x:t xml:space="preserve">I010</x:t>
        </x:is>
      </x:c>
      <x:c r="G6" s="39" t="inlineStr">
        <x:is>
          <x:t xml:space="preserve">Henrietta Kleitz</x:t>
        </x:is>
      </x:c>
      <x:c r="H6" s="39" t="inlineStr">
        <x:is>
          <x:t xml:space="preserve">B - Strong</x:t>
        </x:is>
      </x:c>
      <x:c r="I6" s="39" t="inlineStr">
        <x:is>
          <x:t xml:space="preserve">S2</x:t>
        </x:is>
      </x:c>
    </x:row>
    <x:row r="7">
      <x:c r="A7" s="39" t="inlineStr">
        <x:is>
          <x:t xml:space="preserve">I007</x:t>
        </x:is>
      </x:c>
      <x:c r="B7" s="39" t="inlineStr">
        <x:is>
          <x:t xml:space="preserve">Charles Ellsworth McCormick II</x:t>
        </x:is>
      </x:c>
      <x:c r="C7" s="39" t="n">
        <x:v>3</x:v>
      </x:c>
      <x:c r="D7" s="39" t="inlineStr">
        <x:is>
          <x:t xml:space="preserve">I114</x:t>
        </x:is>
      </x:c>
      <x:c r="E7" s="39" t="inlineStr">
        <x:is>
          <x:t xml:space="preserve">Charles Ellsworth McCormick I</x:t>
        </x:is>
      </x:c>
      <x:c r="F7" s="39" t="inlineStr">
        <x:is>
          <x:t xml:space="preserve">I115</x:t>
        </x:is>
      </x:c>
      <x:c r="G7" s="39" t="inlineStr">
        <x:is>
          <x:t xml:space="preserve">Mary Moore Brooks</x:t>
        </x:is>
      </x:c>
      <x:c r="H7" s="39" t="inlineStr">
        <x:is>
          <x:t xml:space="preserve">A - Confirmed</x:t>
        </x:is>
      </x:c>
      <x:c r="I7" s="39" t="inlineStr">
        <x:is>
          <x:t xml:space="preserve">S1, S25</x:t>
        </x:is>
      </x:c>
    </x:row>
    <x:row r="8">
      <x:c r="A8" s="39" t="inlineStr">
        <x:is>
          <x:t xml:space="preserve">I006</x:t>
        </x:is>
      </x:c>
      <x:c r="B8" s="39" t="inlineStr">
        <x:is>
          <x:t xml:space="preserve">Elma Anna Lee</x:t>
        </x:is>
      </x:c>
      <x:c r="C8" s="39" t="n">
        <x:v>3</x:v>
      </x:c>
      <x:c r="D8" s="39" t="inlineStr">
        <x:is>
          <x:t xml:space="preserve">I013</x:t>
        </x:is>
      </x:c>
      <x:c r="E8" s="39" t="inlineStr">
        <x:is>
          <x:t xml:space="preserve">Elmer Ellsworth Lee</x:t>
        </x:is>
      </x:c>
      <x:c r="F8" s="39" t="inlineStr">
        <x:is>
          <x:t xml:space="preserve">I014</x:t>
        </x:is>
      </x:c>
      <x:c r="G8" s="39" t="inlineStr">
        <x:is>
          <x:t xml:space="preserve">Mary Wilhelmina Ohmer</x:t>
        </x:is>
      </x:c>
      <x:c r="H8" s="39" t="inlineStr">
        <x:is>
          <x:t xml:space="preserve">A - Confirmed</x:t>
        </x:is>
      </x:c>
      <x:c r="I8" s="39" t="inlineStr">
        <x:is>
          <x:t xml:space="preserve">S2, S3, S24</x:t>
        </x:is>
      </x:c>
    </x:row>
    <x:row r="9">
      <x:c r="A9" s="39" t="inlineStr">
        <x:is>
          <x:t xml:space="preserve">I008</x:t>
        </x:is>
      </x:c>
      <x:c r="B9" s="39" t="inlineStr">
        <x:is>
          <x:t xml:space="preserve">Eloise A. “Elvie/Elvia” Slaughter McCormick</x:t>
        </x:is>
      </x:c>
      <x:c r="C9" s="39" t="n">
        <x:v>3</x:v>
      </x:c>
      <x:c r="D9" s="39" t="inlineStr">
        <x:is>
          <x:t xml:space="preserve">I130</x:t>
        </x:is>
      </x:c>
      <x:c r="E9" s="39" t="inlineStr">
        <x:is>
          <x:t xml:space="preserve">Isaac Bush Slaughter Sr.</x:t>
        </x:is>
      </x:c>
      <x:c r="F9" s="39" t="inlineStr">
        <x:is>
          <x:t xml:space="preserve">I131</x:t>
        </x:is>
      </x:c>
      <x:c r="G9" s="39" t="inlineStr">
        <x:is>
          <x:t xml:space="preserve">Lula Arnelia Rives</x:t>
        </x:is>
      </x:c>
      <x:c r="H9" s="39" t="inlineStr">
        <x:is>
          <x:t xml:space="preserve">A - Confirmed</x:t>
        </x:is>
      </x:c>
      <x:c r="I9" s="39" t="inlineStr">
        <x:is>
          <x:t xml:space="preserve">S1, S8</x:t>
        </x:is>
      </x:c>
    </x:row>
    <x:row r="10">
      <x:c r="A10" s="39" t="inlineStr">
        <x:is>
          <x:t xml:space="preserve">I114</x:t>
        </x:is>
      </x:c>
      <x:c r="B10" s="39" t="inlineStr">
        <x:is>
          <x:t xml:space="preserve">Charles Ellsworth McCormick I</x:t>
        </x:is>
      </x:c>
      <x:c r="C10" s="39" t="n">
        <x:v>4</x:v>
      </x:c>
      <x:c r="D10" s="39" t="inlineStr">
        <x:is>
          <x:t xml:space="preserve">I116</x:t>
        </x:is>
      </x:c>
      <x:c r="E10" s="39" t="inlineStr">
        <x:is>
          <x:t xml:space="preserve">Edward H. McCormick</x:t>
        </x:is>
      </x:c>
      <x:c r="F10" s="39" t="inlineStr">
        <x:is>
          <x:t xml:space="preserve">I117</x:t>
        </x:is>
      </x:c>
      <x:c r="G10" s="39" t="inlineStr">
        <x:is>
          <x:t xml:space="preserve">Martha Ann “Annie” O’Brien</x:t>
        </x:is>
      </x:c>
      <x:c r="H10" s="39" t="inlineStr">
        <x:is>
          <x:t xml:space="preserve">A - Confirmed</x:t>
        </x:is>
      </x:c>
      <x:c r="I10" s="39" t="inlineStr">
        <x:is>
          <x:t xml:space="preserve">S3, S14, S22</x:t>
        </x:is>
      </x:c>
    </x:row>
    <x:row r="11">
      <x:c r="A11" s="39" t="inlineStr">
        <x:is>
          <x:t xml:space="preserve">I009</x:t>
        </x:is>
      </x:c>
      <x:c r="B11" s="39" t="inlineStr">
        <x:is>
          <x:t xml:space="preserve">Christian August Vollrath Muller</x:t>
        </x:is>
      </x:c>
      <x:c r="C11" s="39" t="n">
        <x:v>4</x:v>
      </x:c>
      <x:c r="D11" s="39" t="inlineStr">
        <x:is>
          <x:t xml:space="preserve">I017</x:t>
        </x:is>
      </x:c>
      <x:c r="E11" s="39" t="inlineStr">
        <x:is>
          <x:t xml:space="preserve">Lorenz Muller</x:t>
        </x:is>
      </x:c>
      <x:c r="F11" s="39" t="inlineStr">
        <x:is>
          <x:t xml:space="preserve">I018</x:t>
        </x:is>
      </x:c>
      <x:c r="G11" s="39" t="inlineStr">
        <x:is>
          <x:t xml:space="preserve">Pauline Vollrath</x:t>
        </x:is>
      </x:c>
      <x:c r="H11" s="39" t="inlineStr">
        <x:is>
          <x:t xml:space="preserve">C - Provisional</x:t>
        </x:is>
      </x:c>
      <x:c r="I11" s="39" t="inlineStr">
        <x:is>
          <x:t xml:space="preserve">S2</x:t>
        </x:is>
      </x:c>
    </x:row>
    <x:row r="12">
      <x:c r="A12" s="39" t="inlineStr">
        <x:is>
          <x:t xml:space="preserve">I013</x:t>
        </x:is>
      </x:c>
      <x:c r="B12" s="39" t="inlineStr">
        <x:is>
          <x:t xml:space="preserve">Elmer Ellsworth Lee</x:t>
        </x:is>
      </x:c>
      <x:c r="C12" s="39" t="n">
        <x:v>4</x:v>
      </x:c>
      <x:c r="D12" s="39" t="inlineStr">
        <x:is>
          <x:t xml:space="preserve">I022</x:t>
        </x:is>
      </x:c>
      <x:c r="E12" s="39" t="inlineStr">
        <x:is>
          <x:t xml:space="preserve">Hubbard Stone Lee</x:t>
        </x:is>
      </x:c>
      <x:c r="F12" s="39" t="inlineStr">
        <x:is>
          <x:t xml:space="preserve">I023</x:t>
        </x:is>
      </x:c>
      <x:c r="G12" s="39" t="inlineStr">
        <x:is>
          <x:t xml:space="preserve">Sarah M. Willitts</x:t>
        </x:is>
      </x:c>
      <x:c r="H12" s="39" t="inlineStr">
        <x:is>
          <x:t xml:space="preserve">B - Strong</x:t>
        </x:is>
      </x:c>
      <x:c r="I12" s="39" t="inlineStr">
        <x:is>
          <x:t xml:space="preserve">S2, S3, S6, S24</x:t>
        </x:is>
      </x:c>
    </x:row>
    <x:row r="13">
      <x:c r="A13" s="39" t="inlineStr">
        <x:is>
          <x:t xml:space="preserve">I010</x:t>
        </x:is>
      </x:c>
      <x:c r="B13" s="39" t="inlineStr">
        <x:is>
          <x:t xml:space="preserve">Henrietta Kleitz</x:t>
        </x:is>
      </x:c>
      <x:c r="C13" s="39" t="n">
        <x:v>4</x:v>
      </x:c>
      <x:c r="D13" s="39" t="inlineStr">
        <x:is>
          <x:t xml:space="preserve">I019</x:t>
        </x:is>
      </x:c>
      <x:c r="E13" s="39" t="inlineStr">
        <x:is>
          <x:t xml:space="preserve">Lambert Kleitz</x:t>
        </x:is>
      </x:c>
      <x:c r="F13" s="39" t="inlineStr">
        <x:is>
          <x:t xml:space="preserve">I020</x:t>
        </x:is>
      </x:c>
      <x:c r="G13" s="39" t="inlineStr">
        <x:is>
          <x:t xml:space="preserve">Elizabeth Wüst</x:t>
        </x:is>
      </x:c>
      <x:c r="H13" s="39" t="inlineStr">
        <x:is>
          <x:t xml:space="preserve">B - Strong</x:t>
        </x:is>
      </x:c>
      <x:c r="I13" s="39" t="inlineStr">
        <x:is>
          <x:t xml:space="preserve">S2, S21</x:t>
        </x:is>
      </x:c>
    </x:row>
    <x:row r="14">
      <x:c r="A14" s="39" t="inlineStr">
        <x:is>
          <x:t xml:space="preserve">I130</x:t>
        </x:is>
      </x:c>
      <x:c r="B14" s="39" t="inlineStr">
        <x:is>
          <x:t xml:space="preserve">Isaac Bush Slaughter Sr.</x:t>
        </x:is>
      </x:c>
      <x:c r="C14" s="39" t="n">
        <x:v>4</x:v>
      </x:c>
      <x:c r="D14" s="39" t="inlineStr">
        <x:is>
          <x:t xml:space="preserve">I133</x:t>
        </x:is>
      </x:c>
      <x:c r="E14" s="39" t="inlineStr">
        <x:is>
          <x:t xml:space="preserve">John Wesley Slaughter</x:t>
        </x:is>
      </x:c>
      <x:c r="F14" s="39" t="inlineStr">
        <x:is>
          <x:t xml:space="preserve">I134</x:t>
        </x:is>
      </x:c>
      <x:c r="G14" s="39" t="inlineStr">
        <x:is>
          <x:t xml:space="preserve">Sarah C. Bush</x:t>
        </x:is>
      </x:c>
      <x:c r="H14" s="39" t="inlineStr">
        <x:is>
          <x:t xml:space="preserve">A - Confirmed</x:t>
        </x:is>
      </x:c>
      <x:c r="I14" s="39" t="inlineStr">
        <x:is>
          <x:t xml:space="preserve">S4, S8, S23</x:t>
        </x:is>
      </x:c>
    </x:row>
    <x:row r="15">
      <x:c r="A15" s="39" t="inlineStr">
        <x:is>
          <x:t xml:space="preserve">I131</x:t>
        </x:is>
      </x:c>
      <x:c r="B15" s="39" t="inlineStr">
        <x:is>
          <x:t xml:space="preserve">Lula Arnelia Rives</x:t>
        </x:is>
      </x:c>
      <x:c r="C15" s="39" t="n">
        <x:v>4</x:v>
      </x:c>
      <x:c r="D15" s="39" t="inlineStr">
        <x:is>
          <x:t xml:space="preserve">I135</x:t>
        </x:is>
      </x:c>
      <x:c r="E15" s="39" t="inlineStr">
        <x:is>
          <x:t xml:space="preserve">Robert Calhoun Rives</x:t>
        </x:is>
      </x:c>
      <x:c r="F15" s="39" t="inlineStr">
        <x:is>
          <x:t xml:space="preserve">I136</x:t>
        </x:is>
      </x:c>
      <x:c r="G15" s="39" t="inlineStr">
        <x:is>
          <x:t xml:space="preserve">Florence Estelle Agee</x:t>
        </x:is>
      </x:c>
      <x:c r="H15" s="39" t="inlineStr">
        <x:is>
          <x:t xml:space="preserve">A - Confirmed</x:t>
        </x:is>
      </x:c>
      <x:c r="I15" s="39" t="inlineStr">
        <x:is>
          <x:t xml:space="preserve">S4, S8, S9</x:t>
        </x:is>
      </x:c>
    </x:row>
    <x:row r="16">
      <x:c r="A16" s="39" t="inlineStr">
        <x:is>
          <x:t xml:space="preserve">I115</x:t>
        </x:is>
      </x:c>
      <x:c r="B16" s="39" t="inlineStr">
        <x:is>
          <x:t xml:space="preserve">Mary Moore Brooks</x:t>
        </x:is>
      </x:c>
      <x:c r="C16" s="39" t="n">
        <x:v>4</x:v>
      </x:c>
      <x:c r="D16" s="39" t="inlineStr">
        <x:is>
          <x:t xml:space="preserve">I120</x:t>
        </x:is>
      </x:c>
      <x:c r="E16" s="39" t="inlineStr">
        <x:is>
          <x:t xml:space="preserve">Abram Field Brooks</x:t>
        </x:is>
      </x:c>
      <x:c r="F16" s="39" t="inlineStr">
        <x:is>
          <x:t xml:space="preserve">I121</x:t>
        </x:is>
      </x:c>
      <x:c r="G16" s="39" t="inlineStr">
        <x:is>
          <x:t xml:space="preserve">Mary P. “Mollie” Moore</x:t>
        </x:is>
      </x:c>
      <x:c r="H16" s="39" t="inlineStr">
        <x:is>
          <x:t xml:space="preserve">A - Confirmed</x:t>
        </x:is>
      </x:c>
      <x:c r="I16" s="39" t="inlineStr">
        <x:is>
          <x:t xml:space="preserve">S3, S17</x:t>
        </x:is>
      </x:c>
    </x:row>
    <x:row r="17">
      <x:c r="A17" s="39" t="inlineStr">
        <x:is>
          <x:t xml:space="preserve">I120</x:t>
        </x:is>
      </x:c>
      <x:c r="B17" s="39" t="inlineStr">
        <x:is>
          <x:t xml:space="preserve">Abram Field Brooks</x:t>
        </x:is>
      </x:c>
      <x:c r="C17" s="39" t="n">
        <x:v>5</x:v>
      </x:c>
      <x:c r="D17" s="39" t="inlineStr">
        <x:is>
          <x:t xml:space="preserve">I122</x:t>
        </x:is>
      </x:c>
      <x:c r="E17" s="39" t="inlineStr">
        <x:is>
          <x:t xml:space="preserve">Solomon Neal Brooks</x:t>
        </x:is>
      </x:c>
      <x:c r="F17" s="39" t="inlineStr">
        <x:is>
          <x:t xml:space="preserve">I123</x:t>
        </x:is>
      </x:c>
      <x:c r="G17" s="39" t="inlineStr">
        <x:is>
          <x:t xml:space="preserve">Elizabeth Field</x:t>
        </x:is>
      </x:c>
      <x:c r="H17" s="39" t="inlineStr">
        <x:is>
          <x:t xml:space="preserve">B - Strong</x:t>
        </x:is>
      </x:c>
      <x:c r="I17" s="39" t="inlineStr">
        <x:is>
          <x:t xml:space="preserve">S17</x:t>
        </x:is>
      </x:c>
    </x:row>
    <x:row r="18">
      <x:c r="A18" s="39" t="inlineStr">
        <x:is>
          <x:t xml:space="preserve">I116</x:t>
        </x:is>
      </x:c>
      <x:c r="B18" s="39" t="inlineStr">
        <x:is>
          <x:t xml:space="preserve">Edward H. McCormick</x:t>
        </x:is>
      </x:c>
      <x:c r="C18" s="39" t="n">
        <x:v>5</x:v>
      </x:c>
      <x:c r="D18" s="39" t="inlineStr">
        <x:is>
          <x:t xml:space="preserve">I118</x:t>
        </x:is>
      </x:c>
      <x:c r="E18" s="39" t="inlineStr">
        <x:is>
          <x:t xml:space="preserve">Charles McCormick</x:t>
        </x:is>
      </x:c>
      <x:c r="F18" s="39" t="inlineStr">
        <x:is>
          <x:t xml:space="preserve">I119</x:t>
        </x:is>
      </x:c>
      <x:c r="G18" s="39" t="inlineStr">
        <x:is>
          <x:t xml:space="preserve">Elizabeth (surname unknown) McCormick</x:t>
        </x:is>
      </x:c>
      <x:c r="H18" s="39" t="inlineStr">
        <x:is>
          <x:t xml:space="preserve">A - Confirmed</x:t>
        </x:is>
      </x:c>
      <x:c r="I18" s="39" t="inlineStr">
        <x:is>
          <x:t xml:space="preserve">S14, S15, S16</x:t>
        </x:is>
      </x:c>
    </x:row>
    <x:row r="19">
      <x:c r="A19" s="39" t="inlineStr">
        <x:is>
          <x:t xml:space="preserve">I020</x:t>
        </x:is>
      </x:c>
      <x:c r="B19" s="39" t="inlineStr">
        <x:is>
          <x:t xml:space="preserve">Elizabeth Wüst</x:t>
        </x:is>
      </x:c>
      <x:c r="C19" s="39" t="n">
        <x:v>5</x:v>
      </x:c>
      <x:c r="D19" s="39" t="inlineStr">
        <x:is>
          <x:t xml:space="preserve">I021</x:t>
        </x:is>
      </x:c>
      <x:c r="E19" s="39" t="inlineStr">
        <x:is>
          <x:t xml:space="preserve">Jacob Wüst</x:t>
        </x:is>
      </x:c>
      <x:c r="F19" s="39" t="str"/>
      <x:c r="G19" s="39" t="str"/>
      <x:c r="H19" s="39" t="inlineStr">
        <x:is>
          <x:t xml:space="preserve">B - Strong</x:t>
        </x:is>
      </x:c>
      <x:c r="I19" s="39" t="inlineStr">
        <x:is>
          <x:t xml:space="preserve">S2, S21</x:t>
        </x:is>
      </x:c>
    </x:row>
    <x:row r="20">
      <x:c r="A20" s="39" t="inlineStr">
        <x:is>
          <x:t xml:space="preserve">I136</x:t>
        </x:is>
      </x:c>
      <x:c r="B20" s="39" t="inlineStr">
        <x:is>
          <x:t xml:space="preserve">Florence Estelle Agee</x:t>
        </x:is>
      </x:c>
      <x:c r="C20" s="39" t="n">
        <x:v>5</x:v>
      </x:c>
      <x:c r="D20" s="39" t="inlineStr">
        <x:is>
          <x:t xml:space="preserve">I154</x:t>
        </x:is>
      </x:c>
      <x:c r="E20" s="39" t="inlineStr">
        <x:is>
          <x:t xml:space="preserve">William Raiford Agee</x:t>
        </x:is>
      </x:c>
      <x:c r="F20" s="39" t="inlineStr">
        <x:is>
          <x:t xml:space="preserve">I155</x:t>
        </x:is>
      </x:c>
      <x:c r="G20" s="39" t="inlineStr">
        <x:is>
          <x:t xml:space="preserve">Elvina Hill</x:t>
        </x:is>
      </x:c>
      <x:c r="H20" s="39" t="inlineStr">
        <x:is>
          <x:t xml:space="preserve">A - Confirmed</x:t>
        </x:is>
      </x:c>
      <x:c r="I20" s="39" t="inlineStr">
        <x:is>
          <x:t xml:space="preserve">S4, S8, S9</x:t>
        </x:is>
      </x:c>
    </x:row>
    <x:row r="21">
      <x:c r="A21" s="39" t="inlineStr">
        <x:is>
          <x:t xml:space="preserve">I022</x:t>
        </x:is>
      </x:c>
      <x:c r="B21" s="39" t="inlineStr">
        <x:is>
          <x:t xml:space="preserve">Hubbard Stone Lee</x:t>
        </x:is>
      </x:c>
      <x:c r="C21" s="39" t="n">
        <x:v>5</x:v>
      </x:c>
      <x:c r="D21" s="39" t="inlineStr">
        <x:is>
          <x:t xml:space="preserve">I024</x:t>
        </x:is>
      </x:c>
      <x:c r="E21" s="39" t="inlineStr">
        <x:is>
          <x:t xml:space="preserve">Elon Lee</x:t>
        </x:is>
      </x:c>
      <x:c r="F21" s="39" t="inlineStr">
        <x:is>
          <x:t xml:space="preserve">I025</x:t>
        </x:is>
      </x:c>
      <x:c r="G21" s="39" t="inlineStr">
        <x:is>
          <x:t xml:space="preserve">Grace Stone</x:t>
        </x:is>
      </x:c>
      <x:c r="H21" s="39" t="inlineStr">
        <x:is>
          <x:t xml:space="preserve">B - Strong</x:t>
        </x:is>
      </x:c>
      <x:c r="I21" s="39" t="inlineStr">
        <x:is>
          <x:t xml:space="preserve">S6, S7</x:t>
        </x:is>
      </x:c>
    </x:row>
    <x:row r="22">
      <x:c r="A22" s="39" t="inlineStr">
        <x:is>
          <x:t xml:space="preserve">I117</x:t>
        </x:is>
      </x:c>
      <x:c r="B22" s="39" t="inlineStr">
        <x:is>
          <x:t xml:space="preserve">Martha Ann “Annie” O’Brien</x:t>
        </x:is>
      </x:c>
      <x:c r="C22" s="39" t="n">
        <x:v>5</x:v>
      </x:c>
      <x:c r="D22" s="39" t="inlineStr">
        <x:is>
          <x:t xml:space="preserve">I124</x:t>
        </x:is>
      </x:c>
      <x:c r="E22" s="39" t="inlineStr">
        <x:is>
          <x:t xml:space="preserve">Christopher O’Brien</x:t>
        </x:is>
      </x:c>
      <x:c r="F22" s="39" t="inlineStr">
        <x:is>
          <x:t xml:space="preserve">I125</x:t>
        </x:is>
      </x:c>
      <x:c r="G22" s="39" t="inlineStr">
        <x:is>
          <x:t xml:space="preserve">Sophronia Simmons</x:t>
        </x:is>
      </x:c>
      <x:c r="H22" s="39" t="inlineStr">
        <x:is>
          <x:t xml:space="preserve">A - Confirmed</x:t>
        </x:is>
      </x:c>
      <x:c r="I22" s="39" t="inlineStr">
        <x:is>
          <x:t xml:space="preserve">S14, S16</x:t>
        </x:is>
      </x:c>
    </x:row>
    <x:row r="23">
      <x:c r="A23" s="39" t="inlineStr">
        <x:is>
          <x:t xml:space="preserve">I135</x:t>
        </x:is>
      </x:c>
      <x:c r="B23" s="39" t="inlineStr">
        <x:is>
          <x:t xml:space="preserve">Robert Calhoun Rives</x:t>
        </x:is>
      </x:c>
      <x:c r="C23" s="39" t="n">
        <x:v>5</x:v>
      </x:c>
      <x:c r="D23" s="39" t="inlineStr">
        <x:is>
          <x:t xml:space="preserve">I137</x:t>
        </x:is>
      </x:c>
      <x:c r="E23" s="39" t="inlineStr">
        <x:is>
          <x:t xml:space="preserve">Robert Rives</x:t>
        </x:is>
      </x:c>
      <x:c r="F23" s="39" t="inlineStr">
        <x:is>
          <x:t xml:space="preserve">I138</x:t>
        </x:is>
      </x:c>
      <x:c r="G23" s="39" t="inlineStr">
        <x:is>
          <x:t xml:space="preserve">Amelia Harrison</x:t>
        </x:is>
      </x:c>
      <x:c r="H23" s="39" t="inlineStr">
        <x:is>
          <x:t xml:space="preserve">A - Confirmed</x:t>
        </x:is>
      </x:c>
      <x:c r="I23" s="39" t="inlineStr">
        <x:is>
          <x:t xml:space="preserve">S4, S9</x:t>
        </x:is>
      </x:c>
    </x:row>
    <x:row r="24">
      <x:c r="A24" s="39" t="inlineStr">
        <x:is>
          <x:t xml:space="preserve">I138</x:t>
        </x:is>
      </x:c>
      <x:c r="B24" s="39" t="inlineStr">
        <x:is>
          <x:t xml:space="preserve">Amelia Harrison</x:t>
        </x:is>
      </x:c>
      <x:c r="C24" s="39" t="n">
        <x:v>6</x:v>
      </x:c>
      <x:c r="D24" s="39" t="inlineStr">
        <x:is>
          <x:t xml:space="preserve">I147</x:t>
        </x:is>
      </x:c>
      <x:c r="E24" s="39" t="inlineStr">
        <x:is>
          <x:t xml:space="preserve">William Harrison</x:t>
        </x:is>
      </x:c>
      <x:c r="F24" s="39" t="inlineStr">
        <x:is>
          <x:t xml:space="preserve">I148</x:t>
        </x:is>
      </x:c>
      <x:c r="G24" s="39" t="inlineStr">
        <x:is>
          <x:t xml:space="preserve">Ann Perry</x:t>
        </x:is>
      </x:c>
      <x:c r="H24" s="39" t="inlineStr">
        <x:is>
          <x:t xml:space="preserve">A - Confirmed</x:t>
        </x:is>
      </x:c>
      <x:c r="I24" s="39" t="inlineStr">
        <x:is>
          <x:t xml:space="preserve">S4, S20</x:t>
        </x:is>
      </x:c>
    </x:row>
    <x:row r="25">
      <x:c r="A25" s="39" t="inlineStr">
        <x:is>
          <x:t xml:space="preserve">I123</x:t>
        </x:is>
      </x:c>
      <x:c r="B25" s="39" t="inlineStr">
        <x:is>
          <x:t xml:space="preserve">Elizabeth Field</x:t>
        </x:is>
      </x:c>
      <x:c r="C25" s="39" t="n">
        <x:v>6</x:v>
      </x:c>
      <x:c r="D25" s="39" t="inlineStr">
        <x:is>
          <x:t xml:space="preserve">I128</x:t>
        </x:is>
      </x:c>
      <x:c r="E25" s="39" t="inlineStr">
        <x:is>
          <x:t xml:space="preserve">Abram Field</x:t>
        </x:is>
      </x:c>
      <x:c r="F25" s="39" t="inlineStr">
        <x:is>
          <x:t xml:space="preserve">I129</x:t>
        </x:is>
      </x:c>
      <x:c r="G25" s="39" t="inlineStr">
        <x:is>
          <x:t xml:space="preserve">Elizabeth Simmons (probable)</x:t>
        </x:is>
      </x:c>
      <x:c r="H25" s="39" t="inlineStr">
        <x:is>
          <x:t xml:space="preserve">B - Strong</x:t>
        </x:is>
      </x:c>
      <x:c r="I25" s="39" t="inlineStr">
        <x:is>
          <x:t xml:space="preserve">S17</x:t>
        </x:is>
      </x:c>
    </x:row>
    <x:row r="26">
      <x:c r="A26" s="39" t="inlineStr">
        <x:is>
          <x:t xml:space="preserve">I024</x:t>
        </x:is>
      </x:c>
      <x:c r="B26" s="39" t="inlineStr">
        <x:is>
          <x:t xml:space="preserve">Elon Lee</x:t>
        </x:is>
      </x:c>
      <x:c r="C26" s="39" t="n">
        <x:v>6</x:v>
      </x:c>
      <x:c r="D26" s="39" t="inlineStr">
        <x:is>
          <x:t xml:space="preserve">I026</x:t>
        </x:is>
      </x:c>
      <x:c r="E26" s="39" t="inlineStr">
        <x:is>
          <x:t xml:space="preserve">William Lee</x:t>
        </x:is>
      </x:c>
      <x:c r="F26" s="39" t="inlineStr">
        <x:is>
          <x:t xml:space="preserve">I027</x:t>
        </x:is>
      </x:c>
      <x:c r="G26" s="39" t="inlineStr">
        <x:is>
          <x:t xml:space="preserve">Eunice Hotchkiss</x:t>
        </x:is>
      </x:c>
      <x:c r="H26" s="39" t="inlineStr">
        <x:is>
          <x:t xml:space="preserve">B - Strong</x:t>
        </x:is>
      </x:c>
      <x:c r="I26" s="39" t="inlineStr">
        <x:is>
          <x:t xml:space="preserve">S7</x:t>
        </x:is>
      </x:c>
    </x:row>
    <x:row r="27">
      <x:c r="A27" s="39" t="inlineStr">
        <x:is>
          <x:t xml:space="preserve">I155</x:t>
        </x:is>
      </x:c>
      <x:c r="B27" s="39" t="inlineStr">
        <x:is>
          <x:t xml:space="preserve">Elvina Hill</x:t>
        </x:is>
      </x:c>
      <x:c r="C27" s="39" t="n">
        <x:v>6</x:v>
      </x:c>
      <x:c r="D27" s="39" t="inlineStr">
        <x:is>
          <x:t xml:space="preserve">I163</x:t>
        </x:is>
      </x:c>
      <x:c r="E27" s="39" t="inlineStr">
        <x:is>
          <x:t xml:space="preserve">William Hill</x:t>
        </x:is>
      </x:c>
      <x:c r="F27" s="39" t="str"/>
      <x:c r="G27" s="39" t="str"/>
      <x:c r="H27" s="39" t="inlineStr">
        <x:is>
          <x:t xml:space="preserve">B - Strong</x:t>
        </x:is>
      </x:c>
      <x:c r="I27" s="39" t="inlineStr">
        <x:is>
          <x:t xml:space="preserve">S8</x:t>
        </x:is>
      </x:c>
    </x:row>
    <x:row r="28">
      <x:c r="A28" s="39" t="inlineStr">
        <x:is>
          <x:t xml:space="preserve">I025</x:t>
        </x:is>
      </x:c>
      <x:c r="B28" s="39" t="inlineStr">
        <x:is>
          <x:t xml:space="preserve">Grace Stone</x:t>
        </x:is>
      </x:c>
      <x:c r="C28" s="39" t="n">
        <x:v>6</x:v>
      </x:c>
      <x:c r="D28" s="39" t="inlineStr">
        <x:is>
          <x:t xml:space="preserve">I028</x:t>
        </x:is>
      </x:c>
      <x:c r="E28" s="39" t="inlineStr">
        <x:is>
          <x:t xml:space="preserve">John Evarts Stone</x:t>
        </x:is>
      </x:c>
      <x:c r="F28" s="39" t="inlineStr">
        <x:is>
          <x:t xml:space="preserve">I029</x:t>
        </x:is>
      </x:c>
      <x:c r="G28" s="39" t="inlineStr">
        <x:is>
          <x:t xml:space="preserve">Eunice Goldsmith</x:t>
        </x:is>
      </x:c>
      <x:c r="H28" s="39" t="inlineStr">
        <x:is>
          <x:t xml:space="preserve">B - Strong</x:t>
        </x:is>
      </x:c>
      <x:c r="I28" s="39" t="inlineStr">
        <x:is>
          <x:t xml:space="preserve">S7</x:t>
        </x:is>
      </x:c>
    </x:row>
    <x:row r="29">
      <x:c r="A29" s="39" t="inlineStr">
        <x:is>
          <x:t xml:space="preserve">I137</x:t>
        </x:is>
      </x:c>
      <x:c r="B29" s="39" t="inlineStr">
        <x:is>
          <x:t xml:space="preserve">Robert Rives</x:t>
        </x:is>
      </x:c>
      <x:c r="C29" s="39" t="n">
        <x:v>6</x:v>
      </x:c>
      <x:c r="D29" s="39" t="inlineStr">
        <x:is>
          <x:t xml:space="preserve">I139</x:t>
        </x:is>
      </x:c>
      <x:c r="E29" s="39" t="inlineStr">
        <x:is>
          <x:t xml:space="preserve">Green Rives</x:t>
        </x:is>
      </x:c>
      <x:c r="F29" s="39" t="inlineStr">
        <x:is>
          <x:t xml:space="preserve">I140</x:t>
        </x:is>
      </x:c>
      <x:c r="G29" s="39" t="inlineStr">
        <x:is>
          <x:t xml:space="preserve">Mary Ridley Jones</x:t>
        </x:is>
      </x:c>
      <x:c r="H29" s="39" t="inlineStr">
        <x:is>
          <x:t xml:space="preserve">A - Confirmed</x:t>
        </x:is>
      </x:c>
      <x:c r="I29" s="39" t="inlineStr">
        <x:is>
          <x:t xml:space="preserve">S4, S9, S10</x:t>
        </x:is>
      </x:c>
    </x:row>
    <x:row r="30">
      <x:c r="A30" s="39" t="inlineStr">
        <x:is>
          <x:t xml:space="preserve">I122</x:t>
        </x:is>
      </x:c>
      <x:c r="B30" s="39" t="inlineStr">
        <x:is>
          <x:t xml:space="preserve">Solomon Neal Brooks</x:t>
        </x:is>
      </x:c>
      <x:c r="C30" s="39" t="n">
        <x:v>6</x:v>
      </x:c>
      <x:c r="D30" s="39" t="inlineStr">
        <x:is>
          <x:t xml:space="preserve">I126</x:t>
        </x:is>
      </x:c>
      <x:c r="E30" s="39" t="inlineStr">
        <x:is>
          <x:t xml:space="preserve">Joseph Anderson Brooks</x:t>
        </x:is>
      </x:c>
      <x:c r="F30" s="39" t="str"/>
      <x:c r="G30" s="39" t="str"/>
      <x:c r="H30" s="39" t="inlineStr">
        <x:is>
          <x:t xml:space="preserve">B - Strong</x:t>
        </x:is>
      </x:c>
      <x:c r="I30" s="39" t="inlineStr">
        <x:is>
          <x:t xml:space="preserve">S17, S18</x:t>
        </x:is>
      </x:c>
    </x:row>
    <x:row r="31">
      <x:c r="A31" s="39" t="inlineStr">
        <x:is>
          <x:t xml:space="preserve">I154</x:t>
        </x:is>
      </x:c>
      <x:c r="B31" s="39" t="inlineStr">
        <x:is>
          <x:t xml:space="preserve">William Raiford Agee</x:t>
        </x:is>
      </x:c>
      <x:c r="C31" s="39" t="n">
        <x:v>6</x:v>
      </x:c>
      <x:c r="D31" s="39" t="inlineStr">
        <x:is>
          <x:t xml:space="preserve">I161</x:t>
        </x:is>
      </x:c>
      <x:c r="E31" s="39" t="inlineStr">
        <x:is>
          <x:t xml:space="preserve">Noah Agee</x:t>
        </x:is>
      </x:c>
      <x:c r="F31" s="39" t="inlineStr">
        <x:is>
          <x:t xml:space="preserve">I162</x:t>
        </x:is>
      </x:c>
      <x:c r="G31" s="39" t="inlineStr">
        <x:is>
          <x:t xml:space="preserve">Martha Mask</x:t>
        </x:is>
      </x:c>
      <x:c r="H31" s="39" t="inlineStr">
        <x:is>
          <x:t xml:space="preserve">B - Strong</x:t>
        </x:is>
      </x:c>
      <x:c r="I31" s="39" t="inlineStr">
        <x:is>
          <x:t xml:space="preserve">S8</x:t>
        </x:is>
      </x:c>
    </x:row>
    <x:row r="32">
      <x:c r="A32" s="39" t="inlineStr">
        <x:is>
          <x:t xml:space="preserve">I148</x:t>
        </x:is>
      </x:c>
      <x:c r="B32" s="39" t="inlineStr">
        <x:is>
          <x:t xml:space="preserve">Ann Perry</x:t>
        </x:is>
      </x:c>
      <x:c r="C32" s="39" t="n">
        <x:v>7</x:v>
      </x:c>
      <x:c r="D32" s="39" t="inlineStr">
        <x:is>
          <x:t xml:space="preserve">I160</x:t>
        </x:is>
      </x:c>
      <x:c r="E32" s="39" t="inlineStr">
        <x:is>
          <x:t xml:space="preserve">James Perry</x:t>
        </x:is>
      </x:c>
      <x:c r="F32" s="39" t="str"/>
      <x:c r="G32" s="39" t="str"/>
      <x:c r="H32" s="39" t="inlineStr">
        <x:is>
          <x:t xml:space="preserve">A - Confirmed</x:t>
        </x:is>
      </x:c>
      <x:c r="I32" s="39" t="inlineStr">
        <x:is>
          <x:t xml:space="preserve">S20</x:t>
        </x:is>
      </x:c>
    </x:row>
    <x:row r="33">
      <x:c r="A33" s="39" t="inlineStr">
        <x:is>
          <x:t xml:space="preserve">I027</x:t>
        </x:is>
      </x:c>
      <x:c r="B33" s="39" t="inlineStr">
        <x:is>
          <x:t xml:space="preserve">Eunice Hotchkiss</x:t>
        </x:is>
      </x:c>
      <x:c r="C33" s="39" t="n">
        <x:v>7</x:v>
      </x:c>
      <x:c r="D33" s="39" t="inlineStr">
        <x:is>
          <x:t xml:space="preserve">I032</x:t>
        </x:is>
      </x:c>
      <x:c r="E33" s="39" t="inlineStr">
        <x:is>
          <x:t xml:space="preserve">Mark Hotchkiss</x:t>
        </x:is>
      </x:c>
      <x:c r="F33" s="39" t="inlineStr">
        <x:is>
          <x:t xml:space="preserve">I033</x:t>
        </x:is>
      </x:c>
      <x:c r="G33" s="39" t="inlineStr">
        <x:is>
          <x:t xml:space="preserve">Miriam Lee</x:t>
        </x:is>
      </x:c>
      <x:c r="H33" s="39" t="inlineStr">
        <x:is>
          <x:t xml:space="preserve">B - Strong</x:t>
        </x:is>
      </x:c>
      <x:c r="I33" s="39" t="inlineStr">
        <x:is>
          <x:t xml:space="preserve">S7</x:t>
        </x:is>
      </x:c>
    </x:row>
    <x:row r="34">
      <x:c r="A34" s="39" t="inlineStr">
        <x:is>
          <x:t xml:space="preserve">I139</x:t>
        </x:is>
      </x:c>
      <x:c r="B34" s="39" t="inlineStr">
        <x:is>
          <x:t xml:space="preserve">Green Rives</x:t>
        </x:is>
      </x:c>
      <x:c r="C34" s="39" t="n">
        <x:v>7</x:v>
      </x:c>
      <x:c r="D34" s="39" t="inlineStr">
        <x:is>
          <x:t xml:space="preserve">I141</x:t>
        </x:is>
      </x:c>
      <x:c r="E34" s="39" t="inlineStr">
        <x:is>
          <x:t xml:space="preserve">William Rives</x:t>
        </x:is>
      </x:c>
      <x:c r="F34" s="39" t="inlineStr">
        <x:is>
          <x:t xml:space="preserve">I142</x:t>
        </x:is>
      </x:c>
      <x:c r="G34" s="39" t="inlineStr">
        <x:is>
          <x:t xml:space="preserve">Lucy Wyche</x:t>
        </x:is>
      </x:c>
      <x:c r="H34" s="39" t="inlineStr">
        <x:is>
          <x:t xml:space="preserve">A - Confirmed</x:t>
        </x:is>
      </x:c>
      <x:c r="I34" s="39" t="inlineStr">
        <x:is>
          <x:t xml:space="preserve">S4, S10</x:t>
        </x:is>
      </x:c>
    </x:row>
    <x:row r="35">
      <x:c r="A35" s="39" t="inlineStr">
        <x:is>
          <x:t xml:space="preserve">I028</x:t>
        </x:is>
      </x:c>
      <x:c r="B35" s="39" t="inlineStr">
        <x:is>
          <x:t xml:space="preserve">John Evarts Stone</x:t>
        </x:is>
      </x:c>
      <x:c r="C35" s="39" t="n">
        <x:v>7</x:v>
      </x:c>
      <x:c r="D35" s="39" t="inlineStr">
        <x:is>
          <x:t xml:space="preserve">I034</x:t>
        </x:is>
      </x:c>
      <x:c r="E35" s="39" t="inlineStr">
        <x:is>
          <x:t xml:space="preserve">Asher Stone</x:t>
        </x:is>
      </x:c>
      <x:c r="F35" s="39" t="inlineStr">
        <x:is>
          <x:t xml:space="preserve">I035</x:t>
        </x:is>
      </x:c>
      <x:c r="G35" s="39" t="inlineStr">
        <x:is>
          <x:t xml:space="preserve">Carine Ward</x:t>
        </x:is>
      </x:c>
      <x:c r="H35" s="39" t="inlineStr">
        <x:is>
          <x:t xml:space="preserve">B - Strong</x:t>
        </x:is>
      </x:c>
      <x:c r="I35" s="39" t="inlineStr">
        <x:is>
          <x:t xml:space="preserve">S7</x:t>
        </x:is>
      </x:c>
    </x:row>
    <x:row r="36">
      <x:c r="A36" s="39" t="inlineStr">
        <x:is>
          <x:t xml:space="preserve">I126</x:t>
        </x:is>
      </x:c>
      <x:c r="B36" s="39" t="inlineStr">
        <x:is>
          <x:t xml:space="preserve">Joseph Anderson Brooks</x:t>
        </x:is>
      </x:c>
      <x:c r="C36" s="39" t="n">
        <x:v>7</x:v>
      </x:c>
      <x:c r="D36" s="39" t="inlineStr">
        <x:is>
          <x:t xml:space="preserve">I127</x:t>
        </x:is>
      </x:c>
      <x:c r="E36" s="39" t="inlineStr">
        <x:is>
          <x:t xml:space="preserve">Joseph Brooks (Bullitt County pioneer)</x:t>
        </x:is>
      </x:c>
      <x:c r="F36" s="39" t="inlineStr">
        <x:is>
          <x:t xml:space="preserve">I132</x:t>
        </x:is>
      </x:c>
      <x:c r="G36" s="39" t="inlineStr">
        <x:is>
          <x:t xml:space="preserve">Nancy (surname unknown) Brooks</x:t>
        </x:is>
      </x:c>
      <x:c r="H36" s="39" t="inlineStr">
        <x:is>
          <x:t xml:space="preserve">B - Strong</x:t>
        </x:is>
      </x:c>
      <x:c r="I36" s="39" t="inlineStr">
        <x:is>
          <x:t xml:space="preserve">S18, S19</x:t>
        </x:is>
      </x:c>
    </x:row>
    <x:row r="37">
      <x:c r="A37" s="39" t="inlineStr">
        <x:is>
          <x:t xml:space="preserve">I140</x:t>
        </x:is>
      </x:c>
      <x:c r="B37" s="39" t="inlineStr">
        <x:is>
          <x:t xml:space="preserve">Mary Ridley Jones</x:t>
        </x:is>
      </x:c>
      <x:c r="C37" s="39" t="n">
        <x:v>7</x:v>
      </x:c>
      <x:c r="D37" s="39" t="inlineStr">
        <x:is>
          <x:t xml:space="preserve">I145</x:t>
        </x:is>
      </x:c>
      <x:c r="E37" s="39" t="inlineStr">
        <x:is>
          <x:t xml:space="preserve">Darling Jones</x:t>
        </x:is>
      </x:c>
      <x:c r="F37" s="39" t="inlineStr">
        <x:is>
          <x:t xml:space="preserve">I146</x:t>
        </x:is>
      </x:c>
      <x:c r="G37" s="39" t="inlineStr">
        <x:is>
          <x:t xml:space="preserve">Susannah (surname unknown) Jones</x:t>
        </x:is>
      </x:c>
      <x:c r="H37" s="39" t="inlineStr">
        <x:is>
          <x:t xml:space="preserve">B - Strong</x:t>
        </x:is>
      </x:c>
      <x:c r="I37" s="39" t="inlineStr">
        <x:is>
          <x:t xml:space="preserve">S4, S10</x:t>
        </x:is>
      </x:c>
    </x:row>
    <x:row r="38">
      <x:c r="A38" s="39" t="inlineStr">
        <x:is>
          <x:t xml:space="preserve">I161</x:t>
        </x:is>
      </x:c>
      <x:c r="B38" s="39" t="inlineStr">
        <x:is>
          <x:t xml:space="preserve">Noah Agee</x:t>
        </x:is>
      </x:c>
      <x:c r="C38" s="39" t="n">
        <x:v>7</x:v>
      </x:c>
      <x:c r="D38" s="39" t="inlineStr">
        <x:is>
          <x:t xml:space="preserve">I164</x:t>
        </x:is>
      </x:c>
      <x:c r="E38" s="39" t="inlineStr">
        <x:is>
          <x:t xml:space="preserve">James Agee</x:t>
        </x:is>
      </x:c>
      <x:c r="F38" s="39" t="inlineStr">
        <x:is>
          <x:t xml:space="preserve">I165</x:t>
        </x:is>
      </x:c>
      <x:c r="G38" s="39" t="inlineStr">
        <x:is>
          <x:t xml:space="preserve">Mary (possibly Elizabeth) Ford</x:t>
        </x:is>
      </x:c>
      <x:c r="H38" s="39" t="inlineStr">
        <x:is>
          <x:t xml:space="preserve">B - Strong</x:t>
        </x:is>
      </x:c>
      <x:c r="I38" s="39" t="inlineStr">
        <x:is>
          <x:t xml:space="preserve">S8</x:t>
        </x:is>
      </x:c>
    </x:row>
    <x:row r="39">
      <x:c r="A39" s="39" t="inlineStr">
        <x:is>
          <x:t xml:space="preserve">I147</x:t>
        </x:is>
      </x:c>
      <x:c r="B39" s="39" t="inlineStr">
        <x:is>
          <x:t xml:space="preserve">William Harrison</x:t>
        </x:is>
      </x:c>
      <x:c r="C39" s="39" t="n">
        <x:v>7</x:v>
      </x:c>
      <x:c r="D39" s="39" t="inlineStr">
        <x:is>
          <x:t xml:space="preserve">I158</x:t>
        </x:is>
      </x:c>
      <x:c r="E39" s="39" t="inlineStr">
        <x:is>
          <x:t xml:space="preserve">Reuben Harrison</x:t>
        </x:is>
      </x:c>
      <x:c r="F39" s="39" t="inlineStr">
        <x:is>
          <x:t xml:space="preserve">I159</x:t>
        </x:is>
      </x:c>
      <x:c r="G39" s="39" t="inlineStr">
        <x:is>
          <x:t xml:space="preserve">Nancy (possibly Kirkland) Harrison</x:t>
        </x:is>
      </x:c>
      <x:c r="H39" s="39" t="inlineStr">
        <x:is>
          <x:t xml:space="preserve">B - Strong</x:t>
        </x:is>
      </x:c>
      <x:c r="I39" s="39" t="inlineStr">
        <x:is>
          <x:t xml:space="preserve">S20</x:t>
        </x:is>
      </x:c>
    </x:row>
    <x:row r="40">
      <x:c r="A40" s="39" t="inlineStr">
        <x:is>
          <x:t xml:space="preserve">I026</x:t>
        </x:is>
      </x:c>
      <x:c r="B40" s="39" t="inlineStr">
        <x:is>
          <x:t xml:space="preserve">William Lee</x:t>
        </x:is>
      </x:c>
      <x:c r="C40" s="39" t="n">
        <x:v>7</x:v>
      </x:c>
      <x:c r="D40" s="39" t="inlineStr">
        <x:is>
          <x:t xml:space="preserve">I030</x:t>
        </x:is>
      </x:c>
      <x:c r="E40" s="39" t="inlineStr">
        <x:is>
          <x:t xml:space="preserve">Ebenezer Lee</x:t>
        </x:is>
      </x:c>
      <x:c r="F40" s="39" t="inlineStr">
        <x:is>
          <x:t xml:space="preserve">I031</x:t>
        </x:is>
      </x:c>
      <x:c r="G40" s="39" t="inlineStr">
        <x:is>
          <x:t xml:space="preserve">Sarah Chidsey</x:t>
        </x:is>
      </x:c>
      <x:c r="H40" s="39" t="inlineStr">
        <x:is>
          <x:t xml:space="preserve">B - Strong</x:t>
        </x:is>
      </x:c>
      <x:c r="I40" s="39" t="inlineStr">
        <x:is>
          <x:t xml:space="preserve">S7</x:t>
        </x:is>
      </x:c>
    </x:row>
    <x:row r="41">
      <x:c r="A41" s="39" t="inlineStr">
        <x:is>
          <x:t xml:space="preserve">I034</x:t>
        </x:is>
      </x:c>
      <x:c r="B41" s="39" t="inlineStr">
        <x:is>
          <x:t xml:space="preserve">Asher Stone</x:t>
        </x:is>
      </x:c>
      <x:c r="C41" s="39" t="n">
        <x:v>8</x:v>
      </x:c>
      <x:c r="D41" s="39" t="inlineStr">
        <x:is>
          <x:t xml:space="preserve">I041</x:t>
        </x:is>
      </x:c>
      <x:c r="E41" s="39" t="inlineStr">
        <x:is>
          <x:t xml:space="preserve">Caleb Stone Jr.</x:t>
        </x:is>
      </x:c>
      <x:c r="F41" s="39" t="inlineStr">
        <x:is>
          <x:t xml:space="preserve">I042</x:t>
        </x:is>
      </x:c>
      <x:c r="G41" s="39" t="inlineStr">
        <x:is>
          <x:t xml:space="preserve">Rebecca Evarts</x:t>
        </x:is>
      </x:c>
      <x:c r="H41" s="39" t="inlineStr">
        <x:is>
          <x:t xml:space="preserve">B - Strong</x:t>
        </x:is>
      </x:c>
      <x:c r="I41" s="39" t="inlineStr">
        <x:is>
          <x:t xml:space="preserve">S7</x:t>
        </x:is>
      </x:c>
    </x:row>
    <x:row r="42">
      <x:c r="A42" s="39" t="inlineStr">
        <x:is>
          <x:t xml:space="preserve">I035</x:t>
        </x:is>
      </x:c>
      <x:c r="B42" s="39" t="inlineStr">
        <x:is>
          <x:t xml:space="preserve">Carine Ward</x:t>
        </x:is>
      </x:c>
      <x:c r="C42" s="39" t="n">
        <x:v>8</x:v>
      </x:c>
      <x:c r="D42" s="39" t="inlineStr">
        <x:is>
          <x:t xml:space="preserve">I043</x:t>
        </x:is>
      </x:c>
      <x:c r="E42" s="39" t="inlineStr">
        <x:is>
          <x:t xml:space="preserve">William Ward</x:t>
        </x:is>
      </x:c>
      <x:c r="F42" s="39" t="inlineStr">
        <x:is>
          <x:t xml:space="preserve">I044</x:t>
        </x:is>
      </x:c>
      <x:c r="G42" s="39" t="inlineStr">
        <x:is>
          <x:t xml:space="preserve">Abigail Crampton</x:t>
        </x:is>
      </x:c>
      <x:c r="H42" s="39" t="inlineStr">
        <x:is>
          <x:t xml:space="preserve">B - Strong</x:t>
        </x:is>
      </x:c>
      <x:c r="I42" s="39" t="inlineStr">
        <x:is>
          <x:t xml:space="preserve">S7</x:t>
        </x:is>
      </x:c>
    </x:row>
    <x:row r="43">
      <x:c r="A43" s="39" t="inlineStr">
        <x:is>
          <x:t xml:space="preserve">I030</x:t>
        </x:is>
      </x:c>
      <x:c r="B43" s="39" t="inlineStr">
        <x:is>
          <x:t xml:space="preserve">Ebenezer Lee</x:t>
        </x:is>
      </x:c>
      <x:c r="C43" s="39" t="n">
        <x:v>8</x:v>
      </x:c>
      <x:c r="D43" s="39" t="inlineStr">
        <x:is>
          <x:t xml:space="preserve">I036</x:t>
        </x:is>
      </x:c>
      <x:c r="E43" s="39" t="inlineStr">
        <x:is>
          <x:t xml:space="preserve">Edward Lee</x:t>
        </x:is>
      </x:c>
      <x:c r="F43" s="39" t="inlineStr">
        <x:is>
          <x:t xml:space="preserve">I037</x:t>
        </x:is>
      </x:c>
      <x:c r="G43" s="39" t="inlineStr">
        <x:is>
          <x:t xml:space="preserve">Abigail Stevens</x:t>
        </x:is>
      </x:c>
      <x:c r="H43" s="39" t="inlineStr">
        <x:is>
          <x:t xml:space="preserve">B - Strong</x:t>
        </x:is>
      </x:c>
      <x:c r="I43" s="39" t="inlineStr">
        <x:is>
          <x:t xml:space="preserve">S7</x:t>
        </x:is>
      </x:c>
    </x:row>
    <x:row r="44">
      <x:c r="A44" s="39" t="inlineStr">
        <x:is>
          <x:t xml:space="preserve">I164</x:t>
        </x:is>
      </x:c>
      <x:c r="B44" s="39" t="inlineStr">
        <x:is>
          <x:t xml:space="preserve">James Agee</x:t>
        </x:is>
      </x:c>
      <x:c r="C44" s="39" t="n">
        <x:v>8</x:v>
      </x:c>
      <x:c r="D44" s="39" t="inlineStr">
        <x:is>
          <x:t xml:space="preserve">I166</x:t>
        </x:is>
      </x:c>
      <x:c r="E44" s="39" t="inlineStr">
        <x:is>
          <x:t xml:space="preserve">Mathieu Agee</x:t>
        </x:is>
      </x:c>
      <x:c r="F44" s="39" t="inlineStr">
        <x:is>
          <x:t xml:space="preserve">I167</x:t>
        </x:is>
      </x:c>
      <x:c r="G44" s="39" t="inlineStr">
        <x:is>
          <x:t xml:space="preserve">Ann Godwin (or Goodwin)</x:t>
        </x:is>
      </x:c>
      <x:c r="H44" s="39" t="inlineStr">
        <x:is>
          <x:t xml:space="preserve">B - Strong</x:t>
        </x:is>
      </x:c>
      <x:c r="I44" s="39" t="inlineStr">
        <x:is>
          <x:t xml:space="preserve">S8</x:t>
        </x:is>
      </x:c>
    </x:row>
    <x:row r="45">
      <x:c r="A45" s="39" t="inlineStr">
        <x:is>
          <x:t xml:space="preserve">I142</x:t>
        </x:is>
      </x:c>
      <x:c r="B45" s="39" t="inlineStr">
        <x:is>
          <x:t xml:space="preserve">Lucy Wyche</x:t>
        </x:is>
      </x:c>
      <x:c r="C45" s="39" t="n">
        <x:v>8</x:v>
      </x:c>
      <x:c r="D45" s="39" t="inlineStr">
        <x:is>
          <x:t xml:space="preserve">I152</x:t>
        </x:is>
      </x:c>
      <x:c r="E45" s="39" t="inlineStr">
        <x:is>
          <x:t xml:space="preserve">Peter Wyche</x:t>
        </x:is>
      </x:c>
      <x:c r="F45" s="39" t="inlineStr">
        <x:is>
          <x:t xml:space="preserve">I153</x:t>
        </x:is>
      </x:c>
      <x:c r="G45" s="39" t="inlineStr">
        <x:is>
          <x:t xml:space="preserve">Alice (surname unknown) Wyche</x:t>
        </x:is>
      </x:c>
      <x:c r="H45" s="39" t="inlineStr">
        <x:is>
          <x:t xml:space="preserve">B - Strong</x:t>
        </x:is>
      </x:c>
      <x:c r="I45" s="39" t="inlineStr">
        <x:is>
          <x:t xml:space="preserve">S4, S10, S11</x:t>
        </x:is>
      </x:c>
    </x:row>
    <x:row r="46">
      <x:c r="A46" s="39" t="inlineStr">
        <x:is>
          <x:t xml:space="preserve">I032</x:t>
        </x:is>
      </x:c>
      <x:c r="B46" s="39" t="inlineStr">
        <x:is>
          <x:t xml:space="preserve">Mark Hotchkiss</x:t>
        </x:is>
      </x:c>
      <x:c r="C46" s="39" t="n">
        <x:v>8</x:v>
      </x:c>
      <x:c r="D46" s="39" t="inlineStr">
        <x:is>
          <x:t xml:space="preserve">I039</x:t>
        </x:is>
      </x:c>
      <x:c r="E46" s="39" t="inlineStr">
        <x:is>
          <x:t xml:space="preserve">Joseph Hotchkiss</x:t>
        </x:is>
      </x:c>
      <x:c r="F46" s="39" t="inlineStr">
        <x:is>
          <x:t xml:space="preserve">I040</x:t>
        </x:is>
      </x:c>
      <x:c r="G46" s="39" t="inlineStr">
        <x:is>
          <x:t xml:space="preserve">Hannah Cruttenden</x:t>
        </x:is>
      </x:c>
      <x:c r="H46" s="39" t="inlineStr">
        <x:is>
          <x:t xml:space="preserve">B - Strong</x:t>
        </x:is>
      </x:c>
      <x:c r="I46" s="39" t="inlineStr">
        <x:is>
          <x:t xml:space="preserve">S7</x:t>
        </x:is>
      </x:c>
    </x:row>
    <x:row r="47">
      <x:c r="A47" s="39" t="inlineStr">
        <x:is>
          <x:t xml:space="preserve">I165</x:t>
        </x:is>
      </x:c>
      <x:c r="B47" s="39" t="inlineStr">
        <x:is>
          <x:t xml:space="preserve">Mary (possibly Elizabeth) Ford</x:t>
        </x:is>
      </x:c>
      <x:c r="C47" s="39" t="n">
        <x:v>8</x:v>
      </x:c>
      <x:c r="D47" s="39" t="inlineStr">
        <x:is>
          <x:t xml:space="preserve">I168</x:t>
        </x:is>
      </x:c>
      <x:c r="E47" s="39" t="inlineStr">
        <x:is>
          <x:t xml:space="preserve">James Ford</x:t>
        </x:is>
      </x:c>
      <x:c r="F47" s="39" t="inlineStr">
        <x:is>
          <x:t xml:space="preserve">I169</x:t>
        </x:is>
      </x:c>
      <x:c r="G47" s="39" t="inlineStr">
        <x:is>
          <x:t xml:space="preserve">Ann Bondurant</x:t>
        </x:is>
      </x:c>
      <x:c r="H47" s="39" t="inlineStr">
        <x:is>
          <x:t xml:space="preserve">B - Strong</x:t>
        </x:is>
      </x:c>
      <x:c r="I47" s="39" t="inlineStr">
        <x:is>
          <x:t xml:space="preserve">S8</x:t>
        </x:is>
      </x:c>
    </x:row>
    <x:row r="48">
      <x:c r="A48" s="39" t="inlineStr">
        <x:is>
          <x:t xml:space="preserve">I031</x:t>
        </x:is>
      </x:c>
      <x:c r="B48" s="39" t="inlineStr">
        <x:is>
          <x:t xml:space="preserve">Sarah Chidsey</x:t>
        </x:is>
      </x:c>
      <x:c r="C48" s="39" t="n">
        <x:v>8</x:v>
      </x:c>
      <x:c r="D48" s="39" t="inlineStr">
        <x:is>
          <x:t xml:space="preserve">I038</x:t>
        </x:is>
      </x:c>
      <x:c r="E48" s="39" t="inlineStr">
        <x:is>
          <x:t xml:space="preserve">Joseph Chidsey</x:t>
        </x:is>
      </x:c>
      <x:c r="F48" s="39" t="str"/>
      <x:c r="G48" s="39" t="str"/>
      <x:c r="H48" s="39" t="inlineStr">
        <x:is>
          <x:t xml:space="preserve">B - Strong</x:t>
        </x:is>
      </x:c>
      <x:c r="I48" s="39" t="inlineStr">
        <x:is>
          <x:t xml:space="preserve">S7</x:t>
        </x:is>
      </x:c>
    </x:row>
    <x:row r="49">
      <x:c r="A49" s="39" t="inlineStr">
        <x:is>
          <x:t xml:space="preserve">I141</x:t>
        </x:is>
      </x:c>
      <x:c r="B49" s="39" t="inlineStr">
        <x:is>
          <x:t xml:space="preserve">William Rives</x:t>
        </x:is>
      </x:c>
      <x:c r="C49" s="39" t="n">
        <x:v>8</x:v>
      </x:c>
      <x:c r="D49" s="39" t="inlineStr">
        <x:is>
          <x:t xml:space="preserve">I143</x:t>
        </x:is>
      </x:c>
      <x:c r="E49" s="39" t="inlineStr">
        <x:is>
          <x:t xml:space="preserve">Timothy Rives</x:t>
        </x:is>
      </x:c>
      <x:c r="F49" s="39" t="inlineStr">
        <x:is>
          <x:t xml:space="preserve">I144</x:t>
        </x:is>
      </x:c>
      <x:c r="G49" s="39" t="inlineStr">
        <x:is>
          <x:t xml:space="preserve">Hester (possibly Turner) Rives</x:t>
        </x:is>
      </x:c>
      <x:c r="H49" s="39" t="inlineStr">
        <x:is>
          <x:t xml:space="preserve">B - Strong</x:t>
        </x:is>
      </x:c>
      <x:c r="I49" s="39" t="inlineStr">
        <x:is>
          <x:t xml:space="preserve">S4, S10, S11</x:t>
        </x:is>
      </x:c>
    </x:row>
    <x:row r="50">
      <x:c r="A50" s="39" t="inlineStr">
        <x:is>
          <x:t xml:space="preserve">I044</x:t>
        </x:is>
      </x:c>
      <x:c r="B50" s="39" t="inlineStr">
        <x:is>
          <x:t xml:space="preserve">Abigail Crampton</x:t>
        </x:is>
      </x:c>
      <x:c r="C50" s="39" t="n">
        <x:v>9</x:v>
      </x:c>
      <x:c r="D50" s="39" t="inlineStr">
        <x:is>
          <x:t xml:space="preserve">I055</x:t>
        </x:is>
      </x:c>
      <x:c r="E50" s="39" t="inlineStr">
        <x:is>
          <x:t xml:space="preserve">John Crampton</x:t>
        </x:is>
      </x:c>
      <x:c r="F50" s="39" t="inlineStr">
        <x:is>
          <x:t xml:space="preserve">I056</x:t>
        </x:is>
      </x:c>
      <x:c r="G50" s="39" t="inlineStr">
        <x:is>
          <x:t xml:space="preserve">Hannah Evarts</x:t>
        </x:is>
      </x:c>
      <x:c r="H50" s="39" t="inlineStr">
        <x:is>
          <x:t xml:space="preserve">B - Strong</x:t>
        </x:is>
      </x:c>
      <x:c r="I50" s="39" t="inlineStr">
        <x:is>
          <x:t xml:space="preserve">S7</x:t>
        </x:is>
      </x:c>
    </x:row>
    <x:row r="51">
      <x:c r="A51" s="39" t="inlineStr">
        <x:is>
          <x:t xml:space="preserve">I037</x:t>
        </x:is>
      </x:c>
      <x:c r="B51" s="39" t="inlineStr">
        <x:is>
          <x:t xml:space="preserve">Abigail Stevens</x:t>
        </x:is>
      </x:c>
      <x:c r="C51" s="39" t="n">
        <x:v>9</x:v>
      </x:c>
      <x:c r="D51" s="39" t="inlineStr">
        <x:is>
          <x:t xml:space="preserve">I045</x:t>
        </x:is>
      </x:c>
      <x:c r="E51" s="39" t="inlineStr">
        <x:is>
          <x:t xml:space="preserve">Thomas Stevens</x:t>
        </x:is>
      </x:c>
      <x:c r="F51" s="39" t="str"/>
      <x:c r="G51" s="39" t="str"/>
      <x:c r="H51" s="39" t="inlineStr">
        <x:is>
          <x:t xml:space="preserve">B - Strong</x:t>
        </x:is>
      </x:c>
      <x:c r="I51" s="39" t="inlineStr">
        <x:is>
          <x:t xml:space="preserve">S7</x:t>
        </x:is>
      </x:c>
    </x:row>
    <x:row r="52">
      <x:c r="A52" s="39" t="inlineStr">
        <x:is>
          <x:t xml:space="preserve">I169</x:t>
        </x:is>
      </x:c>
      <x:c r="B52" s="39" t="inlineStr">
        <x:is>
          <x:t xml:space="preserve">Ann Bondurant</x:t>
        </x:is>
      </x:c>
      <x:c r="C52" s="39" t="n">
        <x:v>9</x:v>
      </x:c>
      <x:c r="D52" s="39" t="inlineStr">
        <x:is>
          <x:t xml:space="preserve">I174</x:t>
        </x:is>
      </x:c>
      <x:c r="E52" s="39" t="inlineStr">
        <x:is>
          <x:t xml:space="preserve">Jean Pierre “John Peter” Bondurant</x:t>
        </x:is>
      </x:c>
      <x:c r="F52" s="39" t="str"/>
      <x:c r="G52" s="39" t="str"/>
      <x:c r="H52" s="39" t="inlineStr">
        <x:is>
          <x:t xml:space="preserve">B - Strong</x:t>
        </x:is>
      </x:c>
      <x:c r="I52" s="39" t="inlineStr">
        <x:is>
          <x:t xml:space="preserve">S8</x:t>
        </x:is>
      </x:c>
    </x:row>
    <x:row r="53">
      <x:c r="A53" s="39" t="inlineStr">
        <x:is>
          <x:t xml:space="preserve">I167</x:t>
        </x:is>
      </x:c>
      <x:c r="B53" s="39" t="inlineStr">
        <x:is>
          <x:t xml:space="preserve">Ann Godwin (or Goodwin)</x:t>
        </x:is>
      </x:c>
      <x:c r="C53" s="39" t="n">
        <x:v>9</x:v>
      </x:c>
      <x:c r="D53" s="39" t="inlineStr">
        <x:is>
          <x:t xml:space="preserve">I170</x:t>
        </x:is>
      </x:c>
      <x:c r="E53" s="39" t="inlineStr">
        <x:is>
          <x:t xml:space="preserve">Isaac Godwin</x:t>
        </x:is>
      </x:c>
      <x:c r="F53" s="39" t="inlineStr">
        <x:is>
          <x:t xml:space="preserve">I171</x:t>
        </x:is>
      </x:c>
      <x:c r="G53" s="39" t="inlineStr">
        <x:is>
          <x:t xml:space="preserve">Ann (surname unknown) Godwin</x:t>
        </x:is>
      </x:c>
      <x:c r="H53" s="39" t="inlineStr">
        <x:is>
          <x:t xml:space="preserve">C - Provisional</x:t>
        </x:is>
      </x:c>
      <x:c r="I53" s="39" t="inlineStr">
        <x:is>
          <x:t xml:space="preserve">S8</x:t>
        </x:is>
      </x:c>
    </x:row>
    <x:row r="54">
      <x:c r="A54" s="39" t="inlineStr">
        <x:is>
          <x:t xml:space="preserve">I041</x:t>
        </x:is>
      </x:c>
      <x:c r="B54" s="39" t="inlineStr">
        <x:is>
          <x:t xml:space="preserve">Caleb Stone Jr.</x:t>
        </x:is>
      </x:c>
      <x:c r="C54" s="39" t="n">
        <x:v>9</x:v>
      </x:c>
      <x:c r="D54" s="39" t="inlineStr">
        <x:is>
          <x:t xml:space="preserve">I050</x:t>
        </x:is>
      </x:c>
      <x:c r="E54" s="39" t="inlineStr">
        <x:is>
          <x:t xml:space="preserve">Caleb Stone</x:t>
        </x:is>
      </x:c>
      <x:c r="F54" s="39" t="inlineStr">
        <x:is>
          <x:t xml:space="preserve">I051</x:t>
        </x:is>
      </x:c>
      <x:c r="G54" s="39" t="inlineStr">
        <x:is>
          <x:t xml:space="preserve">Sarah Meigs</x:t>
        </x:is>
      </x:c>
      <x:c r="H54" s="39" t="inlineStr">
        <x:is>
          <x:t xml:space="preserve">B - Strong</x:t>
        </x:is>
      </x:c>
      <x:c r="I54" s="39" t="inlineStr">
        <x:is>
          <x:t xml:space="preserve">S7</x:t>
        </x:is>
      </x:c>
    </x:row>
    <x:row r="55">
      <x:c r="A55" s="39" t="inlineStr">
        <x:is>
          <x:t xml:space="preserve">I040</x:t>
        </x:is>
      </x:c>
      <x:c r="B55" s="39" t="inlineStr">
        <x:is>
          <x:t xml:space="preserve">Hannah Cruttenden</x:t>
        </x:is>
      </x:c>
      <x:c r="C55" s="39" t="n">
        <x:v>9</x:v>
      </x:c>
      <x:c r="D55" s="39" t="inlineStr">
        <x:is>
          <x:t xml:space="preserve">I048</x:t>
        </x:is>
      </x:c>
      <x:c r="E55" s="39" t="inlineStr">
        <x:is>
          <x:t xml:space="preserve">Isaac Cruttenden</x:t>
        </x:is>
      </x:c>
      <x:c r="F55" s="39" t="inlineStr">
        <x:is>
          <x:t xml:space="preserve">I049</x:t>
        </x:is>
      </x:c>
      <x:c r="G55" s="39" t="inlineStr">
        <x:is>
          <x:t xml:space="preserve">Lydia Thompson</x:t>
        </x:is>
      </x:c>
      <x:c r="H55" s="39" t="inlineStr">
        <x:is>
          <x:t xml:space="preserve">B - Strong</x:t>
        </x:is>
      </x:c>
      <x:c r="I55" s="39" t="inlineStr">
        <x:is>
          <x:t xml:space="preserve">S7</x:t>
        </x:is>
      </x:c>
    </x:row>
    <x:row r="56">
      <x:c r="A56" s="39" t="inlineStr">
        <x:is>
          <x:t xml:space="preserve">I039</x:t>
        </x:is>
      </x:c>
      <x:c r="B56" s="39" t="inlineStr">
        <x:is>
          <x:t xml:space="preserve">Joseph Hotchkiss</x:t>
        </x:is>
      </x:c>
      <x:c r="C56" s="39" t="n">
        <x:v>9</x:v>
      </x:c>
      <x:c r="D56" s="39" t="inlineStr">
        <x:is>
          <x:t xml:space="preserve">I046</x:t>
        </x:is>
      </x:c>
      <x:c r="E56" s="39" t="inlineStr">
        <x:is>
          <x:t xml:space="preserve">John Hotchkiss</x:t>
        </x:is>
      </x:c>
      <x:c r="F56" s="39" t="inlineStr">
        <x:is>
          <x:t xml:space="preserve">I047</x:t>
        </x:is>
      </x:c>
      <x:c r="G56" s="39" t="inlineStr">
        <x:is>
          <x:t xml:space="preserve">Elizabeth Peck</x:t>
        </x:is>
      </x:c>
      <x:c r="H56" s="39" t="inlineStr">
        <x:is>
          <x:t xml:space="preserve">B - Strong</x:t>
        </x:is>
      </x:c>
      <x:c r="I56" s="39" t="inlineStr">
        <x:is>
          <x:t xml:space="preserve">S7</x:t>
        </x:is>
      </x:c>
    </x:row>
    <x:row r="57">
      <x:c r="A57" s="39" t="inlineStr">
        <x:is>
          <x:t xml:space="preserve">I166</x:t>
        </x:is>
      </x:c>
      <x:c r="B57" s="39" t="inlineStr">
        <x:is>
          <x:t xml:space="preserve">Mathieu Agee</x:t>
        </x:is>
      </x:c>
      <x:c r="C57" s="39" t="n">
        <x:v>9</x:v>
      </x:c>
      <x:c r="D57" s="39" t="inlineStr">
        <x:is>
          <x:t xml:space="preserve">I172</x:t>
        </x:is>
      </x:c>
      <x:c r="E57" s="39" t="inlineStr">
        <x:is>
          <x:t xml:space="preserve">Anthony Agee (traditional)</x:t>
        </x:is>
      </x:c>
      <x:c r="F57" s="39" t="inlineStr">
        <x:is>
          <x:t xml:space="preserve">I173</x:t>
        </x:is>
      </x:c>
      <x:c r="G57" s="39" t="inlineStr">
        <x:is>
          <x:t xml:space="preserve">Judith Chastain (traditional)</x:t>
        </x:is>
      </x:c>
      <x:c r="H57" s="39" t="inlineStr">
        <x:is>
          <x:t xml:space="preserve">C - Provisional</x:t>
        </x:is>
      </x:c>
      <x:c r="I57" s="39" t="inlineStr">
        <x:is>
          <x:t xml:space="preserve">S8</x:t>
        </x:is>
      </x:c>
    </x:row>
    <x:row r="58">
      <x:c r="A58" s="39" t="inlineStr">
        <x:is>
          <x:t xml:space="preserve">I042</x:t>
        </x:is>
      </x:c>
      <x:c r="B58" s="39" t="inlineStr">
        <x:is>
          <x:t xml:space="preserve">Rebecca Evarts</x:t>
        </x:is>
      </x:c>
      <x:c r="C58" s="39" t="n">
        <x:v>9</x:v>
      </x:c>
      <x:c r="D58" s="39" t="inlineStr">
        <x:is>
          <x:t xml:space="preserve">I052</x:t>
        </x:is>
      </x:c>
      <x:c r="E58" s="39" t="inlineStr">
        <x:is>
          <x:t xml:space="preserve">James Evarts</x:t>
        </x:is>
      </x:c>
      <x:c r="F58" s="39" t="str"/>
      <x:c r="G58" s="39" t="str"/>
      <x:c r="H58" s="39" t="inlineStr">
        <x:is>
          <x:t xml:space="preserve">B - Strong</x:t>
        </x:is>
      </x:c>
      <x:c r="I58" s="39" t="inlineStr">
        <x:is>
          <x:t xml:space="preserve">S7</x:t>
        </x:is>
      </x:c>
    </x:row>
    <x:row r="59">
      <x:c r="A59" s="39" t="inlineStr">
        <x:is>
          <x:t xml:space="preserve">I143</x:t>
        </x:is>
      </x:c>
      <x:c r="B59" s="39" t="inlineStr">
        <x:is>
          <x:t xml:space="preserve">Timothy Rives</x:t>
        </x:is>
      </x:c>
      <x:c r="C59" s="39" t="n">
        <x:v>9</x:v>
      </x:c>
      <x:c r="D59" s="39" t="inlineStr">
        <x:is>
          <x:t xml:space="preserve">I149</x:t>
        </x:is>
      </x:c>
      <x:c r="E59" s="39" t="inlineStr">
        <x:is>
          <x:t xml:space="preserve">Col. William Rives</x:t>
        </x:is>
      </x:c>
      <x:c r="F59" s="39" t="inlineStr">
        <x:is>
          <x:t xml:space="preserve">I150</x:t>
        </x:is>
      </x:c>
      <x:c r="G59" s="39" t="inlineStr">
        <x:is>
          <x:t xml:space="preserve">Elizabeth (possibly Foster) Rives</x:t>
        </x:is>
      </x:c>
      <x:c r="H59" s="39" t="inlineStr">
        <x:is>
          <x:t xml:space="preserve">B - Strong</x:t>
        </x:is>
      </x:c>
      <x:c r="I59" s="39" t="inlineStr">
        <x:is>
          <x:t xml:space="preserve">S4, S11, S12</x:t>
        </x:is>
      </x:c>
    </x:row>
    <x:row r="60">
      <x:c r="A60" s="39" t="inlineStr">
        <x:is>
          <x:t xml:space="preserve">I043</x:t>
        </x:is>
      </x:c>
      <x:c r="B60" s="39" t="inlineStr">
        <x:is>
          <x:t xml:space="preserve">William Ward</x:t>
        </x:is>
      </x:c>
      <x:c r="C60" s="39" t="n">
        <x:v>9</x:v>
      </x:c>
      <x:c r="D60" s="39" t="inlineStr">
        <x:is>
          <x:t xml:space="preserve">I053</x:t>
        </x:is>
      </x:c>
      <x:c r="E60" s="39" t="inlineStr">
        <x:is>
          <x:t xml:space="preserve">William Ward</x:t>
        </x:is>
      </x:c>
      <x:c r="F60" s="39" t="inlineStr">
        <x:is>
          <x:t xml:space="preserve">I054</x:t>
        </x:is>
      </x:c>
      <x:c r="G60" s="39" t="inlineStr">
        <x:is>
          <x:t xml:space="preserve">Lettice Beach</x:t>
        </x:is>
      </x:c>
      <x:c r="H60" s="39" t="inlineStr">
        <x:is>
          <x:t xml:space="preserve">B - Strong</x:t>
        </x:is>
      </x:c>
      <x:c r="I60" s="39" t="inlineStr">
        <x:is>
          <x:t xml:space="preserve">S7</x:t>
        </x:is>
      </x:c>
    </x:row>
    <x:row r="61">
      <x:c r="A61" s="39" t="inlineStr">
        <x:is>
          <x:t xml:space="preserve">I050</x:t>
        </x:is>
      </x:c>
      <x:c r="B61" s="39" t="inlineStr">
        <x:is>
          <x:t xml:space="preserve">Caleb Stone</x:t>
        </x:is>
      </x:c>
      <x:c r="C61" s="39" t="n">
        <x:v>10</x:v>
      </x:c>
      <x:c r="D61" s="39" t="inlineStr">
        <x:is>
          <x:t xml:space="preserve">I063</x:t>
        </x:is>
      </x:c>
      <x:c r="E61" s="39" t="inlineStr">
        <x:is>
          <x:t xml:space="preserve">Nathaniel Stone</x:t>
        </x:is>
      </x:c>
      <x:c r="F61" s="39" t="inlineStr">
        <x:is>
          <x:t xml:space="preserve">I064</x:t>
        </x:is>
      </x:c>
      <x:c r="G61" s="39" t="inlineStr">
        <x:is>
          <x:t xml:space="preserve">Mary Bartlett</x:t>
        </x:is>
      </x:c>
      <x:c r="H61" s="39" t="inlineStr">
        <x:is>
          <x:t xml:space="preserve">B - Strong</x:t>
        </x:is>
      </x:c>
      <x:c r="I61" s="39" t="inlineStr">
        <x:is>
          <x:t xml:space="preserve">S7</x:t>
        </x:is>
      </x:c>
    </x:row>
    <x:row r="62">
      <x:c r="A62" s="39" t="inlineStr">
        <x:is>
          <x:t xml:space="preserve">I149</x:t>
        </x:is>
      </x:c>
      <x:c r="B62" s="39" t="inlineStr">
        <x:is>
          <x:t xml:space="preserve">Col. William Rives</x:t>
        </x:is>
      </x:c>
      <x:c r="C62" s="39" t="n">
        <x:v>10</x:v>
      </x:c>
      <x:c r="D62" s="39" t="inlineStr">
        <x:is>
          <x:t xml:space="preserve">I151</x:t>
        </x:is>
      </x:c>
      <x:c r="E62" s="39" t="inlineStr">
        <x:is>
          <x:t xml:space="preserve">George Rives</x:t>
        </x:is>
      </x:c>
      <x:c r="F62" s="39" t="str"/>
      <x:c r="G62" s="39" t="str"/>
      <x:c r="H62" s="39" t="inlineStr">
        <x:is>
          <x:t xml:space="preserve">C - Provisional</x:t>
        </x:is>
      </x:c>
      <x:c r="I62" s="39" t="inlineStr">
        <x:is>
          <x:t xml:space="preserve">S4, S12</x:t>
        </x:is>
      </x:c>
    </x:row>
    <x:row r="63">
      <x:c r="A63" s="39" t="inlineStr">
        <x:is>
          <x:t xml:space="preserve">I048</x:t>
        </x:is>
      </x:c>
      <x:c r="B63" s="39" t="inlineStr">
        <x:is>
          <x:t xml:space="preserve">Isaac Cruttenden</x:t>
        </x:is>
      </x:c>
      <x:c r="C63" s="39" t="n">
        <x:v>10</x:v>
      </x:c>
      <x:c r="D63" s="39" t="inlineStr">
        <x:is>
          <x:t xml:space="preserve">I059</x:t>
        </x:is>
      </x:c>
      <x:c r="E63" s="39" t="inlineStr">
        <x:is>
          <x:t xml:space="preserve">Abraham Cruttenden</x:t>
        </x:is>
      </x:c>
      <x:c r="F63" s="39" t="inlineStr">
        <x:is>
          <x:t xml:space="preserve">I060</x:t>
        </x:is>
      </x:c>
      <x:c r="G63" s="39" t="inlineStr">
        <x:is>
          <x:t xml:space="preserve">Mary (surname unknown), wife of Abraham Cruttenden</x:t>
        </x:is>
      </x:c>
      <x:c r="H63" s="39" t="inlineStr">
        <x:is>
          <x:t xml:space="preserve">B - Strong</x:t>
        </x:is>
      </x:c>
      <x:c r="I63" s="39" t="inlineStr">
        <x:is>
          <x:t xml:space="preserve">S7</x:t>
        </x:is>
      </x:c>
    </x:row>
    <x:row r="64">
      <x:c r="A64" s="39" t="inlineStr">
        <x:is>
          <x:t xml:space="preserve">I052</x:t>
        </x:is>
      </x:c>
      <x:c r="B64" s="39" t="inlineStr">
        <x:is>
          <x:t xml:space="preserve">James Evarts</x:t>
        </x:is>
      </x:c>
      <x:c r="C64" s="39" t="n">
        <x:v>10</x:v>
      </x:c>
      <x:c r="D64" s="39" t="inlineStr">
        <x:is>
          <x:t xml:space="preserve">I067</x:t>
        </x:is>
      </x:c>
      <x:c r="E64" s="39" t="inlineStr">
        <x:is>
          <x:t xml:space="preserve">Daniel Evarts</x:t>
        </x:is>
      </x:c>
      <x:c r="F64" s="39" t="inlineStr">
        <x:is>
          <x:t xml:space="preserve">I068</x:t>
        </x:is>
      </x:c>
      <x:c r="G64" s="39" t="inlineStr">
        <x:is>
          <x:t xml:space="preserve">Rebecca Dowd</x:t>
        </x:is>
      </x:c>
      <x:c r="H64" s="39" t="inlineStr">
        <x:is>
          <x:t xml:space="preserve">B - Strong</x:t>
        </x:is>
      </x:c>
      <x:c r="I64" s="39" t="inlineStr">
        <x:is>
          <x:t xml:space="preserve">S7</x:t>
        </x:is>
      </x:c>
    </x:row>
    <x:row r="65">
      <x:c r="A65" s="39" t="inlineStr">
        <x:is>
          <x:t xml:space="preserve">I046</x:t>
        </x:is>
      </x:c>
      <x:c r="B65" s="39" t="inlineStr">
        <x:is>
          <x:t xml:space="preserve">John Hotchkiss</x:t>
        </x:is>
      </x:c>
      <x:c r="C65" s="39" t="n">
        <x:v>10</x:v>
      </x:c>
      <x:c r="D65" s="39" t="inlineStr">
        <x:is>
          <x:t xml:space="preserve">I057</x:t>
        </x:is>
      </x:c>
      <x:c r="E65" s="39" t="inlineStr">
        <x:is>
          <x:t xml:space="preserve">Samuel Hotchkiss</x:t>
        </x:is>
      </x:c>
      <x:c r="F65" s="39" t="inlineStr">
        <x:is>
          <x:t xml:space="preserve">I058</x:t>
        </x:is>
      </x:c>
      <x:c r="G65" s="39" t="inlineStr">
        <x:is>
          <x:t xml:space="preserve">Elizabeth Cleverly</x:t>
        </x:is>
      </x:c>
      <x:c r="H65" s="39" t="inlineStr">
        <x:is>
          <x:t xml:space="preserve">B - Strong</x:t>
        </x:is>
      </x:c>
      <x:c r="I65" s="39" t="inlineStr">
        <x:is>
          <x:t xml:space="preserve">S7</x:t>
        </x:is>
      </x:c>
    </x:row>
    <x:row r="66">
      <x:c r="A66" s="39" t="inlineStr">
        <x:is>
          <x:t xml:space="preserve">I054</x:t>
        </x:is>
      </x:c>
      <x:c r="B66" s="39" t="inlineStr">
        <x:is>
          <x:t xml:space="preserve">Lettice Beach</x:t>
        </x:is>
      </x:c>
      <x:c r="C66" s="39" t="n">
        <x:v>10</x:v>
      </x:c>
      <x:c r="D66" s="39" t="inlineStr">
        <x:is>
          <x:t xml:space="preserve">I071</x:t>
        </x:is>
      </x:c>
      <x:c r="E66" s="39" t="inlineStr">
        <x:is>
          <x:t xml:space="preserve">John Beach</x:t>
        </x:is>
      </x:c>
      <x:c r="F66" s="39" t="inlineStr">
        <x:is>
          <x:t xml:space="preserve">I072</x:t>
        </x:is>
      </x:c>
      <x:c r="G66" s="39" t="inlineStr">
        <x:is>
          <x:t xml:space="preserve">Mary Royce</x:t>
        </x:is>
      </x:c>
      <x:c r="H66" s="39" t="inlineStr">
        <x:is>
          <x:t xml:space="preserve">B - Strong</x:t>
        </x:is>
      </x:c>
      <x:c r="I66" s="39" t="inlineStr">
        <x:is>
          <x:t xml:space="preserve">S7</x:t>
        </x:is>
      </x:c>
    </x:row>
    <x:row r="67">
      <x:c r="A67" s="39" t="inlineStr">
        <x:is>
          <x:t xml:space="preserve">I049</x:t>
        </x:is>
      </x:c>
      <x:c r="B67" s="39" t="inlineStr">
        <x:is>
          <x:t xml:space="preserve">Lydia Thompson</x:t>
        </x:is>
      </x:c>
      <x:c r="C67" s="39" t="n">
        <x:v>10</x:v>
      </x:c>
      <x:c r="D67" s="39" t="inlineStr">
        <x:is>
          <x:t xml:space="preserve">I061</x:t>
        </x:is>
      </x:c>
      <x:c r="E67" s="39" t="inlineStr">
        <x:is>
          <x:t xml:space="preserve">Anthony Thompson</x:t>
        </x:is>
      </x:c>
      <x:c r="F67" s="39" t="inlineStr">
        <x:is>
          <x:t xml:space="preserve">I062</x:t>
        </x:is>
      </x:c>
      <x:c r="G67" s="39" t="inlineStr">
        <x:is>
          <x:t xml:space="preserve">Katherine (surname unknown), wife of Anthony Thompson</x:t>
        </x:is>
      </x:c>
      <x:c r="H67" s="39" t="inlineStr">
        <x:is>
          <x:t xml:space="preserve">B - Strong</x:t>
        </x:is>
      </x:c>
      <x:c r="I67" s="39" t="inlineStr">
        <x:is>
          <x:t xml:space="preserve">S7</x:t>
        </x:is>
      </x:c>
    </x:row>
    <x:row r="68">
      <x:c r="A68" s="39" t="inlineStr">
        <x:is>
          <x:t xml:space="preserve">I051</x:t>
        </x:is>
      </x:c>
      <x:c r="B68" s="39" t="inlineStr">
        <x:is>
          <x:t xml:space="preserve">Sarah Meigs</x:t>
        </x:is>
      </x:c>
      <x:c r="C68" s="39" t="n">
        <x:v>10</x:v>
      </x:c>
      <x:c r="D68" s="39" t="inlineStr">
        <x:is>
          <x:t xml:space="preserve">I065</x:t>
        </x:is>
      </x:c>
      <x:c r="E68" s="39" t="inlineStr">
        <x:is>
          <x:t xml:space="preserve">John Meigs</x:t>
        </x:is>
      </x:c>
      <x:c r="F68" s="39" t="inlineStr">
        <x:is>
          <x:t xml:space="preserve">I066</x:t>
        </x:is>
      </x:c>
      <x:c r="G68" s="39" t="inlineStr">
        <x:is>
          <x:t xml:space="preserve">Sarah Wilcockson</x:t>
        </x:is>
      </x:c>
      <x:c r="H68" s="39" t="inlineStr">
        <x:is>
          <x:t xml:space="preserve">B - Strong</x:t>
        </x:is>
      </x:c>
      <x:c r="I68" s="39" t="inlineStr">
        <x:is>
          <x:t xml:space="preserve">S7</x:t>
        </x:is>
      </x:c>
    </x:row>
    <x:row r="69">
      <x:c r="A69" s="39" t="inlineStr">
        <x:is>
          <x:t xml:space="preserve">I053</x:t>
        </x:is>
      </x:c>
      <x:c r="B69" s="39" t="inlineStr">
        <x:is>
          <x:t xml:space="preserve">William Ward</x:t>
        </x:is>
      </x:c>
      <x:c r="C69" s="39" t="n">
        <x:v>10</x:v>
      </x:c>
      <x:c r="D69" s="39" t="inlineStr">
        <x:is>
          <x:t xml:space="preserve">I069</x:t>
        </x:is>
      </x:c>
      <x:c r="E69" s="39" t="inlineStr">
        <x:is>
          <x:t xml:space="preserve">Andrew Ward Jr.</x:t>
        </x:is>
      </x:c>
      <x:c r="F69" s="39" t="inlineStr">
        <x:is>
          <x:t xml:space="preserve">I070</x:t>
        </x:is>
      </x:c>
      <x:c r="G69" s="39" t="inlineStr">
        <x:is>
          <x:t xml:space="preserve">Trial Meigs</x:t>
        </x:is>
      </x:c>
      <x:c r="H69" s="39" t="inlineStr">
        <x:is>
          <x:t xml:space="preserve">B - Strong</x:t>
        </x:is>
      </x:c>
      <x:c r="I69" s="39" t="inlineStr">
        <x:is>
          <x:t xml:space="preserve">S7</x:t>
        </x:is>
      </x:c>
    </x:row>
    <x:row r="70">
      <x:c r="A70" s="39" t="inlineStr">
        <x:is>
          <x:t xml:space="preserve">I069</x:t>
        </x:is>
      </x:c>
      <x:c r="B70" s="39" t="inlineStr">
        <x:is>
          <x:t xml:space="preserve">Andrew Ward Jr.</x:t>
        </x:is>
      </x:c>
      <x:c r="C70" s="39" t="n">
        <x:v>11</x:v>
      </x:c>
      <x:c r="D70" s="39" t="inlineStr">
        <x:is>
          <x:t xml:space="preserve">I082</x:t>
        </x:is>
      </x:c>
      <x:c r="E70" s="39" t="inlineStr">
        <x:is>
          <x:t xml:space="preserve">Andrew Ward</x:t>
        </x:is>
      </x:c>
      <x:c r="F70" s="39" t="inlineStr">
        <x:is>
          <x:t xml:space="preserve">I083</x:t>
        </x:is>
      </x:c>
      <x:c r="G70" s="39" t="inlineStr">
        <x:is>
          <x:t xml:space="preserve">Hester Sherman</x:t>
        </x:is>
      </x:c>
      <x:c r="H70" s="39" t="inlineStr">
        <x:is>
          <x:t xml:space="preserve">B - Strong</x:t>
        </x:is>
      </x:c>
      <x:c r="I70" s="39" t="inlineStr">
        <x:is>
          <x:t xml:space="preserve">S7</x:t>
        </x:is>
      </x:c>
    </x:row>
    <x:row r="71">
      <x:c r="A71" s="39" t="inlineStr">
        <x:is>
          <x:t xml:space="preserve">I067</x:t>
        </x:is>
      </x:c>
      <x:c r="B71" s="39" t="inlineStr">
        <x:is>
          <x:t xml:space="preserve">Daniel Evarts</x:t>
        </x:is>
      </x:c>
      <x:c r="C71" s="39" t="n">
        <x:v>11</x:v>
      </x:c>
      <x:c r="D71" s="39" t="inlineStr">
        <x:is>
          <x:t xml:space="preserve">I079</x:t>
        </x:is>
      </x:c>
      <x:c r="E71" s="39" t="inlineStr">
        <x:is>
          <x:t xml:space="preserve">John Evarts</x:t>
        </x:is>
      </x:c>
      <x:c r="F71" s="39" t="inlineStr">
        <x:is>
          <x:t xml:space="preserve">I080</x:t>
        </x:is>
      </x:c>
      <x:c r="G71" s="39" t="inlineStr">
        <x:is>
          <x:t xml:space="preserve">Elizabeth (surname unknown), wife of John Evarts</x:t>
        </x:is>
      </x:c>
      <x:c r="H71" s="39" t="inlineStr">
        <x:is>
          <x:t xml:space="preserve">B - Strong</x:t>
        </x:is>
      </x:c>
      <x:c r="I71" s="39" t="inlineStr">
        <x:is>
          <x:t xml:space="preserve">S7</x:t>
        </x:is>
      </x:c>
    </x:row>
    <x:row r="72">
      <x:c r="A72" s="39" t="inlineStr">
        <x:is>
          <x:t xml:space="preserve">I151</x:t>
        </x:is>
      </x:c>
      <x:c r="B72" s="39" t="inlineStr">
        <x:is>
          <x:t xml:space="preserve">George Rives</x:t>
        </x:is>
      </x:c>
      <x:c r="C72" s="39" t="n">
        <x:v>11</x:v>
      </x:c>
      <x:c r="D72" s="39" t="inlineStr">
        <x:is>
          <x:t xml:space="preserve">I157</x:t>
        </x:is>
      </x:c>
      <x:c r="E72" s="39" t="inlineStr">
        <x:is>
          <x:t xml:space="preserve">William Rives (traditional immigrant ancestor)</x:t>
        </x:is>
      </x:c>
      <x:c r="F72" s="39" t="str"/>
      <x:c r="G72" s="39" t="str"/>
      <x:c r="H72" s="39" t="inlineStr">
        <x:is>
          <x:t xml:space="preserve">D - Traditional / disputed</x:t>
        </x:is>
      </x:c>
      <x:c r="I72" s="39" t="inlineStr">
        <x:is>
          <x:t xml:space="preserve">S4, S13</x:t>
        </x:is>
      </x:c>
    </x:row>
    <x:row r="73">
      <x:c r="A73" s="39" t="inlineStr">
        <x:is>
          <x:t xml:space="preserve">I071</x:t>
        </x:is>
      </x:c>
      <x:c r="B73" s="39" t="inlineStr">
        <x:is>
          <x:t xml:space="preserve">John Beach</x:t>
        </x:is>
      </x:c>
      <x:c r="C73" s="39" t="n">
        <x:v>11</x:v>
      </x:c>
      <x:c r="D73" s="39" t="inlineStr">
        <x:is>
          <x:t xml:space="preserve">I084</x:t>
        </x:is>
      </x:c>
      <x:c r="E73" s="39" t="inlineStr">
        <x:is>
          <x:t xml:space="preserve">Thomas Beach</x:t>
        </x:is>
      </x:c>
      <x:c r="F73" s="39" t="inlineStr">
        <x:is>
          <x:t xml:space="preserve">I085</x:t>
        </x:is>
      </x:c>
      <x:c r="G73" s="39" t="inlineStr">
        <x:is>
          <x:t xml:space="preserve">Sarah Platt</x:t>
        </x:is>
      </x:c>
      <x:c r="H73" s="39" t="inlineStr">
        <x:is>
          <x:t xml:space="preserve">B - Strong</x:t>
        </x:is>
      </x:c>
      <x:c r="I73" s="39" t="inlineStr">
        <x:is>
          <x:t xml:space="preserve">S7</x:t>
        </x:is>
      </x:c>
    </x:row>
    <x:row r="74">
      <x:c r="A74" s="39" t="inlineStr">
        <x:is>
          <x:t xml:space="preserve">I065</x:t>
        </x:is>
      </x:c>
      <x:c r="B74" s="39" t="inlineStr">
        <x:is>
          <x:t xml:space="preserve">John Meigs</x:t>
        </x:is>
      </x:c>
      <x:c r="C74" s="39" t="n">
        <x:v>11</x:v>
      </x:c>
      <x:c r="D74" s="39" t="inlineStr">
        <x:is>
          <x:t xml:space="preserve">I075</x:t>
        </x:is>
      </x:c>
      <x:c r="E74" s="39" t="inlineStr">
        <x:is>
          <x:t xml:space="preserve">Vincent Meigs</x:t>
        </x:is>
      </x:c>
      <x:c r="F74" s="39" t="inlineStr">
        <x:is>
          <x:t xml:space="preserve">I076</x:t>
        </x:is>
      </x:c>
      <x:c r="G74" s="39" t="inlineStr">
        <x:is>
          <x:t xml:space="preserve">Tamasin Fry</x:t>
        </x:is>
      </x:c>
      <x:c r="H74" s="39" t="inlineStr">
        <x:is>
          <x:t xml:space="preserve">B - Strong</x:t>
        </x:is>
      </x:c>
      <x:c r="I74" s="39" t="inlineStr">
        <x:is>
          <x:t xml:space="preserve">S7</x:t>
        </x:is>
      </x:c>
    </x:row>
    <x:row r="75">
      <x:c r="A75" s="39" t="inlineStr">
        <x:is>
          <x:t xml:space="preserve">I072</x:t>
        </x:is>
      </x:c>
      <x:c r="B75" s="39" t="inlineStr">
        <x:is>
          <x:t xml:space="preserve">Mary Royce</x:t>
        </x:is>
      </x:c>
      <x:c r="C75" s="39" t="n">
        <x:v>11</x:v>
      </x:c>
      <x:c r="D75" s="39" t="inlineStr">
        <x:is>
          <x:t xml:space="preserve">I086</x:t>
        </x:is>
      </x:c>
      <x:c r="E75" s="39" t="inlineStr">
        <x:is>
          <x:t xml:space="preserve">Jonathan Royce</x:t>
        </x:is>
      </x:c>
      <x:c r="F75" s="39" t="inlineStr">
        <x:is>
          <x:t xml:space="preserve">I087</x:t>
        </x:is>
      </x:c>
      <x:c r="G75" s="39" t="inlineStr">
        <x:is>
          <x:t xml:space="preserve">Ann Spinning</x:t>
        </x:is>
      </x:c>
      <x:c r="H75" s="39" t="inlineStr">
        <x:is>
          <x:t xml:space="preserve">B - Strong</x:t>
        </x:is>
      </x:c>
      <x:c r="I75" s="39" t="inlineStr">
        <x:is>
          <x:t xml:space="preserve">S7</x:t>
        </x:is>
      </x:c>
    </x:row>
    <x:row r="76">
      <x:c r="A76" s="39" t="inlineStr">
        <x:is>
          <x:t xml:space="preserve">I063</x:t>
        </x:is>
      </x:c>
      <x:c r="B76" s="39" t="inlineStr">
        <x:is>
          <x:t xml:space="preserve">Nathaniel Stone</x:t>
        </x:is>
      </x:c>
      <x:c r="C76" s="39" t="n">
        <x:v>11</x:v>
      </x:c>
      <x:c r="D76" s="39" t="inlineStr">
        <x:is>
          <x:t xml:space="preserve">I073</x:t>
        </x:is>
      </x:c>
      <x:c r="E76" s="39" t="inlineStr">
        <x:is>
          <x:t xml:space="preserve">John Stone</x:t>
        </x:is>
      </x:c>
      <x:c r="F76" s="39" t="inlineStr">
        <x:is>
          <x:t xml:space="preserve">I074</x:t>
        </x:is>
      </x:c>
      <x:c r="G76" s="39" t="inlineStr">
        <x:is>
          <x:t xml:space="preserve">Mary (surname unknown), wife of John Stone</x:t>
        </x:is>
      </x:c>
      <x:c r="H76" s="39" t="inlineStr">
        <x:is>
          <x:t xml:space="preserve">B - Strong</x:t>
        </x:is>
      </x:c>
      <x:c r="I76" s="39" t="inlineStr">
        <x:is>
          <x:t xml:space="preserve">S7</x:t>
        </x:is>
      </x:c>
    </x:row>
    <x:row r="77">
      <x:c r="A77" s="39" t="inlineStr">
        <x:is>
          <x:t xml:space="preserve">I068</x:t>
        </x:is>
      </x:c>
      <x:c r="B77" s="39" t="inlineStr">
        <x:is>
          <x:t xml:space="preserve">Rebecca Dowd</x:t>
        </x:is>
      </x:c>
      <x:c r="C77" s="39" t="n">
        <x:v>11</x:v>
      </x:c>
      <x:c r="D77" s="39" t="inlineStr">
        <x:is>
          <x:t xml:space="preserve">I081</x:t>
        </x:is>
      </x:c>
      <x:c r="E77" s="39" t="inlineStr">
        <x:is>
          <x:t xml:space="preserve">Henry Dowd</x:t>
        </x:is>
      </x:c>
      <x:c r="F77" s="39" t="str"/>
      <x:c r="G77" s="39" t="str"/>
      <x:c r="H77" s="39" t="inlineStr">
        <x:is>
          <x:t xml:space="preserve">B - Strong</x:t>
        </x:is>
      </x:c>
      <x:c r="I77" s="39" t="inlineStr">
        <x:is>
          <x:t xml:space="preserve">S7</x:t>
        </x:is>
      </x:c>
    </x:row>
    <x:row r="78">
      <x:c r="A78" s="39" t="inlineStr">
        <x:is>
          <x:t xml:space="preserve">I066</x:t>
        </x:is>
      </x:c>
      <x:c r="B78" s="39" t="inlineStr">
        <x:is>
          <x:t xml:space="preserve">Sarah Wilcockson</x:t>
        </x:is>
      </x:c>
      <x:c r="C78" s="39" t="n">
        <x:v>11</x:v>
      </x:c>
      <x:c r="D78" s="39" t="inlineStr">
        <x:is>
          <x:t xml:space="preserve">I077</x:t>
        </x:is>
      </x:c>
      <x:c r="E78" s="39" t="inlineStr">
        <x:is>
          <x:t xml:space="preserve">William Wilcockson</x:t>
        </x:is>
      </x:c>
      <x:c r="F78" s="39" t="inlineStr">
        <x:is>
          <x:t xml:space="preserve">I078</x:t>
        </x:is>
      </x:c>
      <x:c r="G78" s="39" t="inlineStr">
        <x:is>
          <x:t xml:space="preserve">Margaret Harvey</x:t>
        </x:is>
      </x:c>
      <x:c r="H78" s="39" t="inlineStr">
        <x:is>
          <x:t xml:space="preserve">B - Strong</x:t>
        </x:is>
      </x:c>
      <x:c r="I78" s="39" t="inlineStr">
        <x:is>
          <x:t xml:space="preserve">S7</x:t>
        </x:is>
      </x:c>
    </x:row>
    <x:row r="79">
      <x:c r="A79" s="39" t="inlineStr">
        <x:is>
          <x:t xml:space="preserve">I070</x:t>
        </x:is>
      </x:c>
      <x:c r="B79" s="39" t="inlineStr">
        <x:is>
          <x:t xml:space="preserve">Trial Meigs</x:t>
        </x:is>
      </x:c>
      <x:c r="C79" s="39" t="n">
        <x:v>11</x:v>
      </x:c>
      <x:c r="D79" s="39" t="inlineStr">
        <x:is>
          <x:t xml:space="preserve">I065</x:t>
        </x:is>
      </x:c>
      <x:c r="E79" s="39" t="inlineStr">
        <x:is>
          <x:t xml:space="preserve">John Meigs</x:t>
        </x:is>
      </x:c>
      <x:c r="F79" s="39" t="inlineStr">
        <x:is>
          <x:t xml:space="preserve">I076</x:t>
        </x:is>
      </x:c>
      <x:c r="G79" s="39" t="inlineStr">
        <x:is>
          <x:t xml:space="preserve">Tamasin Fry</x:t>
        </x:is>
      </x:c>
      <x:c r="H79" s="39" t="inlineStr">
        <x:is>
          <x:t xml:space="preserve">B - Strong</x:t>
        </x:is>
      </x:c>
      <x:c r="I79" s="39" t="inlineStr">
        <x:is>
          <x:t xml:space="preserve">S7</x:t>
        </x:is>
      </x:c>
    </x:row>
    <x:row r="80">
      <x:c r="A80" s="39" t="inlineStr">
        <x:is>
          <x:t xml:space="preserve">I087</x:t>
        </x:is>
      </x:c>
      <x:c r="B80" s="39" t="inlineStr">
        <x:is>
          <x:t xml:space="preserve">Ann Spinning</x:t>
        </x:is>
      </x:c>
      <x:c r="C80" s="39" t="n">
        <x:v>12</x:v>
      </x:c>
      <x:c r="D80" s="39" t="inlineStr">
        <x:is>
          <x:t xml:space="preserve">I096</x:t>
        </x:is>
      </x:c>
      <x:c r="E80" s="39" t="inlineStr">
        <x:is>
          <x:t xml:space="preserve">Humphrey Spinning</x:t>
        </x:is>
      </x:c>
      <x:c r="F80" s="39" t="str"/>
      <x:c r="G80" s="39" t="str"/>
      <x:c r="H80" s="39" t="inlineStr">
        <x:is>
          <x:t xml:space="preserve">B - Strong</x:t>
        </x:is>
      </x:c>
      <x:c r="I80" s="39" t="inlineStr">
        <x:is>
          <x:t xml:space="preserve">S7</x:t>
        </x:is>
      </x:c>
    </x:row>
    <x:row r="81">
      <x:c r="A81" s="39" t="inlineStr">
        <x:is>
          <x:t xml:space="preserve">I083</x:t>
        </x:is>
      </x:c>
      <x:c r="B81" s="39" t="inlineStr">
        <x:is>
          <x:t xml:space="preserve">Hester Sherman</x:t>
        </x:is>
      </x:c>
      <x:c r="C81" s="39" t="n">
        <x:v>12</x:v>
      </x:c>
      <x:c r="D81" s="39" t="inlineStr">
        <x:is>
          <x:t xml:space="preserve">I089</x:t>
        </x:is>
      </x:c>
      <x:c r="E81" s="39" t="inlineStr">
        <x:is>
          <x:t xml:space="preserve">Edmund Sherman</x:t>
        </x:is>
      </x:c>
      <x:c r="F81" s="39" t="inlineStr">
        <x:is>
          <x:t xml:space="preserve">I090</x:t>
        </x:is>
      </x:c>
      <x:c r="G81" s="39" t="inlineStr">
        <x:is>
          <x:t xml:space="preserve">Grace Makin</x:t>
        </x:is>
      </x:c>
      <x:c r="H81" s="39" t="inlineStr">
        <x:is>
          <x:t xml:space="preserve">B - Strong</x:t>
        </x:is>
      </x:c>
      <x:c r="I81" s="39" t="inlineStr">
        <x:is>
          <x:t xml:space="preserve">S7</x:t>
        </x:is>
      </x:c>
    </x:row>
    <x:row r="82">
      <x:c r="A82" s="39" t="inlineStr">
        <x:is>
          <x:t xml:space="preserve">I086</x:t>
        </x:is>
      </x:c>
      <x:c r="B82" s="39" t="inlineStr">
        <x:is>
          <x:t xml:space="preserve">Jonathan Royce</x:t>
        </x:is>
      </x:c>
      <x:c r="C82" s="39" t="n">
        <x:v>12</x:v>
      </x:c>
      <x:c r="D82" s="39" t="inlineStr">
        <x:is>
          <x:t xml:space="preserve">I094</x:t>
        </x:is>
      </x:c>
      <x:c r="E82" s="39" t="inlineStr">
        <x:is>
          <x:t xml:space="preserve">Robert Royce</x:t>
        </x:is>
      </x:c>
      <x:c r="F82" s="39" t="inlineStr">
        <x:is>
          <x:t xml:space="preserve">I095</x:t>
        </x:is>
      </x:c>
      <x:c r="G82" s="39" t="inlineStr">
        <x:is>
          <x:t xml:space="preserve">Mary (surname unknown), wife of Robert Royce</x:t>
        </x:is>
      </x:c>
      <x:c r="H82" s="39" t="inlineStr">
        <x:is>
          <x:t xml:space="preserve">B - Strong</x:t>
        </x:is>
      </x:c>
      <x:c r="I82" s="39" t="inlineStr">
        <x:is>
          <x:t xml:space="preserve">S7</x:t>
        </x:is>
      </x:c>
    </x:row>
    <x:row r="83">
      <x:c r="A83" s="39" t="inlineStr">
        <x:is>
          <x:t xml:space="preserve">I078</x:t>
        </x:is>
      </x:c>
      <x:c r="B83" s="39" t="inlineStr">
        <x:is>
          <x:t xml:space="preserve">Margaret Harvey</x:t>
        </x:is>
      </x:c>
      <x:c r="C83" s="39" t="n">
        <x:v>12</x:v>
      </x:c>
      <x:c r="D83" s="39" t="inlineStr">
        <x:is>
          <x:t xml:space="preserve">I088</x:t>
        </x:is>
      </x:c>
      <x:c r="E83" s="39" t="inlineStr">
        <x:is>
          <x:t xml:space="preserve">James Harvey</x:t>
        </x:is>
      </x:c>
      <x:c r="F83" s="39" t="str"/>
      <x:c r="G83" s="39" t="str"/>
      <x:c r="H83" s="39" t="inlineStr">
        <x:is>
          <x:t xml:space="preserve">B - Strong</x:t>
        </x:is>
      </x:c>
      <x:c r="I83" s="39" t="inlineStr">
        <x:is>
          <x:t xml:space="preserve">S7</x:t>
        </x:is>
      </x:c>
    </x:row>
    <x:row r="84">
      <x:c r="A84" s="39" t="inlineStr">
        <x:is>
          <x:t xml:space="preserve">I085</x:t>
        </x:is>
      </x:c>
      <x:c r="B84" s="39" t="inlineStr">
        <x:is>
          <x:t xml:space="preserve">Sarah Platt</x:t>
        </x:is>
      </x:c>
      <x:c r="C84" s="39" t="n">
        <x:v>12</x:v>
      </x:c>
      <x:c r="D84" s="39" t="inlineStr">
        <x:is>
          <x:t xml:space="preserve">I092</x:t>
        </x:is>
      </x:c>
      <x:c r="E84" s="39" t="inlineStr">
        <x:is>
          <x:t xml:space="preserve">Richard Platt</x:t>
        </x:is>
      </x:c>
      <x:c r="F84" s="39" t="inlineStr">
        <x:is>
          <x:t xml:space="preserve">I093</x:t>
        </x:is>
      </x:c>
      <x:c r="G84" s="39" t="inlineStr">
        <x:is>
          <x:t xml:space="preserve">Mary Wood</x:t>
        </x:is>
      </x:c>
      <x:c r="H84" s="39" t="inlineStr">
        <x:is>
          <x:t xml:space="preserve">B - Strong</x:t>
        </x:is>
      </x:c>
      <x:c r="I84" s="39" t="inlineStr">
        <x:is>
          <x:t xml:space="preserve">S7</x:t>
        </x:is>
      </x:c>
    </x:row>
    <x:row r="85">
      <x:c r="A85" s="39" t="inlineStr">
        <x:is>
          <x:t xml:space="preserve">I084</x:t>
        </x:is>
      </x:c>
      <x:c r="B85" s="39" t="inlineStr">
        <x:is>
          <x:t xml:space="preserve">Thomas Beach</x:t>
        </x:is>
      </x:c>
      <x:c r="C85" s="39" t="n">
        <x:v>12</x:v>
      </x:c>
      <x:c r="D85" s="39" t="inlineStr">
        <x:is>
          <x:t xml:space="preserve">I091</x:t>
        </x:is>
      </x:c>
      <x:c r="E85" s="39" t="inlineStr">
        <x:is>
          <x:t xml:space="preserve">Unknown Beach (father of Thomas Beach)</x:t>
        </x:is>
      </x:c>
      <x:c r="F85" s="39" t="str"/>
      <x:c r="G85" s="39" t="str"/>
      <x:c r="H85" s="39" t="inlineStr">
        <x:is>
          <x:t xml:space="preserve">B - Strong</x:t>
        </x:is>
      </x:c>
      <x:c r="I85" s="39" t="inlineStr">
        <x:is>
          <x:t xml:space="preserve">S7</x:t>
        </x:is>
      </x:c>
    </x:row>
    <x:row r="86">
      <x:c r="A86" s="39" t="inlineStr">
        <x:is>
          <x:t xml:space="preserve">I089</x:t>
        </x:is>
      </x:c>
      <x:c r="B86" s="39" t="inlineStr">
        <x:is>
          <x:t xml:space="preserve">Edmund Sherman</x:t>
        </x:is>
      </x:c>
      <x:c r="C86" s="39" t="n">
        <x:v>13</x:v>
      </x:c>
      <x:c r="D86" s="39" t="inlineStr">
        <x:is>
          <x:t xml:space="preserve">I097</x:t>
        </x:is>
      </x:c>
      <x:c r="E86" s="39" t="inlineStr">
        <x:is>
          <x:t xml:space="preserve">Edmund Sherman</x:t>
        </x:is>
      </x:c>
      <x:c r="F86" s="39" t="inlineStr">
        <x:is>
          <x:t xml:space="preserve">I098</x:t>
        </x:is>
      </x:c>
      <x:c r="G86" s="39" t="inlineStr">
        <x:is>
          <x:t xml:space="preserve">Anne Pellett</x:t>
        </x:is>
      </x:c>
      <x:c r="H86" s="39" t="inlineStr">
        <x:is>
          <x:t xml:space="preserve">C - Provisional</x:t>
        </x:is>
      </x:c>
      <x:c r="I86" s="39" t="inlineStr">
        <x:is>
          <x:t xml:space="preserve">S7</x:t>
        </x:is>
      </x:c>
    </x:row>
    <x:row r="87">
      <x:c r="A87" s="39" t="inlineStr">
        <x:is>
          <x:t xml:space="preserve">I090</x:t>
        </x:is>
      </x:c>
      <x:c r="B87" s="39" t="inlineStr">
        <x:is>
          <x:t xml:space="preserve">Grace Makin</x:t>
        </x:is>
      </x:c>
      <x:c r="C87" s="39" t="n">
        <x:v>13</x:v>
      </x:c>
      <x:c r="D87" s="39" t="inlineStr">
        <x:is>
          <x:t xml:space="preserve">I099</x:t>
        </x:is>
      </x:c>
      <x:c r="E87" s="39" t="inlineStr">
        <x:is>
          <x:t xml:space="preserve">Tobias Makin</x:t>
        </x:is>
      </x:c>
      <x:c r="F87" s="39" t="inlineStr">
        <x:is>
          <x:t xml:space="preserve">I100</x:t>
        </x:is>
      </x:c>
      <x:c r="G87" s="39" t="inlineStr">
        <x:is>
          <x:t xml:space="preserve">Katherine Westbrome</x:t>
        </x:is>
      </x:c>
      <x:c r="H87" s="39" t="inlineStr">
        <x:is>
          <x:t xml:space="preserve">C - Provisional</x:t>
        </x:is>
      </x:c>
      <x:c r="I87" s="39" t="inlineStr">
        <x:is>
          <x:t xml:space="preserve">S7</x:t>
        </x:is>
      </x:c>
    </x:row>
    <x:row r="88">
      <x:c r="A88" s="39" t="inlineStr">
        <x:is>
          <x:t xml:space="preserve">I093</x:t>
        </x:is>
      </x:c>
      <x:c r="B88" s="39" t="inlineStr">
        <x:is>
          <x:t xml:space="preserve">Mary Wood</x:t>
        </x:is>
      </x:c>
      <x:c r="C88" s="39" t="n">
        <x:v>13</x:v>
      </x:c>
      <x:c r="D88" s="39" t="inlineStr">
        <x:is>
          <x:t xml:space="preserve">I103</x:t>
        </x:is>
      </x:c>
      <x:c r="E88" s="39" t="inlineStr">
        <x:is>
          <x:t xml:space="preserve">John Wood</x:t>
        </x:is>
      </x:c>
      <x:c r="F88" s="39" t="inlineStr">
        <x:is>
          <x:t xml:space="preserve">I104</x:t>
        </x:is>
      </x:c>
      <x:c r="G88" s="39" t="inlineStr">
        <x:is>
          <x:t xml:space="preserve">Jane (surname unknown), wife of John Wood</x:t>
        </x:is>
      </x:c>
      <x:c r="H88" s="39" t="inlineStr">
        <x:is>
          <x:t xml:space="preserve">B - Strong</x:t>
        </x:is>
      </x:c>
      <x:c r="I88" s="39" t="inlineStr">
        <x:is>
          <x:t xml:space="preserve">S7</x:t>
        </x:is>
      </x:c>
    </x:row>
    <x:row r="89">
      <x:c r="A89" s="39" t="inlineStr">
        <x:is>
          <x:t xml:space="preserve">I092</x:t>
        </x:is>
      </x:c>
      <x:c r="B89" s="39" t="inlineStr">
        <x:is>
          <x:t xml:space="preserve">Richard Platt</x:t>
        </x:is>
      </x:c>
      <x:c r="C89" s="39" t="n">
        <x:v>13</x:v>
      </x:c>
      <x:c r="D89" s="39" t="inlineStr">
        <x:is>
          <x:t xml:space="preserve">I101</x:t>
        </x:is>
      </x:c>
      <x:c r="E89" s="39" t="inlineStr">
        <x:is>
          <x:t xml:space="preserve">George Platt</x:t>
        </x:is>
      </x:c>
      <x:c r="F89" s="39" t="inlineStr">
        <x:is>
          <x:t xml:space="preserve">I102</x:t>
        </x:is>
      </x:c>
      <x:c r="G89" s="39" t="inlineStr">
        <x:is>
          <x:t xml:space="preserve">Mary (surname unknown), wife of George Platt</x:t>
        </x:is>
      </x:c>
      <x:c r="H89" s="39" t="inlineStr">
        <x:is>
          <x:t xml:space="preserve">B - Strong</x:t>
        </x:is>
      </x:c>
      <x:c r="I89" s="39" t="inlineStr">
        <x:is>
          <x:t xml:space="preserve">S7</x:t>
        </x:is>
      </x:c>
    </x:row>
    <x:row r="90">
      <x:c r="A90" s="39" t="inlineStr">
        <x:is>
          <x:t xml:space="preserve">I098</x:t>
        </x:is>
      </x:c>
      <x:c r="B90" s="39" t="inlineStr">
        <x:is>
          <x:t xml:space="preserve">Anne Pellett</x:t>
        </x:is>
      </x:c>
      <x:c r="C90" s="39" t="n">
        <x:v>14</x:v>
      </x:c>
      <x:c r="D90" s="39" t="inlineStr">
        <x:is>
          <x:t xml:space="preserve">I107</x:t>
        </x:is>
      </x:c>
      <x:c r="E90" s="39" t="inlineStr">
        <x:is>
          <x:t xml:space="preserve">William Pellett</x:t>
        </x:is>
      </x:c>
      <x:c r="F90" s="39" t="str"/>
      <x:c r="G90" s="39" t="str"/>
      <x:c r="H90" s="39" t="inlineStr">
        <x:is>
          <x:t xml:space="preserve">C - Provisional</x:t>
        </x:is>
      </x:c>
      <x:c r="I90" s="39" t="inlineStr">
        <x:is>
          <x:t xml:space="preserve">S7</x:t>
        </x:is>
      </x:c>
    </x:row>
    <x:row r="91">
      <x:c r="A91" s="39" t="inlineStr">
        <x:is>
          <x:t xml:space="preserve">I097</x:t>
        </x:is>
      </x:c>
      <x:c r="B91" s="39" t="inlineStr">
        <x:is>
          <x:t xml:space="preserve">Edmund Sherman</x:t>
        </x:is>
      </x:c>
      <x:c r="C91" s="39" t="n">
        <x:v>14</x:v>
      </x:c>
      <x:c r="D91" s="39" t="inlineStr">
        <x:is>
          <x:t xml:space="preserve">I105</x:t>
        </x:is>
      </x:c>
      <x:c r="E91" s="39" t="inlineStr">
        <x:is>
          <x:t xml:space="preserve">Henry Sherman</x:t>
        </x:is>
      </x:c>
      <x:c r="F91" s="39" t="inlineStr">
        <x:is>
          <x:t xml:space="preserve">I106</x:t>
        </x:is>
      </x:c>
      <x:c r="G91" s="39" t="inlineStr">
        <x:is>
          <x:t xml:space="preserve">Agnes (surname unknown), wife of Henry Sherman</x:t>
        </x:is>
      </x:c>
      <x:c r="H91" s="39" t="inlineStr">
        <x:is>
          <x:t xml:space="preserve">C - Provisional</x:t>
        </x:is>
      </x:c>
      <x:c r="I91" s="39" t="inlineStr">
        <x:is>
          <x:t xml:space="preserve">S7</x:t>
        </x:is>
      </x:c>
    </x:row>
    <x:row r="92">
      <x:c r="A92" s="39" t="inlineStr">
        <x:is>
          <x:t xml:space="preserve">I101</x:t>
        </x:is>
      </x:c>
      <x:c r="B92" s="39" t="inlineStr">
        <x:is>
          <x:t xml:space="preserve">George Platt</x:t>
        </x:is>
      </x:c>
      <x:c r="C92" s="39" t="n">
        <x:v>14</x:v>
      </x:c>
      <x:c r="D92" s="39" t="inlineStr">
        <x:is>
          <x:t xml:space="preserve">I112</x:t>
        </x:is>
      </x:c>
      <x:c r="E92" s="39" t="inlineStr">
        <x:is>
          <x:t xml:space="preserve">Simon Platt</x:t>
        </x:is>
      </x:c>
      <x:c r="F92" s="39" t="inlineStr">
        <x:is>
          <x:t xml:space="preserve">I113</x:t>
        </x:is>
      </x:c>
      <x:c r="G92" s="39" t="inlineStr">
        <x:is>
          <x:t xml:space="preserve">Elizabeth (surname unknown), wife of Simon Platt</x:t>
        </x:is>
      </x:c>
      <x:c r="H92" s="39" t="inlineStr">
        <x:is>
          <x:t xml:space="preserve">C - Provisional</x:t>
        </x:is>
      </x:c>
      <x:c r="I92" s="39" t="inlineStr">
        <x:is>
          <x:t xml:space="preserve">S7</x:t>
        </x:is>
      </x:c>
    </x:row>
    <x:row r="93">
      <x:c r="A93" s="39" t="inlineStr">
        <x:is>
          <x:t xml:space="preserve">I100</x:t>
        </x:is>
      </x:c>
      <x:c r="B93" s="39" t="inlineStr">
        <x:is>
          <x:t xml:space="preserve">Katherine Westbrome</x:t>
        </x:is>
      </x:c>
      <x:c r="C93" s="39" t="n">
        <x:v>14</x:v>
      </x:c>
      <x:c r="D93" s="39" t="inlineStr">
        <x:is>
          <x:t xml:space="preserve">I110</x:t>
        </x:is>
      </x:c>
      <x:c r="E93" s="39" t="inlineStr">
        <x:is>
          <x:t xml:space="preserve">Thomas Westbrome</x:t>
        </x:is>
      </x:c>
      <x:c r="F93" s="39" t="inlineStr">
        <x:is>
          <x:t xml:space="preserve">I111</x:t>
        </x:is>
      </x:c>
      <x:c r="G93" s="39" t="inlineStr">
        <x:is>
          <x:t xml:space="preserve">Elizabeth (surname unknown), wife of Thomas Westbrome</x:t>
        </x:is>
      </x:c>
      <x:c r="H93" s="39" t="inlineStr">
        <x:is>
          <x:t xml:space="preserve">C - Provisional</x:t>
        </x:is>
      </x:c>
      <x:c r="I93" s="39" t="inlineStr">
        <x:is>
          <x:t xml:space="preserve">S7</x:t>
        </x:is>
      </x:c>
    </x:row>
    <x:row r="94">
      <x:c r="A94" s="39" t="inlineStr">
        <x:is>
          <x:t xml:space="preserve">I099</x:t>
        </x:is>
      </x:c>
      <x:c r="B94" s="39" t="inlineStr">
        <x:is>
          <x:t xml:space="preserve">Tobias Makin</x:t>
        </x:is>
      </x:c>
      <x:c r="C94" s="39" t="n">
        <x:v>14</x:v>
      </x:c>
      <x:c r="D94" s="39" t="inlineStr">
        <x:is>
          <x:t xml:space="preserve">I108</x:t>
        </x:is>
      </x:c>
      <x:c r="E94" s="39" t="inlineStr">
        <x:is>
          <x:t xml:space="preserve">John Makin</x:t>
        </x:is>
      </x:c>
      <x:c r="F94" s="39" t="inlineStr">
        <x:is>
          <x:t xml:space="preserve">I109</x:t>
        </x:is>
      </x:c>
      <x:c r="G94" s="39" t="inlineStr">
        <x:is>
          <x:t xml:space="preserve">Agnes (surname unknown), wife of John Makin</x:t>
        </x:is>
      </x:c>
      <x:c r="H94" s="39" t="inlineStr">
        <x:is>
          <x:t xml:space="preserve">C - Provisional</x:t>
        </x:is>
      </x:c>
      <x:c r="I94" s="39" t="inlineStr">
        <x:is>
          <x:t xml:space="preserve">S7</x:t>
        </x:is>
      </x:c>
    </x:row>
  </x:sheetData>
  <x:pageMargins left="0.7" right="0.7" top="0.75" bottom="0.75" header="0.3" footer="0.3"/>
  <x:tableParts count="1">
    <x:tablePart xmlns:r="http://schemas.openxmlformats.org/officeDocument/2006/relationships" r:id="R787cfa038aab4668"/>
  </x:tableParts>
</x:worksheet>
</file>

<file path=xl/worksheets/sheet4.xml><?xml version="1.0" encoding="utf-8"?>
<x:worksheet xmlns:x="http://schemas.openxmlformats.org/spreadsheetml/2006/main">
  <x:sheetFormatPr baseColWidth="8" defaultRowHeight="15"/>
  <x:cols>
    <x:col min="1" max="1" width="8" customWidth="1"/>
    <x:col min="2" max="2" width="31" customWidth="1"/>
    <x:col min="3" max="3" width="22" customWidth="1"/>
    <x:col min="4" max="4" width="22" customWidth="1"/>
    <x:col min="5" max="5" width="27" customWidth="1"/>
    <x:col min="6" max="6" width="25" customWidth="1"/>
    <x:col min="7" max="7" width="35" customWidth="1"/>
    <x:col min="8" max="8" width="38" customWidth="1"/>
    <x:col min="9" max="9" width="36" customWidth="1"/>
    <x:col min="10" max="10" width="23" customWidth="1"/>
    <x:col min="11" max="11" width="17" customWidth="1"/>
    <x:col min="12" max="12" width="48" customWidth="1"/>
    <x:col min="13" max="13" width="52" customWidth="1"/>
    <x:col min="14" max="14" width="20" customWidth="1"/>
    <x:col min="15" max="15" width="58" customWidth="1"/>
  </x:cols>
  <x:sheetData>
    <x:row r="1" ht="34" customHeight="1">
      <x:c r="A1" s="47" t="inlineStr">
        <x:is>
          <x:t xml:space="preserve">ID</x:t>
        </x:is>
      </x:c>
      <x:c r="B1" s="47" t="inlineStr">
        <x:is>
          <x:t xml:space="preserve">Person</x:t>
        </x:is>
      </x:c>
      <x:c r="C1" s="47" t="inlineStr">
        <x:is>
          <x:t xml:space="preserve">Branch</x:t>
        </x:is>
      </x:c>
      <x:c r="D1" s="47" t="inlineStr">
        <x:is>
          <x:t xml:space="preserve">Tier</x:t>
        </x:is>
      </x:c>
      <x:c r="E1" s="47" t="inlineStr">
        <x:is>
          <x:t xml:space="preserve">Relationship to Fredric</x:t>
        </x:is>
      </x:c>
      <x:c r="F1" s="47" t="inlineStr">
        <x:is>
          <x:t xml:space="preserve">Relationship to Jan</x:t>
        </x:is>
      </x:c>
      <x:c r="G1" s="47" t="inlineStr">
        <x:is>
          <x:t xml:space="preserve">Spouse / partner</x:t>
        </x:is>
      </x:c>
      <x:c r="H1" s="47" t="inlineStr">
        <x:is>
          <x:t xml:space="preserve">Parents</x:t>
        </x:is>
      </x:c>
      <x:c r="I1" s="47" t="inlineStr">
        <x:is>
          <x:t xml:space="preserve">Children in bounded scope</x:t>
        </x:is>
      </x:c>
      <x:c r="J1" s="47" t="inlineStr">
        <x:is>
          <x:t xml:space="preserve">Status</x:t>
        </x:is>
      </x:c>
      <x:c r="K1" s="47" t="inlineStr">
        <x:is>
          <x:t xml:space="preserve">Confidence</x:t>
        </x:is>
      </x:c>
      <x:c r="L1" s="47" t="inlineStr">
        <x:is>
          <x:t xml:space="preserve">Public-record evidence</x:t>
        </x:is>
      </x:c>
      <x:c r="M1" s="47" t="inlineStr">
        <x:is>
          <x:t xml:space="preserve">Family-document evidence</x:t>
        </x:is>
      </x:c>
      <x:c r="N1" s="47" t="inlineStr">
        <x:is>
          <x:t xml:space="preserve">Source IDs</x:t>
        </x:is>
      </x:c>
      <x:c r="O1" s="47" t="inlineStr">
        <x:is>
          <x:t xml:space="preserve">Notes</x:t>
        </x:is>
      </x:c>
    </x:row>
    <x:row r="2" ht="68" customHeight="1">
      <x:c r="A2" s="48" t="inlineStr">
        <x:is>
          <x:t xml:space="preserve">P001</x:t>
        </x:is>
      </x:c>
      <x:c r="B2" s="48" t="inlineStr">
        <x:is>
          <x:t xml:space="preserve">Fredric Muller Vollmer</x:t>
        </x:is>
      </x:c>
      <x:c r="C2" s="48" t="inlineStr">
        <x:is>
          <x:t xml:space="preserve">Immediate family</x:t>
        </x:is>
      </x:c>
      <x:c r="D2" s="48" t="inlineStr">
        <x:is>
          <x:t xml:space="preserve">Root</x:t>
        </x:is>
      </x:c>
      <x:c r="E2" s="48" t="inlineStr">
        <x:is>
          <x:t xml:space="preserve">Self</x:t>
        </x:is>
      </x:c>
      <x:c r="F2" s="48" t="inlineStr">
        <x:is>
          <x:t xml:space="preserve">Son of Jan Muller Vollmer</x:t>
        </x:is>
      </x:c>
      <x:c r="G2" s="48" t="n"/>
      <x:c r="H2" s="48" t="inlineStr">
        <x:is>
          <x:t xml:space="preserve">Jan Muller Vollmer and Henry Richard “Dick” Vollmer</x:t>
        </x:is>
      </x:c>
      <x:c r="I2" s="48" t="n"/>
      <x:c r="J2" s="48" t="inlineStr">
        <x:is>
          <x:t xml:space="preserve">Living</x:t>
        </x:is>
      </x:c>
      <x:c r="K2" s="48" t="inlineStr">
        <x:is>
          <x:t xml:space="preserve">A - Confirmed</x:t>
        </x:is>
      </x:c>
      <x:c r="L2" s="48" t="inlineStr">
        <x:is>
          <x:t xml:space="preserve"/>
        </x:is>
      </x:c>
      <x:c r="M2" s="48" t="inlineStr">
        <x:is>
          <x:t xml:space="preserve"/>
        </x:is>
      </x:c>
      <x:c r="N2" s="48" t="inlineStr">
        <x:is>
          <x:t xml:space="preserve">S1</x:t>
        </x:is>
      </x:c>
      <x:c r="O2" s="48" t="inlineStr">
        <x:is>
          <x:t xml:space="preserve">Living dates intentionally omitted.</x:t>
        </x:is>
      </x:c>
    </x:row>
    <x:row r="3" ht="68" customHeight="1">
      <x:c r="A3" s="49" t="inlineStr">
        <x:is>
          <x:t xml:space="preserve">P002</x:t>
        </x:is>
      </x:c>
      <x:c r="B3" s="49" t="inlineStr">
        <x:is>
          <x:t xml:space="preserve">Arianna Lynn “Annie” Vollmer</x:t>
        </x:is>
      </x:c>
      <x:c r="C3" s="49" t="inlineStr">
        <x:is>
          <x:t xml:space="preserve">Immediate family</x:t>
        </x:is>
      </x:c>
      <x:c r="D3" s="49" t="inlineStr">
        <x:is>
          <x:t xml:space="preserve">Sibling</x:t>
        </x:is>
      </x:c>
      <x:c r="E3" s="49" t="inlineStr">
        <x:is>
          <x:t xml:space="preserve">Sister</x:t>
        </x:is>
      </x:c>
      <x:c r="F3" s="49" t="inlineStr">
        <x:is>
          <x:t xml:space="preserve">Daughter of Jan Muller Vollmer</x:t>
        </x:is>
      </x:c>
      <x:c r="G3" s="49" t="n"/>
      <x:c r="H3" s="49" t="inlineStr">
        <x:is>
          <x:t xml:space="preserve">Jan Muller Vollmer and Henry Richard “Dick” Vollmer</x:t>
        </x:is>
      </x:c>
      <x:c r="I3" s="49" t="n"/>
      <x:c r="J3" s="49" t="inlineStr">
        <x:is>
          <x:t xml:space="preserve">Living</x:t>
        </x:is>
      </x:c>
      <x:c r="K3" s="49" t="inlineStr">
        <x:is>
          <x:t xml:space="preserve">A - Confirmed</x:t>
        </x:is>
      </x:c>
      <x:c r="L3" s="49" t="inlineStr">
        <x:is>
          <x:t xml:space="preserve"/>
        </x:is>
      </x:c>
      <x:c r="M3" s="49" t="inlineStr">
        <x:is>
          <x:t xml:space="preserve"/>
        </x:is>
      </x:c>
      <x:c r="N3" s="49" t="inlineStr">
        <x:is>
          <x:t xml:space="preserve">CF1</x:t>
        </x:is>
      </x:c>
      <x:c r="O3" s="49" t="inlineStr">
        <x:is>
          <x:t xml:space="preserve">Name form follows family correspondence; living dates intentionally omitted.</x:t>
        </x:is>
      </x:c>
    </x:row>
    <x:row r="4" ht="68" customHeight="1">
      <x:c r="A4" s="48" t="inlineStr">
        <x:is>
          <x:t xml:space="preserve">P003</x:t>
        </x:is>
      </x:c>
      <x:c r="B4" s="48" t="inlineStr">
        <x:is>
          <x:t xml:space="preserve">Jan Muller Vollmer</x:t>
        </x:is>
      </x:c>
      <x:c r="C4" s="48" t="inlineStr">
        <x:is>
          <x:t xml:space="preserve">Immediate family</x:t>
        </x:is>
      </x:c>
      <x:c r="D4" s="48" t="inlineStr">
        <x:is>
          <x:t xml:space="preserve">Parent</x:t>
        </x:is>
      </x:c>
      <x:c r="E4" s="48" t="inlineStr">
        <x:is>
          <x:t xml:space="preserve">Mother</x:t>
        </x:is>
      </x:c>
      <x:c r="F4" s="48" t="inlineStr">
        <x:is>
          <x:t xml:space="preserve">Self</x:t>
        </x:is>
      </x:c>
      <x:c r="G4" s="48" t="inlineStr">
        <x:is>
          <x:t xml:space="preserve">Henry Richard “Dick” Vollmer</x:t>
        </x:is>
      </x:c>
      <x:c r="H4" s="48" t="inlineStr">
        <x:is>
          <x:t xml:space="preserve">Arthur John “Art” Muller and Anne Rives McCormick Muller</x:t>
        </x:is>
      </x:c>
      <x:c r="I4" s="48" t="inlineStr">
        <x:is>
          <x:t xml:space="preserve">Fredric; Arianna “Annie”</x:t>
        </x:is>
      </x:c>
      <x:c r="J4" s="48" t="inlineStr">
        <x:is>
          <x:t xml:space="preserve">Living</x:t>
        </x:is>
      </x:c>
      <x:c r="K4" s="48" t="inlineStr">
        <x:is>
          <x:t xml:space="preserve">A - Confirmed</x:t>
        </x:is>
      </x:c>
      <x:c r="L4" s="48" t="inlineStr">
        <x:is>
          <x:t xml:space="preserve"/>
        </x:is>
      </x:c>
      <x:c r="M4" s="48" t="inlineStr">
        <x:is>
          <x:t xml:space="preserve"/>
        </x:is>
      </x:c>
      <x:c r="N4" s="48" t="inlineStr">
        <x:is>
          <x:t xml:space="preserve">S1; S2; CF1</x:t>
        </x:is>
      </x:c>
      <x:c r="O4" s="48" t="inlineStr">
        <x:is>
          <x:t xml:space="preserve"/>
        </x:is>
      </x:c>
    </x:row>
    <x:row r="5" ht="68" customHeight="1">
      <x:c r="A5" s="49" t="inlineStr">
        <x:is>
          <x:t xml:space="preserve">P004</x:t>
        </x:is>
      </x:c>
      <x:c r="B5" s="49" t="inlineStr">
        <x:is>
          <x:t xml:space="preserve">Henry Richard “Dick” Vollmer</x:t>
        </x:is>
      </x:c>
      <x:c r="C5" s="49" t="inlineStr">
        <x:is>
          <x:t xml:space="preserve">Immediate family</x:t>
        </x:is>
      </x:c>
      <x:c r="D5" s="49" t="inlineStr">
        <x:is>
          <x:t xml:space="preserve">Spouse context</x:t>
        </x:is>
      </x:c>
      <x:c r="E5" s="49" t="inlineStr">
        <x:is>
          <x:t xml:space="preserve">Father</x:t>
        </x:is>
      </x:c>
      <x:c r="F5" s="49" t="inlineStr">
        <x:is>
          <x:t xml:space="preserve">Husband</x:t>
        </x:is>
      </x:c>
      <x:c r="G5" s="49" t="inlineStr">
        <x:is>
          <x:t xml:space="preserve">Jan Muller Vollmer</x:t>
        </x:is>
      </x:c>
      <x:c r="H5" s="49" t="n"/>
      <x:c r="I5" s="49" t="inlineStr">
        <x:is>
          <x:t xml:space="preserve">Fredric; Arianna “Annie”</x:t>
        </x:is>
      </x:c>
      <x:c r="J5" s="49" t="inlineStr">
        <x:is>
          <x:t xml:space="preserve">Deceased</x:t>
        </x:is>
      </x:c>
      <x:c r="K5" s="49" t="inlineStr">
        <x:is>
          <x:t xml:space="preserve">A - Confirmed</x:t>
        </x:is>
      </x:c>
      <x:c r="L5" s="49" t="inlineStr">
        <x:is>
          <x:t xml:space="preserve"/>
        </x:is>
      </x:c>
      <x:c r="M5" s="49" t="inlineStr">
        <x:is>
          <x:t xml:space="preserve"/>
        </x:is>
      </x:c>
      <x:c r="N5" s="49" t="inlineStr">
        <x:is>
          <x:t xml:space="preserve">CF1</x:t>
        </x:is>
      </x:c>
      <x:c r="O5" s="49" t="inlineStr">
        <x:is>
          <x:t xml:space="preserve">Included as spouse/parent context; this project does not trace his ancestry.</x:t>
        </x:is>
      </x:c>
    </x:row>
    <x:row r="6" ht="68" customHeight="1">
      <x:c r="A6" s="48" t="inlineStr">
        <x:is>
          <x:t xml:space="preserve">P005</x:t>
        </x:is>
      </x:c>
      <x:c r="B6" s="48" t="inlineStr">
        <x:is>
          <x:t xml:space="preserve">Bruce Muller</x:t>
        </x:is>
      </x:c>
      <x:c r="C6" s="48" t="inlineStr">
        <x:is>
          <x:t xml:space="preserve">Immediate maternal</x:t>
        </x:is>
      </x:c>
      <x:c r="D6" s="48" t="inlineStr">
        <x:is>
          <x:t xml:space="preserve">Jan sibling</x:t>
        </x:is>
      </x:c>
      <x:c r="E6" s="48" t="inlineStr">
        <x:is>
          <x:t xml:space="preserve">Maternal uncle</x:t>
        </x:is>
      </x:c>
      <x:c r="F6" s="48" t="inlineStr">
        <x:is>
          <x:t xml:space="preserve">Brother</x:t>
        </x:is>
      </x:c>
      <x:c r="G6" s="48" t="n"/>
      <x:c r="H6" s="48" t="inlineStr">
        <x:is>
          <x:t xml:space="preserve">Arthur John “Art” Muller and Anne Rives McCormick Muller</x:t>
        </x:is>
      </x:c>
      <x:c r="I6" s="48" t="inlineStr">
        <x:is>
          <x:t xml:space="preserve">No children located in the reviewed family chart or corroborating records</x:t>
        </x:is>
      </x:c>
      <x:c r="J6" s="48" t="inlineStr">
        <x:is>
          <x:t xml:space="preserve">Deceased</x:t>
        </x:is>
      </x:c>
      <x:c r="K6" s="48" t="inlineStr">
        <x:is>
          <x:t xml:space="preserve">A - Confirmed</x:t>
        </x:is>
      </x:c>
      <x:c r="L6" s="48" t="inlineStr">
        <x:is>
          <x:t xml:space="preserve"/>
        </x:is>
      </x:c>
      <x:c r="M6" s="48" t="inlineStr">
        <x:is>
          <x:t xml:space="preserve"/>
        </x:is>
      </x:c>
      <x:c r="N6" s="48" t="inlineStr">
        <x:is>
          <x:t xml:space="preserve">S2; CF2</x:t>
        </x:is>
      </x:c>
      <x:c r="O6" s="48" t="inlineStr">
        <x:is>
          <x:t xml:space="preserve">“No children located” is not proof that he had none.</x:t>
        </x:is>
      </x:c>
    </x:row>
    <x:row r="7" ht="68" customHeight="1">
      <x:c r="A7" s="49" t="inlineStr">
        <x:is>
          <x:t xml:space="preserve">P006</x:t>
        </x:is>
      </x:c>
      <x:c r="B7" s="49" t="inlineStr">
        <x:is>
          <x:t xml:space="preserve">Arthur John “Art” Muller</x:t>
        </x:is>
      </x:c>
      <x:c r="C7" s="49" t="inlineStr">
        <x:is>
          <x:t xml:space="preserve">Muller / Lee</x:t>
        </x:is>
      </x:c>
      <x:c r="D7" s="49" t="inlineStr">
        <x:is>
          <x:t xml:space="preserve">Grandparent anchor</x:t>
        </x:is>
      </x:c>
      <x:c r="E7" s="49" t="inlineStr">
        <x:is>
          <x:t xml:space="preserve">Maternal grandfather</x:t>
        </x:is>
      </x:c>
      <x:c r="F7" s="49" t="inlineStr">
        <x:is>
          <x:t xml:space="preserve">Father</x:t>
        </x:is>
      </x:c>
      <x:c r="G7" s="49" t="inlineStr">
        <x:is>
          <x:t xml:space="preserve">Anne Rives McCormick Muller</x:t>
        </x:is>
      </x:c>
      <x:c r="H7" s="49" t="inlineStr">
        <x:is>
          <x:t xml:space="preserve">Arthur Herman Muller and Elma Anna Lee</x:t>
        </x:is>
      </x:c>
      <x:c r="I7" s="49" t="inlineStr">
        <x:is>
          <x:t xml:space="preserve">Bruce; Jan</x:t>
        </x:is>
      </x:c>
      <x:c r="J7" s="49" t="inlineStr">
        <x:is>
          <x:t xml:space="preserve">Deceased</x:t>
        </x:is>
      </x:c>
      <x:c r="K7" s="49" t="inlineStr">
        <x:is>
          <x:t xml:space="preserve">A - Confirmed</x:t>
        </x:is>
      </x:c>
      <x:c r="L7" s="49" t="inlineStr">
        <x:is>
          <x:t xml:space="preserve">Library of Congress Veterans History Project collection anchors identity and military service.</x:t>
        </x:is>
      </x:c>
      <x:c r="M7" s="49" t="inlineStr">
        <x:is>
          <x:t xml:space="preserve">1998 family chart authored by Art.</x:t>
        </x:is>
      </x:c>
      <x:c r="N7" s="49" t="inlineStr">
        <x:is>
          <x:t xml:space="preserve">S2; S5</x:t>
        </x:is>
      </x:c>
      <x:c r="O7" s="49" t="inlineStr">
        <x:is>
          <x:t xml:space="preserve"/>
        </x:is>
      </x:c>
    </x:row>
    <x:row r="8" ht="68" customHeight="1">
      <x:c r="A8" s="48" t="inlineStr">
        <x:is>
          <x:t xml:space="preserve">P007</x:t>
        </x:is>
      </x:c>
      <x:c r="B8" s="48" t="inlineStr">
        <x:is>
          <x:t xml:space="preserve">Anne Rives McCormick Muller</x:t>
        </x:is>
      </x:c>
      <x:c r="C8" s="48" t="inlineStr">
        <x:is>
          <x:t xml:space="preserve">McCormick / Slaughter</x:t>
        </x:is>
      </x:c>
      <x:c r="D8" s="48" t="inlineStr">
        <x:is>
          <x:t xml:space="preserve">Grandparent anchor</x:t>
        </x:is>
      </x:c>
      <x:c r="E8" s="48" t="inlineStr">
        <x:is>
          <x:t xml:space="preserve">Maternal grandmother</x:t>
        </x:is>
      </x:c>
      <x:c r="F8" s="48" t="inlineStr">
        <x:is>
          <x:t xml:space="preserve">Mother</x:t>
        </x:is>
      </x:c>
      <x:c r="G8" s="48" t="inlineStr">
        <x:is>
          <x:t xml:space="preserve">Arthur John “Art” Muller</x:t>
        </x:is>
      </x:c>
      <x:c r="H8" s="48" t="inlineStr">
        <x:is>
          <x:t xml:space="preserve">Charles Ellsworth McCormick II and Eloise A. Slaughter</x:t>
        </x:is>
      </x:c>
      <x:c r="I8" s="48" t="inlineStr">
        <x:is>
          <x:t xml:space="preserve">Bruce; Jan</x:t>
        </x:is>
      </x:c>
      <x:c r="J8" s="48" t="inlineStr">
        <x:is>
          <x:t xml:space="preserve">Deceased</x:t>
        </x:is>
      </x:c>
      <x:c r="K8" s="48" t="inlineStr">
        <x:is>
          <x:t xml:space="preserve">A - Confirmed</x:t>
        </x:is>
      </x:c>
      <x:c r="L8" s="48" t="inlineStr">
        <x:is>
          <x:t xml:space="preserve"/>
        </x:is>
      </x:c>
      <x:c r="M8" s="48" t="inlineStr">
        <x:is>
          <x:t xml:space="preserve"/>
        </x:is>
      </x:c>
      <x:c r="N8" s="48" t="inlineStr">
        <x:is>
          <x:t xml:space="preserve">S1; S2; CF2</x:t>
        </x:is>
      </x:c>
      <x:c r="O8" s="48" t="inlineStr">
        <x:is>
          <x:t xml:space="preserve"/>
        </x:is>
      </x:c>
    </x:row>
    <x:row r="9" ht="68" customHeight="1">
      <x:c r="A9" s="49" t="inlineStr">
        <x:is>
          <x:t xml:space="preserve">P008</x:t>
        </x:is>
      </x:c>
      <x:c r="B9" s="49" t="inlineStr">
        <x:is>
          <x:t xml:space="preserve">Arthur Herman Muller</x:t>
        </x:is>
      </x:c>
      <x:c r="C9" s="49" t="inlineStr">
        <x:is>
          <x:t xml:space="preserve">Muller / Lee</x:t>
        </x:is>
      </x:c>
      <x:c r="D9" s="49" t="inlineStr">
        <x:is>
          <x:t xml:space="preserve">Great-grandparent anchor</x:t>
        </x:is>
      </x:c>
      <x:c r="E9" s="49" t="inlineStr">
        <x:is>
          <x:t xml:space="preserve">Maternal great-grandfather</x:t>
        </x:is>
      </x:c>
      <x:c r="F9" s="49" t="inlineStr">
        <x:is>
          <x:t xml:space="preserve">Paternal grandfather</x:t>
        </x:is>
      </x:c>
      <x:c r="G9" s="49" t="inlineStr">
        <x:is>
          <x:t xml:space="preserve">Elma Anna Lee</x:t>
        </x:is>
      </x:c>
      <x:c r="H9" s="49" t="n"/>
      <x:c r="I9" s="49" t="inlineStr">
        <x:is>
          <x:t xml:space="preserve">Mary Gene; Jane; Arthur John</x:t>
        </x:is>
      </x:c>
      <x:c r="J9" s="49" t="inlineStr">
        <x:is>
          <x:t xml:space="preserve">Deceased</x:t>
        </x:is>
      </x:c>
      <x:c r="K9" s="49" t="inlineStr">
        <x:is>
          <x:t xml:space="preserve">A - Confirmed</x:t>
        </x:is>
      </x:c>
      <x:c r="L9" s="49" t="inlineStr">
        <x:is>
          <x:t xml:space="preserve"/>
        </x:is>
      </x:c>
      <x:c r="M9" s="49" t="inlineStr">
        <x:is>
          <x:t xml:space="preserve"/>
        </x:is>
      </x:c>
      <x:c r="N9" s="49" t="inlineStr">
        <x:is>
          <x:t xml:space="preserve">S2; S24</x:t>
        </x:is>
      </x:c>
      <x:c r="O9" s="49" t="inlineStr">
        <x:is>
          <x:t xml:space="preserve"/>
        </x:is>
      </x:c>
    </x:row>
    <x:row r="10" ht="68" customHeight="1">
      <x:c r="A10" s="48" t="inlineStr">
        <x:is>
          <x:t xml:space="preserve">P009</x:t>
        </x:is>
      </x:c>
      <x:c r="B10" s="48" t="inlineStr">
        <x:is>
          <x:t xml:space="preserve">Elma Anna Lee Muller</x:t>
        </x:is>
      </x:c>
      <x:c r="C10" s="48" t="inlineStr">
        <x:is>
          <x:t xml:space="preserve">Muller / Lee</x:t>
        </x:is>
      </x:c>
      <x:c r="D10" s="48" t="inlineStr">
        <x:is>
          <x:t xml:space="preserve">Great-grandparent anchor</x:t>
        </x:is>
      </x:c>
      <x:c r="E10" s="48" t="inlineStr">
        <x:is>
          <x:t xml:space="preserve">Maternal great-grandmother</x:t>
        </x:is>
      </x:c>
      <x:c r="F10" s="48" t="inlineStr">
        <x:is>
          <x:t xml:space="preserve">Paternal grandmother</x:t>
        </x:is>
      </x:c>
      <x:c r="G10" s="48" t="inlineStr">
        <x:is>
          <x:t xml:space="preserve">Arthur Herman Muller</x:t>
        </x:is>
      </x:c>
      <x:c r="H10" s="48" t="n"/>
      <x:c r="I10" s="48" t="inlineStr">
        <x:is>
          <x:t xml:space="preserve">Mary Gene; Jane; Arthur John</x:t>
        </x:is>
      </x:c>
      <x:c r="J10" s="48" t="inlineStr">
        <x:is>
          <x:t xml:space="preserve">Deceased</x:t>
        </x:is>
      </x:c>
      <x:c r="K10" s="48" t="inlineStr">
        <x:is>
          <x:t xml:space="preserve">A - Confirmed</x:t>
        </x:is>
      </x:c>
      <x:c r="L10" s="48" t="inlineStr">
        <x:is>
          <x:t xml:space="preserve"/>
        </x:is>
      </x:c>
      <x:c r="M10" s="48" t="inlineStr">
        <x:is>
          <x:t xml:space="preserve"/>
        </x:is>
      </x:c>
      <x:c r="N10" s="48" t="inlineStr">
        <x:is>
          <x:t xml:space="preserve">S2; S3; S24</x:t>
        </x:is>
      </x:c>
      <x:c r="O10" s="48" t="inlineStr">
        <x:is>
          <x:t xml:space="preserve"/>
        </x:is>
      </x:c>
    </x:row>
    <x:row r="11" ht="68" customHeight="1">
      <x:c r="A11" s="49" t="inlineStr">
        <x:is>
          <x:t xml:space="preserve">P010</x:t>
        </x:is>
      </x:c>
      <x:c r="B11" s="49" t="inlineStr">
        <x:is>
          <x:t xml:space="preserve">Mary Gene Muller Chaffee</x:t>
        </x:is>
      </x:c>
      <x:c r="C11" s="49" t="inlineStr">
        <x:is>
          <x:t xml:space="preserve">Muller / Lee</x:t>
        </x:is>
      </x:c>
      <x:c r="D11" s="49" t="inlineStr">
        <x:is>
          <x:t xml:space="preserve">Art sibling</x:t>
        </x:is>
      </x:c>
      <x:c r="E11" s="49" t="inlineStr">
        <x:is>
          <x:t xml:space="preserve">Maternal great-aunt</x:t>
        </x:is>
      </x:c>
      <x:c r="F11" s="49" t="inlineStr">
        <x:is>
          <x:t xml:space="preserve">Paternal aunt</x:t>
        </x:is>
      </x:c>
      <x:c r="G11" s="49" t="inlineStr">
        <x:is>
          <x:t xml:space="preserve">James Chaffee</x:t>
        </x:is>
      </x:c>
      <x:c r="H11" s="49" t="inlineStr">
        <x:is>
          <x:t xml:space="preserve">Arthur Herman Muller and Elma Anna Lee</x:t>
        </x:is>
      </x:c>
      <x:c r="I11" s="49" t="inlineStr">
        <x:is>
          <x:t xml:space="preserve">Linda; Lori; James</x:t>
        </x:is>
      </x:c>
      <x:c r="J11" s="49" t="inlineStr">
        <x:is>
          <x:t xml:space="preserve">Status not fully researched</x:t>
        </x:is>
      </x:c>
      <x:c r="K11" s="49" t="inlineStr">
        <x:is>
          <x:t xml:space="preserve">A - Confirmed</x:t>
        </x:is>
      </x:c>
      <x:c r="L11" s="49" t="inlineStr">
        <x:is>
          <x:t xml:space="preserve"/>
        </x:is>
      </x:c>
      <x:c r="M11" s="49" t="inlineStr">
        <x:is>
          <x:t xml:space="preserve"/>
        </x:is>
      </x:c>
      <x:c r="N11" s="49" t="inlineStr">
        <x:is>
          <x:t xml:space="preserve">S2; CF3</x:t>
        </x:is>
      </x:c>
      <x:c r="O11" s="49" t="inlineStr">
        <x:is>
          <x:t xml:space="preserve">Child set transcribed from the 1998 chart. Earlier draft mistakenly read James as “Janet”; corrected here.</x:t>
        </x:is>
      </x:c>
    </x:row>
    <x:row r="12" ht="68" customHeight="1">
      <x:c r="A12" s="48" t="inlineStr">
        <x:is>
          <x:t xml:space="preserve">P011</x:t>
        </x:is>
      </x:c>
      <x:c r="B12" s="48" t="inlineStr">
        <x:is>
          <x:t xml:space="preserve">James Chaffee (husband of Mary Gene)</x:t>
        </x:is>
      </x:c>
      <x:c r="C12" s="48" t="inlineStr">
        <x:is>
          <x:t xml:space="preserve">Muller / Lee</x:t>
        </x:is>
      </x:c>
      <x:c r="D12" s="48" t="inlineStr">
        <x:is>
          <x:t xml:space="preserve">Spouse of Art sibling</x:t>
        </x:is>
      </x:c>
      <x:c r="E12" s="48" t="inlineStr">
        <x:is>
          <x:t xml:space="preserve">Maternal great-uncle by marriage</x:t>
        </x:is>
      </x:c>
      <x:c r="F12" s="48" t="inlineStr">
        <x:is>
          <x:t xml:space="preserve">Paternal uncle by marriage</x:t>
        </x:is>
      </x:c>
      <x:c r="G12" s="48" t="inlineStr">
        <x:is>
          <x:t xml:space="preserve">Mary Gene Muller Chaffee</x:t>
        </x:is>
      </x:c>
      <x:c r="H12" s="48" t="n"/>
      <x:c r="I12" s="48" t="inlineStr">
        <x:is>
          <x:t xml:space="preserve">Linda; Lori; James</x:t>
        </x:is>
      </x:c>
      <x:c r="J12" s="48" t="inlineStr">
        <x:is>
          <x:t xml:space="preserve">Status not researched</x:t>
        </x:is>
      </x:c>
      <x:c r="K12" s="48" t="inlineStr">
        <x:is>
          <x:t xml:space="preserve">A - Confirmed</x:t>
        </x:is>
      </x:c>
      <x:c r="L12" s="48" t="inlineStr">
        <x:is>
          <x:t xml:space="preserve"/>
        </x:is>
      </x:c>
      <x:c r="M12" s="48" t="inlineStr">
        <x:is>
          <x:t xml:space="preserve"/>
        </x:is>
      </x:c>
      <x:c r="N12" s="48" t="inlineStr">
        <x:is>
          <x:t xml:space="preserve">S2; CF3</x:t>
        </x:is>
      </x:c>
      <x:c r="O12" s="48" t="inlineStr">
        <x:is>
          <x:t xml:space="preserve"/>
        </x:is>
      </x:c>
    </x:row>
    <x:row r="13" ht="68" customHeight="1">
      <x:c r="A13" s="49" t="inlineStr">
        <x:is>
          <x:t xml:space="preserve">P012</x:t>
        </x:is>
      </x:c>
      <x:c r="B13" s="49" t="inlineStr">
        <x:is>
          <x:t xml:space="preserve">Linda Chaffee</x:t>
        </x:is>
      </x:c>
      <x:c r="C13" s="49" t="inlineStr">
        <x:is>
          <x:t xml:space="preserve">Muller / Lee</x:t>
        </x:is>
      </x:c>
      <x:c r="D13" s="49" t="inlineStr">
        <x:is>
          <x:t xml:space="preserve">Jan first cousin</x:t>
        </x:is>
      </x:c>
      <x:c r="E13" s="49" t="inlineStr">
        <x:is>
          <x:t xml:space="preserve">First cousin once removed</x:t>
        </x:is>
      </x:c>
      <x:c r="F13" s="49" t="inlineStr">
        <x:is>
          <x:t xml:space="preserve">Paternal first cousin</x:t>
        </x:is>
      </x:c>
      <x:c r="G13" s="49" t="n"/>
      <x:c r="H13" s="49" t="inlineStr">
        <x:is>
          <x:t xml:space="preserve">Mary Gene Muller Chaffee and James Chaffee</x:t>
        </x:is>
      </x:c>
      <x:c r="I13" s="49" t="n"/>
      <x:c r="J13" s="49" t="inlineStr">
        <x:is>
          <x:t xml:space="preserve">Living/status not researched</x:t>
        </x:is>
      </x:c>
      <x:c r="K13" s="49" t="inlineStr">
        <x:is>
          <x:t xml:space="preserve">A - Confirmed</x:t>
        </x:is>
      </x:c>
      <x:c r="L13" s="49" t="inlineStr">
        <x:is>
          <x:t xml:space="preserve"/>
        </x:is>
      </x:c>
      <x:c r="M13" s="49" t="inlineStr">
        <x:is>
          <x:t xml:space="preserve"/>
        </x:is>
      </x:c>
      <x:c r="N13" s="49" t="inlineStr">
        <x:is>
          <x:t xml:space="preserve">S2</x:t>
        </x:is>
      </x:c>
      <x:c r="O13" s="49" t="inlineStr">
        <x:is>
          <x:t xml:space="preserve"/>
        </x:is>
      </x:c>
    </x:row>
    <x:row r="14" ht="68" customHeight="1">
      <x:c r="A14" s="48" t="inlineStr">
        <x:is>
          <x:t xml:space="preserve">P013</x:t>
        </x:is>
      </x:c>
      <x:c r="B14" s="48" t="inlineStr">
        <x:is>
          <x:t xml:space="preserve">Lori Chaffee Mettler</x:t>
        </x:is>
      </x:c>
      <x:c r="C14" s="48" t="inlineStr">
        <x:is>
          <x:t xml:space="preserve">Muller / Lee</x:t>
        </x:is>
      </x:c>
      <x:c r="D14" s="48" t="inlineStr">
        <x:is>
          <x:t xml:space="preserve">Jan first cousin</x:t>
        </x:is>
      </x:c>
      <x:c r="E14" s="48" t="inlineStr">
        <x:is>
          <x:t xml:space="preserve">First cousin once removed</x:t>
        </x:is>
      </x:c>
      <x:c r="F14" s="48" t="inlineStr">
        <x:is>
          <x:t xml:space="preserve">Paternal first cousin</x:t>
        </x:is>
      </x:c>
      <x:c r="G14" s="48" t="n"/>
      <x:c r="H14" s="48" t="inlineStr">
        <x:is>
          <x:t xml:space="preserve">Mary Gene Muller Chaffee and James Chaffee</x:t>
        </x:is>
      </x:c>
      <x:c r="I14" s="48" t="n"/>
      <x:c r="J14" s="48" t="inlineStr">
        <x:is>
          <x:t xml:space="preserve">Living</x:t>
        </x:is>
      </x:c>
      <x:c r="K14" s="48" t="inlineStr">
        <x:is>
          <x:t xml:space="preserve">A - Confirmed</x:t>
        </x:is>
      </x:c>
      <x:c r="L14" s="48" t="inlineStr">
        <x:is>
          <x:t xml:space="preserve"/>
        </x:is>
      </x:c>
      <x:c r="M14" s="48" t="inlineStr">
        <x:is>
          <x:t xml:space="preserve"/>
        </x:is>
      </x:c>
      <x:c r="N14" s="48" t="inlineStr">
        <x:is>
          <x:t xml:space="preserve">S2; CF3</x:t>
        </x:is>
      </x:c>
      <x:c r="O14" s="48" t="inlineStr">
        <x:is>
          <x:t xml:space="preserve"/>
        </x:is>
      </x:c>
    </x:row>
    <x:row r="15" ht="68" customHeight="1">
      <x:c r="A15" s="49" t="inlineStr">
        <x:is>
          <x:t xml:space="preserve">P014</x:t>
        </x:is>
      </x:c>
      <x:c r="B15" s="49" t="inlineStr">
        <x:is>
          <x:t xml:space="preserve">James Chaffee (son of Mary Gene and James)</x:t>
        </x:is>
      </x:c>
      <x:c r="C15" s="49" t="inlineStr">
        <x:is>
          <x:t xml:space="preserve">Muller / Lee</x:t>
        </x:is>
      </x:c>
      <x:c r="D15" s="49" t="inlineStr">
        <x:is>
          <x:t xml:space="preserve">Jan first cousin</x:t>
        </x:is>
      </x:c>
      <x:c r="E15" s="49" t="inlineStr">
        <x:is>
          <x:t xml:space="preserve">First cousin once removed</x:t>
        </x:is>
      </x:c>
      <x:c r="F15" s="49" t="inlineStr">
        <x:is>
          <x:t xml:space="preserve">Paternal first cousin</x:t>
        </x:is>
      </x:c>
      <x:c r="G15" s="49" t="n"/>
      <x:c r="H15" s="49" t="inlineStr">
        <x:is>
          <x:t xml:space="preserve">Mary Gene Muller Chaffee and James Chaffee</x:t>
        </x:is>
      </x:c>
      <x:c r="I15" s="49" t="n"/>
      <x:c r="J15" s="49" t="inlineStr">
        <x:is>
          <x:t xml:space="preserve">Living/status not researched</x:t>
        </x:is>
      </x:c>
      <x:c r="K15" s="49" t="inlineStr">
        <x:is>
          <x:t xml:space="preserve">A - Confirmed</x:t>
        </x:is>
      </x:c>
      <x:c r="L15" s="49" t="inlineStr">
        <x:is>
          <x:t xml:space="preserve"/>
        </x:is>
      </x:c>
      <x:c r="M15" s="49" t="inlineStr">
        <x:is>
          <x:t xml:space="preserve"/>
        </x:is>
      </x:c>
      <x:c r="N15" s="49" t="inlineStr">
        <x:is>
          <x:t xml:space="preserve">S2; CF3</x:t>
        </x:is>
      </x:c>
      <x:c r="O15" s="49" t="inlineStr">
        <x:is>
          <x:t xml:space="preserve">Corrected from the earlier erroneous transcription “Janet Chaffee.”</x:t>
        </x:is>
      </x:c>
    </x:row>
    <x:row r="16" ht="68" customHeight="1">
      <x:c r="A16" s="48" t="inlineStr">
        <x:is>
          <x:t xml:space="preserve">P015</x:t>
        </x:is>
      </x:c>
      <x:c r="B16" s="48" t="inlineStr">
        <x:is>
          <x:t xml:space="preserve">Jane Muller Swick</x:t>
        </x:is>
      </x:c>
      <x:c r="C16" s="48" t="inlineStr">
        <x:is>
          <x:t xml:space="preserve">Muller / Lee</x:t>
        </x:is>
      </x:c>
      <x:c r="D16" s="48" t="inlineStr">
        <x:is>
          <x:t xml:space="preserve">Art sibling</x:t>
        </x:is>
      </x:c>
      <x:c r="E16" s="48" t="inlineStr">
        <x:is>
          <x:t xml:space="preserve">Maternal great-aunt</x:t>
        </x:is>
      </x:c>
      <x:c r="F16" s="48" t="inlineStr">
        <x:is>
          <x:t xml:space="preserve">Paternal aunt</x:t>
        </x:is>
      </x:c>
      <x:c r="G16" s="48" t="inlineStr">
        <x:is>
          <x:t xml:space="preserve">Howard Swick</x:t>
        </x:is>
      </x:c>
      <x:c r="H16" s="48" t="inlineStr">
        <x:is>
          <x:t xml:space="preserve">Arthur Herman Muller and Elma Anna Lee</x:t>
        </x:is>
      </x:c>
      <x:c r="I16" s="48" t="inlineStr">
        <x:is>
          <x:t xml:space="preserve">Kathy; John; Susan; Patti</x:t>
        </x:is>
      </x:c>
      <x:c r="J16" s="48" t="inlineStr">
        <x:is>
          <x:t xml:space="preserve">Status not fully researched</x:t>
        </x:is>
      </x:c>
      <x:c r="K16" s="48" t="inlineStr">
        <x:is>
          <x:t xml:space="preserve">A - Confirmed</x:t>
        </x:is>
      </x:c>
      <x:c r="L16" s="48" t="inlineStr">
        <x:is>
          <x:t xml:space="preserve"/>
        </x:is>
      </x:c>
      <x:c r="M16" s="48" t="inlineStr">
        <x:is>
          <x:t xml:space="preserve"/>
        </x:is>
      </x:c>
      <x:c r="N16" s="48" t="inlineStr">
        <x:is>
          <x:t xml:space="preserve">S2; CF4</x:t>
        </x:is>
      </x:c>
      <x:c r="O16" s="48" t="inlineStr">
        <x:is>
          <x:t xml:space="preserve"/>
        </x:is>
      </x:c>
    </x:row>
    <x:row r="17" ht="68" customHeight="1">
      <x:c r="A17" s="49" t="inlineStr">
        <x:is>
          <x:t xml:space="preserve">P016</x:t>
        </x:is>
      </x:c>
      <x:c r="B17" s="49" t="inlineStr">
        <x:is>
          <x:t xml:space="preserve">Howard Swick</x:t>
        </x:is>
      </x:c>
      <x:c r="C17" s="49" t="inlineStr">
        <x:is>
          <x:t xml:space="preserve">Muller / Lee</x:t>
        </x:is>
      </x:c>
      <x:c r="D17" s="49" t="inlineStr">
        <x:is>
          <x:t xml:space="preserve">Spouse of Art sibling</x:t>
        </x:is>
      </x:c>
      <x:c r="E17" s="49" t="inlineStr">
        <x:is>
          <x:t xml:space="preserve">Maternal great-uncle by marriage</x:t>
        </x:is>
      </x:c>
      <x:c r="F17" s="49" t="inlineStr">
        <x:is>
          <x:t xml:space="preserve">Paternal uncle by marriage</x:t>
        </x:is>
      </x:c>
      <x:c r="G17" s="49" t="inlineStr">
        <x:is>
          <x:t xml:space="preserve">Jane Muller Swick</x:t>
        </x:is>
      </x:c>
      <x:c r="H17" s="49" t="n"/>
      <x:c r="I17" s="49" t="inlineStr">
        <x:is>
          <x:t xml:space="preserve">Kathy; John; Susan; Patti</x:t>
        </x:is>
      </x:c>
      <x:c r="J17" s="49" t="inlineStr">
        <x:is>
          <x:t xml:space="preserve">Status not researched</x:t>
        </x:is>
      </x:c>
      <x:c r="K17" s="49" t="inlineStr">
        <x:is>
          <x:t xml:space="preserve">A - Confirmed</x:t>
        </x:is>
      </x:c>
      <x:c r="L17" s="49" t="inlineStr">
        <x:is>
          <x:t xml:space="preserve"/>
        </x:is>
      </x:c>
      <x:c r="M17" s="49" t="inlineStr">
        <x:is>
          <x:t xml:space="preserve"/>
        </x:is>
      </x:c>
      <x:c r="N17" s="49" t="inlineStr">
        <x:is>
          <x:t xml:space="preserve">S2</x:t>
        </x:is>
      </x:c>
      <x:c r="O17" s="49" t="inlineStr">
        <x:is>
          <x:t xml:space="preserve"/>
        </x:is>
      </x:c>
    </x:row>
    <x:row r="18" ht="68" customHeight="1">
      <x:c r="A18" s="48" t="inlineStr">
        <x:is>
          <x:t xml:space="preserve">P017</x:t>
        </x:is>
      </x:c>
      <x:c r="B18" s="48" t="inlineStr">
        <x:is>
          <x:t xml:space="preserve">Kathy Swick Werblo</x:t>
        </x:is>
      </x:c>
      <x:c r="C18" s="48" t="inlineStr">
        <x:is>
          <x:t xml:space="preserve">Muller / Lee</x:t>
        </x:is>
      </x:c>
      <x:c r="D18" s="48" t="inlineStr">
        <x:is>
          <x:t xml:space="preserve">Jan first cousin</x:t>
        </x:is>
      </x:c>
      <x:c r="E18" s="48" t="inlineStr">
        <x:is>
          <x:t xml:space="preserve">First cousin once removed</x:t>
        </x:is>
      </x:c>
      <x:c r="F18" s="48" t="inlineStr">
        <x:is>
          <x:t xml:space="preserve">Paternal first cousin</x:t>
        </x:is>
      </x:c>
      <x:c r="G18" s="48" t="inlineStr">
        <x:is>
          <x:t xml:space="preserve">Dave Werblo</x:t>
        </x:is>
      </x:c>
      <x:c r="H18" s="48" t="inlineStr">
        <x:is>
          <x:t xml:space="preserve">Jane Muller Swick and Howard Swick</x:t>
        </x:is>
      </x:c>
      <x:c r="I18" s="48" t="n"/>
      <x:c r="J18" s="48" t="inlineStr">
        <x:is>
          <x:t xml:space="preserve">Living</x:t>
        </x:is>
      </x:c>
      <x:c r="K18" s="48" t="inlineStr">
        <x:is>
          <x:t xml:space="preserve">A - Confirmed</x:t>
        </x:is>
      </x:c>
      <x:c r="L18" s="48" t="inlineStr">
        <x:is>
          <x:t xml:space="preserve"/>
        </x:is>
      </x:c>
      <x:c r="M18" s="48" t="inlineStr">
        <x:is>
          <x:t xml:space="preserve">1955 family photograph label and later correspondence explicitly call Kathy and Jan cousins.</x:t>
        </x:is>
      </x:c>
      <x:c r="N18" s="48" t="inlineStr">
        <x:is>
          <x:t xml:space="preserve">S2; CF4</x:t>
        </x:is>
      </x:c>
      <x:c r="O18" s="48" t="inlineStr">
        <x:is>
          <x:t xml:space="preserve"/>
        </x:is>
      </x:c>
    </x:row>
    <x:row r="19" ht="68" customHeight="1">
      <x:c r="A19" s="49" t="inlineStr">
        <x:is>
          <x:t xml:space="preserve">P018</x:t>
        </x:is>
      </x:c>
      <x:c r="B19" s="49" t="inlineStr">
        <x:is>
          <x:t xml:space="preserve">Dave Werblo</x:t>
        </x:is>
      </x:c>
      <x:c r="C19" s="49" t="inlineStr">
        <x:is>
          <x:t xml:space="preserve">Muller / Lee</x:t>
        </x:is>
      </x:c>
      <x:c r="D19" s="49" t="inlineStr">
        <x:is>
          <x:t xml:space="preserve">Spouse of Jan first cousin</x:t>
        </x:is>
      </x:c>
      <x:c r="E19" s="49" t="inlineStr">
        <x:is>
          <x:t xml:space="preserve">Cousin-in-law (1C1R spouse)</x:t>
        </x:is>
      </x:c>
      <x:c r="F19" s="49" t="inlineStr">
        <x:is>
          <x:t xml:space="preserve">Husband of paternal first cousin</x:t>
        </x:is>
      </x:c>
      <x:c r="G19" s="49" t="inlineStr">
        <x:is>
          <x:t xml:space="preserve">Kathy Swick Werblo</x:t>
        </x:is>
      </x:c>
      <x:c r="H19" s="49" t="n"/>
      <x:c r="I19" s="49" t="n"/>
      <x:c r="J19" s="49" t="inlineStr">
        <x:is>
          <x:t xml:space="preserve">Living</x:t>
        </x:is>
      </x:c>
      <x:c r="K19" s="49" t="inlineStr">
        <x:is>
          <x:t xml:space="preserve">A - Confirmed</x:t>
        </x:is>
      </x:c>
      <x:c r="L19" s="49" t="inlineStr">
        <x:is>
          <x:t xml:space="preserve"/>
        </x:is>
      </x:c>
      <x:c r="M19" s="49" t="inlineStr">
        <x:is>
          <x:t xml:space="preserve"/>
        </x:is>
      </x:c>
      <x:c r="N19" s="49" t="inlineStr">
        <x:is>
          <x:t xml:space="preserve">CF4</x:t>
        </x:is>
      </x:c>
      <x:c r="O19" s="49" t="inlineStr">
        <x:is>
          <x:t xml:space="preserve"/>
        </x:is>
      </x:c>
    </x:row>
    <x:row r="20" ht="68" customHeight="1">
      <x:c r="A20" s="48" t="inlineStr">
        <x:is>
          <x:t xml:space="preserve">P019</x:t>
        </x:is>
      </x:c>
      <x:c r="B20" s="48" t="inlineStr">
        <x:is>
          <x:t xml:space="preserve">John Swick</x:t>
        </x:is>
      </x:c>
      <x:c r="C20" s="48" t="inlineStr">
        <x:is>
          <x:t xml:space="preserve">Muller / Lee</x:t>
        </x:is>
      </x:c>
      <x:c r="D20" s="48" t="inlineStr">
        <x:is>
          <x:t xml:space="preserve">Jan first cousin</x:t>
        </x:is>
      </x:c>
      <x:c r="E20" s="48" t="inlineStr">
        <x:is>
          <x:t xml:space="preserve">First cousin once removed</x:t>
        </x:is>
      </x:c>
      <x:c r="F20" s="48" t="inlineStr">
        <x:is>
          <x:t xml:space="preserve">Paternal first cousin</x:t>
        </x:is>
      </x:c>
      <x:c r="G20" s="48" t="inlineStr">
        <x:is>
          <x:t xml:space="preserve">Celeste</x:t>
        </x:is>
      </x:c>
      <x:c r="H20" s="48" t="inlineStr">
        <x:is>
          <x:t xml:space="preserve">Jane Muller Swick and Howard Swick</x:t>
        </x:is>
      </x:c>
      <x:c r="I20" s="48" t="n"/>
      <x:c r="J20" s="48" t="inlineStr">
        <x:is>
          <x:t xml:space="preserve">Living/status not researched</x:t>
        </x:is>
      </x:c>
      <x:c r="K20" s="48" t="inlineStr">
        <x:is>
          <x:t xml:space="preserve">A - Confirmed</x:t>
        </x:is>
      </x:c>
      <x:c r="L20" s="48" t="inlineStr">
        <x:is>
          <x:t xml:space="preserve"/>
        </x:is>
      </x:c>
      <x:c r="M20" s="48" t="inlineStr">
        <x:is>
          <x:t xml:space="preserve"/>
        </x:is>
      </x:c>
      <x:c r="N20" s="48" t="inlineStr">
        <x:is>
          <x:t xml:space="preserve">S2; CF4</x:t>
        </x:is>
      </x:c>
      <x:c r="O20" s="48" t="inlineStr">
        <x:is>
          <x:t xml:space="preserve"/>
        </x:is>
      </x:c>
    </x:row>
    <x:row r="21" ht="68" customHeight="1">
      <x:c r="A21" s="49" t="inlineStr">
        <x:is>
          <x:t xml:space="preserve">P020</x:t>
        </x:is>
      </x:c>
      <x:c r="B21" s="49" t="inlineStr">
        <x:is>
          <x:t xml:space="preserve">Celeste (surname not independently verified)</x:t>
        </x:is>
      </x:c>
      <x:c r="C21" s="49" t="inlineStr">
        <x:is>
          <x:t xml:space="preserve">Muller / Lee</x:t>
        </x:is>
      </x:c>
      <x:c r="D21" s="49" t="inlineStr">
        <x:is>
          <x:t xml:space="preserve">Spouse of Jan first cousin</x:t>
        </x:is>
      </x:c>
      <x:c r="E21" s="49" t="inlineStr">
        <x:is>
          <x:t xml:space="preserve">Cousin-in-law (1C1R spouse)</x:t>
        </x:is>
      </x:c>
      <x:c r="F21" s="49" t="inlineStr">
        <x:is>
          <x:t xml:space="preserve">Spouse of paternal first cousin</x:t>
        </x:is>
      </x:c>
      <x:c r="G21" s="49" t="inlineStr">
        <x:is>
          <x:t xml:space="preserve">John Swick</x:t>
        </x:is>
      </x:c>
      <x:c r="H21" s="49" t="n"/>
      <x:c r="I21" s="49" t="n"/>
      <x:c r="J21" s="49" t="inlineStr">
        <x:is>
          <x:t xml:space="preserve">Status not researched</x:t>
        </x:is>
      </x:c>
      <x:c r="K21" s="49" t="inlineStr">
        <x:is>
          <x:t xml:space="preserve">C - Provisional</x:t>
        </x:is>
      </x:c>
      <x:c r="L21" s="49" t="inlineStr">
        <x:is>
          <x:t xml:space="preserve"/>
        </x:is>
      </x:c>
      <x:c r="M21" s="49" t="inlineStr">
        <x:is>
          <x:t xml:space="preserve"/>
        </x:is>
      </x:c>
      <x:c r="N21" s="49" t="inlineStr">
        <x:is>
          <x:t xml:space="preserve">S2</x:t>
        </x:is>
      </x:c>
      <x:c r="O21" s="49" t="inlineStr">
        <x:is>
          <x:t xml:space="preserve">Only the first name is legible/available in the 1998 chart.</x:t>
        </x:is>
      </x:c>
    </x:row>
    <x:row r="22" ht="68" customHeight="1">
      <x:c r="A22" s="48" t="inlineStr">
        <x:is>
          <x:t xml:space="preserve">P021</x:t>
        </x:is>
      </x:c>
      <x:c r="B22" s="48" t="inlineStr">
        <x:is>
          <x:t xml:space="preserve">Susan “Sue” Swick Galbraith</x:t>
        </x:is>
      </x:c>
      <x:c r="C22" s="48" t="inlineStr">
        <x:is>
          <x:t xml:space="preserve">Muller / Lee</x:t>
        </x:is>
      </x:c>
      <x:c r="D22" s="48" t="inlineStr">
        <x:is>
          <x:t xml:space="preserve">Jan first cousin</x:t>
        </x:is>
      </x:c>
      <x:c r="E22" s="48" t="inlineStr">
        <x:is>
          <x:t xml:space="preserve">First cousin once removed</x:t>
        </x:is>
      </x:c>
      <x:c r="F22" s="48" t="inlineStr">
        <x:is>
          <x:t xml:space="preserve">Paternal first cousin</x:t>
        </x:is>
      </x:c>
      <x:c r="G22" s="48" t="inlineStr">
        <x:is>
          <x:t xml:space="preserve">Gordon Galbraith</x:t>
        </x:is>
      </x:c>
      <x:c r="H22" s="48" t="inlineStr">
        <x:is>
          <x:t xml:space="preserve">Jane Muller Swick and Howard Swick</x:t>
        </x:is>
      </x:c>
      <x:c r="I22" s="48" t="n"/>
      <x:c r="J22" s="48" t="inlineStr">
        <x:is>
          <x:t xml:space="preserve">Living</x:t>
        </x:is>
      </x:c>
      <x:c r="K22" s="48" t="inlineStr">
        <x:is>
          <x:t xml:space="preserve">A - Confirmed</x:t>
        </x:is>
      </x:c>
      <x:c r="L22" s="48" t="inlineStr">
        <x:is>
          <x:t xml:space="preserve"/>
        </x:is>
      </x:c>
      <x:c r="M22" s="48" t="inlineStr">
        <x:is>
          <x:t xml:space="preserve">Jan explicitly identifies Sue’s children as Fredric’s second cousins.</x:t>
        </x:is>
      </x:c>
      <x:c r="N22" s="48" t="inlineStr">
        <x:is>
          <x:t xml:space="preserve">S2; CF4</x:t>
        </x:is>
      </x:c>
      <x:c r="O22" s="48" t="inlineStr">
        <x:is>
          <x:t xml:space="preserve"/>
        </x:is>
      </x:c>
    </x:row>
    <x:row r="23" ht="68" customHeight="1">
      <x:c r="A23" s="49" t="inlineStr">
        <x:is>
          <x:t xml:space="preserve">P022</x:t>
        </x:is>
      </x:c>
      <x:c r="B23" s="49" t="inlineStr">
        <x:is>
          <x:t xml:space="preserve">Gordon Galbraith</x:t>
        </x:is>
      </x:c>
      <x:c r="C23" s="49" t="inlineStr">
        <x:is>
          <x:t xml:space="preserve">Muller / Lee</x:t>
        </x:is>
      </x:c>
      <x:c r="D23" s="49" t="inlineStr">
        <x:is>
          <x:t xml:space="preserve">Spouse of Jan first cousin</x:t>
        </x:is>
      </x:c>
      <x:c r="E23" s="49" t="inlineStr">
        <x:is>
          <x:t xml:space="preserve">Cousin-in-law (1C1R spouse)</x:t>
        </x:is>
      </x:c>
      <x:c r="F23" s="49" t="inlineStr">
        <x:is>
          <x:t xml:space="preserve">Husband of paternal first cousin</x:t>
        </x:is>
      </x:c>
      <x:c r="G23" s="49" t="inlineStr">
        <x:is>
          <x:t xml:space="preserve">Susan “Sue” Swick Galbraith</x:t>
        </x:is>
      </x:c>
      <x:c r="H23" s="49" t="n"/>
      <x:c r="I23" s="49" t="n"/>
      <x:c r="J23" s="49" t="inlineStr">
        <x:is>
          <x:t xml:space="preserve">Status not researched</x:t>
        </x:is>
      </x:c>
      <x:c r="K23" s="49" t="inlineStr">
        <x:is>
          <x:t xml:space="preserve">A - Confirmed</x:t>
        </x:is>
      </x:c>
      <x:c r="L23" s="49" t="inlineStr">
        <x:is>
          <x:t xml:space="preserve"/>
        </x:is>
      </x:c>
      <x:c r="M23" s="49" t="inlineStr">
        <x:is>
          <x:t xml:space="preserve"/>
        </x:is>
      </x:c>
      <x:c r="N23" s="49" t="inlineStr">
        <x:is>
          <x:t xml:space="preserve">S2</x:t>
        </x:is>
      </x:c>
      <x:c r="O23" s="49" t="inlineStr">
        <x:is>
          <x:t xml:space="preserve"/>
        </x:is>
      </x:c>
    </x:row>
    <x:row r="24" ht="68" customHeight="1">
      <x:c r="A24" s="48" t="inlineStr">
        <x:is>
          <x:t xml:space="preserve">P023</x:t>
        </x:is>
      </x:c>
      <x:c r="B24" s="48" t="inlineStr">
        <x:is>
          <x:t xml:space="preserve">Patti Swick (later surname Silva)</x:t>
        </x:is>
      </x:c>
      <x:c r="C24" s="48" t="inlineStr">
        <x:is>
          <x:t xml:space="preserve">Muller / Lee</x:t>
        </x:is>
      </x:c>
      <x:c r="D24" s="48" t="inlineStr">
        <x:is>
          <x:t xml:space="preserve">Jan first cousin</x:t>
        </x:is>
      </x:c>
      <x:c r="E24" s="48" t="inlineStr">
        <x:is>
          <x:t xml:space="preserve">First cousin once removed</x:t>
        </x:is>
      </x:c>
      <x:c r="F24" s="48" t="inlineStr">
        <x:is>
          <x:t xml:space="preserve">Paternal first cousin</x:t>
        </x:is>
      </x:c>
      <x:c r="G24" s="48" t="inlineStr">
        <x:is>
          <x:t xml:space="preserve">Rick Lilly (shown in 1998 chart; later marital status not assumed)</x:t>
        </x:is>
      </x:c>
      <x:c r="H24" s="48" t="inlineStr">
        <x:is>
          <x:t xml:space="preserve">Jane Muller Swick and Howard Swick</x:t>
        </x:is>
      </x:c>
      <x:c r="I24" s="48" t="n"/>
      <x:c r="J24" s="48" t="inlineStr">
        <x:is>
          <x:t xml:space="preserve">Living</x:t>
        </x:is>
      </x:c>
      <x:c r="K24" s="48" t="inlineStr">
        <x:is>
          <x:t xml:space="preserve">A - Confirmed</x:t>
        </x:is>
      </x:c>
      <x:c r="L24" s="48" t="inlineStr">
        <x:is>
          <x:t xml:space="preserve"/>
        </x:is>
      </x:c>
      <x:c r="M24" s="48" t="inlineStr">
        <x:is>
          <x:t xml:space="preserve"/>
        </x:is>
      </x:c>
      <x:c r="N24" s="48" t="inlineStr">
        <x:is>
          <x:t xml:space="preserve">S2; CF3</x:t>
        </x:is>
      </x:c>
      <x:c r="O24" s="48" t="inlineStr">
        <x:is>
          <x:t xml:space="preserve">The 2023 reunion email uses “Patti Swick Silva (PJ),” so Rick Lilly is retained only as the spouse shown in 1998.</x:t>
        </x:is>
      </x:c>
    </x:row>
    <x:row r="25" ht="68" customHeight="1">
      <x:c r="A25" s="49" t="inlineStr">
        <x:is>
          <x:t xml:space="preserve">P024</x:t>
        </x:is>
      </x:c>
      <x:c r="B25" s="49" t="inlineStr">
        <x:is>
          <x:t xml:space="preserve">Rick Lilly</x:t>
        </x:is>
      </x:c>
      <x:c r="C25" s="49" t="inlineStr">
        <x:is>
          <x:t xml:space="preserve">Muller / Lee</x:t>
        </x:is>
      </x:c>
      <x:c r="D25" s="49" t="inlineStr">
        <x:is>
          <x:t xml:space="preserve">Historical spouse of Jan first cousin</x:t>
        </x:is>
      </x:c>
      <x:c r="E25" s="49" t="inlineStr">
        <x:is>
          <x:t xml:space="preserve">Cousin-in-law (historical)</x:t>
        </x:is>
      </x:c>
      <x:c r="F25" s="49" t="inlineStr">
        <x:is>
          <x:t xml:space="preserve">Historical spouse of paternal first cousin</x:t>
        </x:is>
      </x:c>
      <x:c r="G25" s="49" t="inlineStr">
        <x:is>
          <x:t xml:space="preserve">Patti Swick</x:t>
        </x:is>
      </x:c>
      <x:c r="H25" s="49" t="n"/>
      <x:c r="I25" s="49" t="n"/>
      <x:c r="J25" s="49" t="inlineStr">
        <x:is>
          <x:t xml:space="preserve">Status not researched</x:t>
        </x:is>
      </x:c>
      <x:c r="K25" s="49" t="inlineStr">
        <x:is>
          <x:t xml:space="preserve">B - Strong</x:t>
        </x:is>
      </x:c>
      <x:c r="L25" s="49" t="inlineStr">
        <x:is>
          <x:t xml:space="preserve"/>
        </x:is>
      </x:c>
      <x:c r="M25" s="49" t="inlineStr">
        <x:is>
          <x:t xml:space="preserve"/>
        </x:is>
      </x:c>
      <x:c r="N25" s="49" t="inlineStr">
        <x:is>
          <x:t xml:space="preserve">S2</x:t>
        </x:is>
      </x:c>
      <x:c r="O25" s="49" t="inlineStr">
        <x:is>
          <x:t xml:space="preserve"/>
        </x:is>
      </x:c>
    </x:row>
    <x:row r="26" ht="68" customHeight="1">
      <x:c r="A26" s="48" t="inlineStr">
        <x:is>
          <x:t xml:space="preserve">P025</x:t>
        </x:is>
      </x:c>
      <x:c r="B26" s="48" t="inlineStr">
        <x:is>
          <x:t xml:space="preserve">Charles Ellsworth McCormick II</x:t>
        </x:is>
      </x:c>
      <x:c r="C26" s="48" t="inlineStr">
        <x:is>
          <x:t xml:space="preserve">McCormick / Slaughter</x:t>
        </x:is>
      </x:c>
      <x:c r="D26" s="48" t="inlineStr">
        <x:is>
          <x:t xml:space="preserve">Great-grandparent anchor</x:t>
        </x:is>
      </x:c>
      <x:c r="E26" s="48" t="inlineStr">
        <x:is>
          <x:t xml:space="preserve">Maternal great-grandfather</x:t>
        </x:is>
      </x:c>
      <x:c r="F26" s="48" t="inlineStr">
        <x:is>
          <x:t xml:space="preserve">Maternal grandfather</x:t>
        </x:is>
      </x:c>
      <x:c r="G26" s="48" t="inlineStr">
        <x:is>
          <x:t xml:space="preserve">Eloise A. Slaughter McCormick</x:t>
        </x:is>
      </x:c>
      <x:c r="H26" s="48" t="n"/>
      <x:c r="I26" s="48" t="inlineStr">
        <x:is>
          <x:t xml:space="preserve">Anne; Philip; Charles; Gwendolyn (“Gwen”)</x:t>
        </x:is>
      </x:c>
      <x:c r="J26" s="48" t="inlineStr">
        <x:is>
          <x:t xml:space="preserve">Deceased</x:t>
        </x:is>
      </x:c>
      <x:c r="K26" s="48" t="inlineStr">
        <x:is>
          <x:t xml:space="preserve">A - Confirmed</x:t>
        </x:is>
      </x:c>
      <x:c r="L26" s="48" t="inlineStr">
        <x:is>
          <x:t xml:space="preserve"/>
        </x:is>
      </x:c>
      <x:c r="M26" s="48" t="inlineStr">
        <x:is>
          <x:t xml:space="preserve"/>
        </x:is>
      </x:c>
      <x:c r="N26" s="48" t="inlineStr">
        <x:is>
          <x:t xml:space="preserve">S1; S25; CF5</x:t>
        </x:is>
      </x:c>
      <x:c r="O26" s="48" t="inlineStr">
        <x:is>
          <x:t xml:space="preserve"/>
        </x:is>
      </x:c>
    </x:row>
    <x:row r="27" ht="68" customHeight="1">
      <x:c r="A27" s="49" t="inlineStr">
        <x:is>
          <x:t xml:space="preserve">P026</x:t>
        </x:is>
      </x:c>
      <x:c r="B27" s="49" t="inlineStr">
        <x:is>
          <x:t xml:space="preserve">Eloise A. Slaughter McCormick</x:t>
        </x:is>
      </x:c>
      <x:c r="C27" s="49" t="inlineStr">
        <x:is>
          <x:t xml:space="preserve">McCormick / Slaughter</x:t>
        </x:is>
      </x:c>
      <x:c r="D27" s="49" t="inlineStr">
        <x:is>
          <x:t xml:space="preserve">Great-grandparent anchor</x:t>
        </x:is>
      </x:c>
      <x:c r="E27" s="49" t="inlineStr">
        <x:is>
          <x:t xml:space="preserve">Maternal great-grandmother</x:t>
        </x:is>
      </x:c>
      <x:c r="F27" s="49" t="inlineStr">
        <x:is>
          <x:t xml:space="preserve">Maternal grandmother</x:t>
        </x:is>
      </x:c>
      <x:c r="G27" s="49" t="inlineStr">
        <x:is>
          <x:t xml:space="preserve">Charles Ellsworth McCormick II</x:t>
        </x:is>
      </x:c>
      <x:c r="H27" s="49" t="n"/>
      <x:c r="I27" s="49" t="inlineStr">
        <x:is>
          <x:t xml:space="preserve">Anne; Philip; Charles; Gwendolyn (“Gwen”)</x:t>
        </x:is>
      </x:c>
      <x:c r="J27" s="49" t="inlineStr">
        <x:is>
          <x:t xml:space="preserve">Deceased</x:t>
        </x:is>
      </x:c>
      <x:c r="K27" s="49" t="inlineStr">
        <x:is>
          <x:t xml:space="preserve">A - Confirmed</x:t>
        </x:is>
      </x:c>
      <x:c r="L27" s="49" t="inlineStr">
        <x:is>
          <x:t xml:space="preserve"/>
        </x:is>
      </x:c>
      <x:c r="M27" s="49" t="inlineStr">
        <x:is>
          <x:t xml:space="preserve"/>
        </x:is>
      </x:c>
      <x:c r="N27" s="49" t="inlineStr">
        <x:is>
          <x:t xml:space="preserve">S1; S8; CF5</x:t>
        </x:is>
      </x:c>
      <x:c r="O27" s="49" t="inlineStr">
        <x:is>
          <x:t xml:space="preserve"/>
        </x:is>
      </x:c>
    </x:row>
    <x:row r="28" ht="68" customHeight="1">
      <x:c r="A28" s="48" t="inlineStr">
        <x:is>
          <x:t xml:space="preserve">P027</x:t>
        </x:is>
      </x:c>
      <x:c r="B28" s="48" t="inlineStr">
        <x:is>
          <x:t xml:space="preserve">Philip Brooks McCormick</x:t>
        </x:is>
      </x:c>
      <x:c r="C28" s="48" t="inlineStr">
        <x:is>
          <x:t xml:space="preserve">McCormick / Slaughter</x:t>
        </x:is>
      </x:c>
      <x:c r="D28" s="48" t="inlineStr">
        <x:is>
          <x:t xml:space="preserve">Anne sibling</x:t>
        </x:is>
      </x:c>
      <x:c r="E28" s="48" t="inlineStr">
        <x:is>
          <x:t xml:space="preserve">Maternal great-uncle</x:t>
        </x:is>
      </x:c>
      <x:c r="F28" s="48" t="inlineStr">
        <x:is>
          <x:t xml:space="preserve">Maternal uncle</x:t>
        </x:is>
      </x:c>
      <x:c r="G28" s="48" t="inlineStr">
        <x:is>
          <x:t xml:space="preserve">Elizabeth “Betsy” Ross McCormick</x:t>
        </x:is>
      </x:c>
      <x:c r="H28" s="48" t="inlineStr">
        <x:is>
          <x:t xml:space="preserve">Charles Ellsworth McCormick II and Eloise A. Slaughter</x:t>
        </x:is>
      </x:c>
      <x:c r="I28" s="48" t="inlineStr">
        <x:is>
          <x:t xml:space="preserve">Sandy; Ross; Tina</x:t>
        </x:is>
      </x:c>
      <x:c r="J28" s="48" t="inlineStr">
        <x:is>
          <x:t xml:space="preserve">Deceased</x:t>
        </x:is>
      </x:c>
      <x:c r="K28" s="48" t="inlineStr">
        <x:is>
          <x:t xml:space="preserve">A - Confirmed</x:t>
        </x:is>
      </x:c>
      <x:c r="L28" s="48" t="inlineStr">
        <x:is>
          <x:t xml:space="preserve">Published obituary/memorial and contemporary engagement notice support identity and marriage.</x:t>
        </x:is>
      </x:c>
      <x:c r="M28" s="48" t="inlineStr">
        <x:is>
          <x:t xml:space="preserve">Jan explicitly identifies Phil as Anne’s brother and Sandy, Ross and Tina as his children.</x:t>
        </x:is>
      </x:c>
      <x:c r="N28" s="48" t="inlineStr">
        <x:is>
          <x:t xml:space="preserve">CF6; P1; P2</x:t>
        </x:is>
      </x:c>
      <x:c r="O28" s="48" t="inlineStr">
        <x:is>
          <x:t xml:space="preserve"/>
        </x:is>
      </x:c>
    </x:row>
    <x:row r="29" ht="68" customHeight="1">
      <x:c r="A29" s="49" t="inlineStr">
        <x:is>
          <x:t xml:space="preserve">P028</x:t>
        </x:is>
      </x:c>
      <x:c r="B29" s="49" t="inlineStr">
        <x:is>
          <x:t xml:space="preserve">Elizabeth “Betsy” Ross McCormick</x:t>
        </x:is>
      </x:c>
      <x:c r="C29" s="49" t="inlineStr">
        <x:is>
          <x:t xml:space="preserve">McCormick / Slaughter</x:t>
        </x:is>
      </x:c>
      <x:c r="D29" s="49" t="inlineStr">
        <x:is>
          <x:t xml:space="preserve">Spouse of Anne sibling</x:t>
        </x:is>
      </x:c>
      <x:c r="E29" s="49" t="inlineStr">
        <x:is>
          <x:t xml:space="preserve">Maternal great-aunt by marriage</x:t>
        </x:is>
      </x:c>
      <x:c r="F29" s="49" t="inlineStr">
        <x:is>
          <x:t xml:space="preserve">Maternal aunt by marriage</x:t>
        </x:is>
      </x:c>
      <x:c r="G29" s="49" t="inlineStr">
        <x:is>
          <x:t xml:space="preserve">Philip Brooks McCormick</x:t>
        </x:is>
      </x:c>
      <x:c r="H29" s="49" t="n"/>
      <x:c r="I29" s="49" t="inlineStr">
        <x:is>
          <x:t xml:space="preserve">Sandy; Ross; Tina</x:t>
        </x:is>
      </x:c>
      <x:c r="J29" s="49" t="inlineStr">
        <x:is>
          <x:t xml:space="preserve">Deceased/status not fully researched</x:t>
        </x:is>
      </x:c>
      <x:c r="K29" s="49" t="inlineStr">
        <x:is>
          <x:t xml:space="preserve">B - Strong</x:t>
        </x:is>
      </x:c>
      <x:c r="L29" s="49" t="inlineStr">
        <x:is>
          <x:t xml:space="preserve">Contemporary engagement notice identifies Betsy Ross and Philip Brooks McCormick.</x:t>
        </x:is>
      </x:c>
      <x:c r="M29" s="49" t="inlineStr">
        <x:is>
          <x:t xml:space="preserve"/>
        </x:is>
      </x:c>
      <x:c r="N29" s="49" t="inlineStr">
        <x:is>
          <x:t xml:space="preserve">P2; CF6</x:t>
        </x:is>
      </x:c>
      <x:c r="O29" s="49" t="inlineStr">
        <x:is>
          <x:t xml:space="preserve"/>
        </x:is>
      </x:c>
    </x:row>
    <x:row r="30" ht="68" customHeight="1">
      <x:c r="A30" s="48" t="inlineStr">
        <x:is>
          <x:t xml:space="preserve">P029</x:t>
        </x:is>
      </x:c>
      <x:c r="B30" s="48" t="inlineStr">
        <x:is>
          <x:t xml:space="preserve">Sandy McCormick Hill</x:t>
        </x:is>
      </x:c>
      <x:c r="C30" s="48" t="inlineStr">
        <x:is>
          <x:t xml:space="preserve">McCormick / Slaughter</x:t>
        </x:is>
      </x:c>
      <x:c r="D30" s="48" t="inlineStr">
        <x:is>
          <x:t xml:space="preserve">Jan first cousin</x:t>
        </x:is>
      </x:c>
      <x:c r="E30" s="48" t="inlineStr">
        <x:is>
          <x:t xml:space="preserve">First cousin once removed</x:t>
        </x:is>
      </x:c>
      <x:c r="F30" s="48" t="inlineStr">
        <x:is>
          <x:t xml:space="preserve">Maternal first cousin</x:t>
        </x:is>
      </x:c>
      <x:c r="G30" s="48" t="inlineStr">
        <x:is>
          <x:t xml:space="preserve">John Hill</x:t>
        </x:is>
      </x:c>
      <x:c r="H30" s="48" t="inlineStr">
        <x:is>
          <x:t xml:space="preserve">Philip Brooks McCormick and Elizabeth “Betsy” Ross</x:t>
        </x:is>
      </x:c>
      <x:c r="I30" s="48" t="n"/>
      <x:c r="J30" s="48" t="inlineStr">
        <x:is>
          <x:t xml:space="preserve">Living</x:t>
        </x:is>
      </x:c>
      <x:c r="K30" s="48" t="inlineStr">
        <x:is>
          <x:t xml:space="preserve">A - Confirmed</x:t>
        </x:is>
      </x:c>
      <x:c r="L30" s="48" t="inlineStr">
        <x:is>
          <x:t xml:space="preserve"/>
        </x:is>
      </x:c>
      <x:c r="M30" s="48" t="inlineStr">
        <x:is>
          <x:t xml:space="preserve"/>
        </x:is>
      </x:c>
      <x:c r="N30" s="48" t="inlineStr">
        <x:is>
          <x:t xml:space="preserve">CF6; CF7</x:t>
        </x:is>
      </x:c>
      <x:c r="O30" s="48" t="inlineStr">
        <x:is>
          <x:t xml:space="preserve"/>
        </x:is>
      </x:c>
    </x:row>
    <x:row r="31" ht="68" customHeight="1">
      <x:c r="A31" s="49" t="inlineStr">
        <x:is>
          <x:t xml:space="preserve">P030</x:t>
        </x:is>
      </x:c>
      <x:c r="B31" s="49" t="inlineStr">
        <x:is>
          <x:t xml:space="preserve">John Hill</x:t>
        </x:is>
      </x:c>
      <x:c r="C31" s="49" t="inlineStr">
        <x:is>
          <x:t xml:space="preserve">McCormick / Slaughter</x:t>
        </x:is>
      </x:c>
      <x:c r="D31" s="49" t="inlineStr">
        <x:is>
          <x:t xml:space="preserve">Spouse of Jan first cousin</x:t>
        </x:is>
      </x:c>
      <x:c r="E31" s="49" t="inlineStr">
        <x:is>
          <x:t xml:space="preserve">Cousin-in-law (1C1R spouse)</x:t>
        </x:is>
      </x:c>
      <x:c r="F31" s="49" t="inlineStr">
        <x:is>
          <x:t xml:space="preserve">Husband of maternal first cousin</x:t>
        </x:is>
      </x:c>
      <x:c r="G31" s="49" t="inlineStr">
        <x:is>
          <x:t xml:space="preserve">Sandy McCormick Hill</x:t>
        </x:is>
      </x:c>
      <x:c r="H31" s="49" t="n"/>
      <x:c r="I31" s="49" t="n"/>
      <x:c r="J31" s="49" t="inlineStr">
        <x:is>
          <x:t xml:space="preserve">Living</x:t>
        </x:is>
      </x:c>
      <x:c r="K31" s="49" t="inlineStr">
        <x:is>
          <x:t xml:space="preserve">A - Confirmed</x:t>
        </x:is>
      </x:c>
      <x:c r="L31" s="49" t="inlineStr">
        <x:is>
          <x:t xml:space="preserve"/>
        </x:is>
      </x:c>
      <x:c r="M31" s="49" t="inlineStr">
        <x:is>
          <x:t xml:space="preserve"/>
        </x:is>
      </x:c>
      <x:c r="N31" s="49" t="inlineStr">
        <x:is>
          <x:t xml:space="preserve">CF7</x:t>
        </x:is>
      </x:c>
      <x:c r="O31" s="49" t="inlineStr">
        <x:is>
          <x:t xml:space="preserve"/>
        </x:is>
      </x:c>
    </x:row>
    <x:row r="32" ht="68" customHeight="1">
      <x:c r="A32" s="48" t="inlineStr">
        <x:is>
          <x:t xml:space="preserve">P031</x:t>
        </x:is>
      </x:c>
      <x:c r="B32" s="48" t="inlineStr">
        <x:is>
          <x:t xml:space="preserve">Ross McCormick</x:t>
        </x:is>
      </x:c>
      <x:c r="C32" s="48" t="inlineStr">
        <x:is>
          <x:t xml:space="preserve">McCormick / Slaughter</x:t>
        </x:is>
      </x:c>
      <x:c r="D32" s="48" t="inlineStr">
        <x:is>
          <x:t xml:space="preserve">Jan first cousin</x:t>
        </x:is>
      </x:c>
      <x:c r="E32" s="48" t="inlineStr">
        <x:is>
          <x:t xml:space="preserve">First cousin once removed</x:t>
        </x:is>
      </x:c>
      <x:c r="F32" s="48" t="inlineStr">
        <x:is>
          <x:t xml:space="preserve">Maternal first cousin</x:t>
        </x:is>
      </x:c>
      <x:c r="G32" s="48" t="inlineStr">
        <x:is>
          <x:t xml:space="preserve">Carrie McCormick</x:t>
        </x:is>
      </x:c>
      <x:c r="H32" s="48" t="inlineStr">
        <x:is>
          <x:t xml:space="preserve">Philip Brooks McCormick and Elizabeth “Betsy” Ross</x:t>
        </x:is>
      </x:c>
      <x:c r="I32" s="48" t="n"/>
      <x:c r="J32" s="48" t="inlineStr">
        <x:is>
          <x:t xml:space="preserve">Living</x:t>
        </x:is>
      </x:c>
      <x:c r="K32" s="48" t="inlineStr">
        <x:is>
          <x:t xml:space="preserve">A - Confirmed</x:t>
        </x:is>
      </x:c>
      <x:c r="L32" s="48" t="inlineStr">
        <x:is>
          <x:t xml:space="preserve"/>
        </x:is>
      </x:c>
      <x:c r="M32" s="48" t="inlineStr">
        <x:is>
          <x:t xml:space="preserve"/>
        </x:is>
      </x:c>
      <x:c r="N32" s="48" t="inlineStr">
        <x:is>
          <x:t xml:space="preserve">CF6; CF7</x:t>
        </x:is>
      </x:c>
      <x:c r="O32" s="48" t="inlineStr">
        <x:is>
          <x:t xml:space="preserve"/>
        </x:is>
      </x:c>
    </x:row>
    <x:row r="33" ht="68" customHeight="1">
      <x:c r="A33" s="49" t="inlineStr">
        <x:is>
          <x:t xml:space="preserve">P032</x:t>
        </x:is>
      </x:c>
      <x:c r="B33" s="49" t="inlineStr">
        <x:is>
          <x:t xml:space="preserve">Carrie McCormick</x:t>
        </x:is>
      </x:c>
      <x:c r="C33" s="49" t="inlineStr">
        <x:is>
          <x:t xml:space="preserve">McCormick / Slaughter</x:t>
        </x:is>
      </x:c>
      <x:c r="D33" s="49" t="inlineStr">
        <x:is>
          <x:t xml:space="preserve">Spouse of Jan first cousin</x:t>
        </x:is>
      </x:c>
      <x:c r="E33" s="49" t="inlineStr">
        <x:is>
          <x:t xml:space="preserve">Cousin-in-law (1C1R spouse)</x:t>
        </x:is>
      </x:c>
      <x:c r="F33" s="49" t="inlineStr">
        <x:is>
          <x:t xml:space="preserve">Wife of maternal first cousin</x:t>
        </x:is>
      </x:c>
      <x:c r="G33" s="49" t="inlineStr">
        <x:is>
          <x:t xml:space="preserve">Ross McCormick</x:t>
        </x:is>
      </x:c>
      <x:c r="H33" s="49" t="n"/>
      <x:c r="I33" s="49" t="n"/>
      <x:c r="J33" s="49" t="inlineStr">
        <x:is>
          <x:t xml:space="preserve">Living</x:t>
        </x:is>
      </x:c>
      <x:c r="K33" s="49" t="inlineStr">
        <x:is>
          <x:t xml:space="preserve">A - Confirmed</x:t>
        </x:is>
      </x:c>
      <x:c r="L33" s="49" t="inlineStr">
        <x:is>
          <x:t xml:space="preserve"/>
        </x:is>
      </x:c>
      <x:c r="M33" s="49" t="inlineStr">
        <x:is>
          <x:t xml:space="preserve"/>
        </x:is>
      </x:c>
      <x:c r="N33" s="49" t="inlineStr">
        <x:is>
          <x:t xml:space="preserve">CF7</x:t>
        </x:is>
      </x:c>
      <x:c r="O33" s="49" t="inlineStr">
        <x:is>
          <x:t xml:space="preserve"/>
        </x:is>
      </x:c>
    </x:row>
    <x:row r="34" ht="68" customHeight="1">
      <x:c r="A34" s="48" t="inlineStr">
        <x:is>
          <x:t xml:space="preserve">P033</x:t>
        </x:is>
      </x:c>
      <x:c r="B34" s="48" t="inlineStr">
        <x:is>
          <x:t xml:space="preserve">Tina McCormick</x:t>
        </x:is>
      </x:c>
      <x:c r="C34" s="48" t="inlineStr">
        <x:is>
          <x:t xml:space="preserve">McCormick / Slaughter</x:t>
        </x:is>
      </x:c>
      <x:c r="D34" s="48" t="inlineStr">
        <x:is>
          <x:t xml:space="preserve">Jan first cousin</x:t>
        </x:is>
      </x:c>
      <x:c r="E34" s="48" t="inlineStr">
        <x:is>
          <x:t xml:space="preserve">First cousin once removed</x:t>
        </x:is>
      </x:c>
      <x:c r="F34" s="48" t="inlineStr">
        <x:is>
          <x:t xml:space="preserve">Maternal first cousin</x:t>
        </x:is>
      </x:c>
      <x:c r="G34" s="48" t="n"/>
      <x:c r="H34" s="48" t="inlineStr">
        <x:is>
          <x:t xml:space="preserve">Philip Brooks McCormick and Elizabeth “Betsy” Ross</x:t>
        </x:is>
      </x:c>
      <x:c r="I34" s="48" t="n"/>
      <x:c r="J34" s="48" t="inlineStr">
        <x:is>
          <x:t xml:space="preserve">Living</x:t>
        </x:is>
      </x:c>
      <x:c r="K34" s="48" t="inlineStr">
        <x:is>
          <x:t xml:space="preserve">A - Confirmed</x:t>
        </x:is>
      </x:c>
      <x:c r="L34" s="48" t="inlineStr">
        <x:is>
          <x:t xml:space="preserve"/>
        </x:is>
      </x:c>
      <x:c r="M34" s="48" t="inlineStr">
        <x:is>
          <x:t xml:space="preserve"/>
        </x:is>
      </x:c>
      <x:c r="N34" s="48" t="inlineStr">
        <x:is>
          <x:t xml:space="preserve">CF6</x:t>
        </x:is>
      </x:c>
      <x:c r="O34" s="48" t="inlineStr">
        <x:is>
          <x:t xml:space="preserve">Some later correspondence uses the surname Weese; the McCormick birth surname is retained here.</x:t>
        </x:is>
      </x:c>
    </x:row>
    <x:row r="35" ht="68" customHeight="1">
      <x:c r="A35" s="49" t="inlineStr">
        <x:is>
          <x:t xml:space="preserve">P034</x:t>
        </x:is>
      </x:c>
      <x:c r="B35" s="49" t="inlineStr">
        <x:is>
          <x:t xml:space="preserve">Charles McCormick (full name not yet independently verified)</x:t>
        </x:is>
      </x:c>
      <x:c r="C35" s="49" t="inlineStr">
        <x:is>
          <x:t xml:space="preserve">McCormick / Slaughter</x:t>
        </x:is>
      </x:c>
      <x:c r="D35" s="49" t="inlineStr">
        <x:is>
          <x:t xml:space="preserve">Anne sibling</x:t>
        </x:is>
      </x:c>
      <x:c r="E35" s="49" t="inlineStr">
        <x:is>
          <x:t xml:space="preserve">Maternal great-uncle</x:t>
        </x:is>
      </x:c>
      <x:c r="F35" s="49" t="inlineStr">
        <x:is>
          <x:t xml:space="preserve">Maternal uncle</x:t>
        </x:is>
      </x:c>
      <x:c r="G35" s="49" t="inlineStr">
        <x:is>
          <x:t xml:space="preserve">Judy McCormick</x:t>
        </x:is>
      </x:c>
      <x:c r="H35" s="49" t="inlineStr">
        <x:is>
          <x:t xml:space="preserve">Charles Ellsworth McCormick II and Eloise A. Slaughter</x:t>
        </x:is>
      </x:c>
      <x:c r="I35" s="49" t="inlineStr">
        <x:is>
          <x:t xml:space="preserve">No children identified in the reviewed public and family records</x:t>
        </x:is>
      </x:c>
      <x:c r="J35" s="49" t="inlineStr">
        <x:is>
          <x:t xml:space="preserve">Deceased</x:t>
        </x:is>
      </x:c>
      <x:c r="K35" s="49" t="inlineStr">
        <x:is>
          <x:t xml:space="preserve">A - Confirmed</x:t>
        </x:is>
      </x:c>
      <x:c r="L35" s="49" t="inlineStr">
        <x:is>
          <x:t xml:space="preserve"/>
        </x:is>
      </x:c>
      <x:c r="M35" s="49" t="inlineStr">
        <x:is>
          <x:t xml:space="preserve"/>
        </x:is>
      </x:c>
      <x:c r="N35" s="49" t="inlineStr">
        <x:is>
          <x:t xml:space="preserve">CF5; CF8</x:t>
        </x:is>
      </x:c>
      <x:c r="O35" s="49" t="inlineStr">
        <x:is>
          <x:t xml:space="preserve">Do not infer “no children” from “none identified.” Exact full name and vital dates remain an open record problem.</x:t>
        </x:is>
      </x:c>
    </x:row>
    <x:row r="36" ht="68" customHeight="1">
      <x:c r="A36" s="48" t="inlineStr">
        <x:is>
          <x:t xml:space="preserve">P035</x:t>
        </x:is>
      </x:c>
      <x:c r="B36" s="48" t="inlineStr">
        <x:is>
          <x:t xml:space="preserve">Judy McCormick</x:t>
        </x:is>
      </x:c>
      <x:c r="C36" s="48" t="inlineStr">
        <x:is>
          <x:t xml:space="preserve">McCormick / Slaughter</x:t>
        </x:is>
      </x:c>
      <x:c r="D36" s="48" t="inlineStr">
        <x:is>
          <x:t xml:space="preserve">Spouse of Anne sibling</x:t>
        </x:is>
      </x:c>
      <x:c r="E36" s="48" t="inlineStr">
        <x:is>
          <x:t xml:space="preserve">Maternal great-aunt by marriage</x:t>
        </x:is>
      </x:c>
      <x:c r="F36" s="48" t="inlineStr">
        <x:is>
          <x:t xml:space="preserve">Maternal aunt by marriage</x:t>
        </x:is>
      </x:c>
      <x:c r="G36" s="48" t="inlineStr">
        <x:is>
          <x:t xml:space="preserve">Charles McCormick</x:t>
        </x:is>
      </x:c>
      <x:c r="H36" s="48" t="n"/>
      <x:c r="I36" s="48" t="inlineStr">
        <x:is>
          <x:t xml:space="preserve">No children identified in the reviewed records</x:t>
        </x:is>
      </x:c>
      <x:c r="J36" s="48" t="inlineStr">
        <x:is>
          <x:t xml:space="preserve">Living/status not researched</x:t>
        </x:is>
      </x:c>
      <x:c r="K36" s="48" t="inlineStr">
        <x:is>
          <x:t xml:space="preserve">A - Confirmed</x:t>
        </x:is>
      </x:c>
      <x:c r="L36" s="48" t="inlineStr">
        <x:is>
          <x:t xml:space="preserve"/>
        </x:is>
      </x:c>
      <x:c r="M36" s="48" t="inlineStr">
        <x:is>
          <x:t xml:space="preserve"/>
        </x:is>
      </x:c>
      <x:c r="N36" s="48" t="inlineStr">
        <x:is>
          <x:t xml:space="preserve">CF7; CF8</x:t>
        </x:is>
      </x:c>
      <x:c r="O36" s="48" t="inlineStr">
        <x:is>
          <x:t xml:space="preserve"/>
        </x:is>
      </x:c>
    </x:row>
    <x:row r="37" ht="68" customHeight="1">
      <x:c r="A37" s="49" t="inlineStr">
        <x:is>
          <x:t xml:space="preserve">P036</x:t>
        </x:is>
      </x:c>
      <x:c r="B37" s="49" t="inlineStr">
        <x:is>
          <x:t xml:space="preserve">Gwendolyn “Gwen” McCormick Hull</x:t>
        </x:is>
      </x:c>
      <x:c r="C37" s="49" t="inlineStr">
        <x:is>
          <x:t xml:space="preserve">McCormick / Slaughter</x:t>
        </x:is>
      </x:c>
      <x:c r="D37" s="49" t="inlineStr">
        <x:is>
          <x:t xml:space="preserve">Anne sibling</x:t>
        </x:is>
      </x:c>
      <x:c r="E37" s="49" t="inlineStr">
        <x:is>
          <x:t xml:space="preserve">Maternal great-aunt</x:t>
        </x:is>
      </x:c>
      <x:c r="F37" s="49" t="inlineStr">
        <x:is>
          <x:t xml:space="preserve">Maternal aunt</x:t>
        </x:is>
      </x:c>
      <x:c r="G37" s="49" t="inlineStr">
        <x:is>
          <x:t xml:space="preserve">Jim Hull</x:t>
        </x:is>
      </x:c>
      <x:c r="H37" s="49" t="inlineStr">
        <x:is>
          <x:t xml:space="preserve">Charles Ellsworth McCormick II and Eloise A. Slaughter</x:t>
        </x:is>
      </x:c>
      <x:c r="I37" s="49" t="inlineStr">
        <x:is>
          <x:t xml:space="preserve">Carey; Mark</x:t>
        </x:is>
      </x:c>
      <x:c r="J37" s="49" t="inlineStr">
        <x:is>
          <x:t xml:space="preserve">Living</x:t>
        </x:is>
      </x:c>
      <x:c r="K37" s="49" t="inlineStr">
        <x:is>
          <x:t xml:space="preserve">A - Confirmed</x:t>
        </x:is>
      </x:c>
      <x:c r="L37" s="49" t="inlineStr">
        <x:is>
          <x:t xml:space="preserve"/>
        </x:is>
      </x:c>
      <x:c r="M37" s="49" t="inlineStr">
        <x:is>
          <x:t xml:space="preserve">Gwen signs family material as “Aunt Gwen”; post-Philip family correspondence identifies her as the remaining original McCormick sibling.</x:t>
        </x:is>
      </x:c>
      <x:c r="N37" s="49" t="inlineStr">
        <x:is>
          <x:t xml:space="preserve">CF5; CF9; CF10</x:t>
        </x:is>
      </x:c>
      <x:c r="O37" s="49" t="inlineStr">
        <x:is>
          <x:t xml:space="preserve">This branch is a core McCormick sibling household and must be displayed coequally with Philip’s and Charles’s branches.</x:t>
        </x:is>
      </x:c>
    </x:row>
    <x:row r="38" ht="68" customHeight="1">
      <x:c r="A38" s="48" t="inlineStr">
        <x:is>
          <x:t xml:space="preserve">P037</x:t>
        </x:is>
      </x:c>
      <x:c r="B38" s="48" t="inlineStr">
        <x:is>
          <x:t xml:space="preserve">Jim Hull</x:t>
        </x:is>
      </x:c>
      <x:c r="C38" s="48" t="inlineStr">
        <x:is>
          <x:t xml:space="preserve">McCormick / Slaughter</x:t>
        </x:is>
      </x:c>
      <x:c r="D38" s="48" t="inlineStr">
        <x:is>
          <x:t xml:space="preserve">Spouse of Anne sibling</x:t>
        </x:is>
      </x:c>
      <x:c r="E38" s="48" t="inlineStr">
        <x:is>
          <x:t xml:space="preserve">Maternal great-uncle by marriage</x:t>
        </x:is>
      </x:c>
      <x:c r="F38" s="48" t="inlineStr">
        <x:is>
          <x:t xml:space="preserve">Maternal uncle by marriage</x:t>
        </x:is>
      </x:c>
      <x:c r="G38" s="48" t="inlineStr">
        <x:is>
          <x:t xml:space="preserve">Gwendolyn “Gwen” McCormick Hull</x:t>
        </x:is>
      </x:c>
      <x:c r="H38" s="48" t="n"/>
      <x:c r="I38" s="48" t="inlineStr">
        <x:is>
          <x:t xml:space="preserve">Carey; Mark</x:t>
        </x:is>
      </x:c>
      <x:c r="J38" s="48" t="inlineStr">
        <x:is>
          <x:t xml:space="preserve">Living</x:t>
        </x:is>
      </x:c>
      <x:c r="K38" s="48" t="inlineStr">
        <x:is>
          <x:t xml:space="preserve">A - Confirmed</x:t>
        </x:is>
      </x:c>
      <x:c r="L38" s="48" t="inlineStr">
        <x:is>
          <x:t xml:space="preserve"/>
        </x:is>
      </x:c>
      <x:c r="M38" s="48" t="inlineStr">
        <x:is>
          <x:t xml:space="preserve"/>
        </x:is>
      </x:c>
      <x:c r="N38" s="48" t="inlineStr">
        <x:is>
          <x:t xml:space="preserve">CF10; CF11</x:t>
        </x:is>
      </x:c>
      <x:c r="O38" s="48" t="inlineStr">
        <x:is>
          <x:t xml:space="preserve"/>
        </x:is>
      </x:c>
    </x:row>
    <x:row r="39" ht="68" customHeight="1">
      <x:c r="A39" s="49" t="inlineStr">
        <x:is>
          <x:t xml:space="preserve">P038</x:t>
        </x:is>
      </x:c>
      <x:c r="B39" s="49" t="inlineStr">
        <x:is>
          <x:t xml:space="preserve">Carey Zaura</x:t>
        </x:is>
      </x:c>
      <x:c r="C39" s="49" t="inlineStr">
        <x:is>
          <x:t xml:space="preserve">McCormick / Slaughter</x:t>
        </x:is>
      </x:c>
      <x:c r="D39" s="49" t="inlineStr">
        <x:is>
          <x:t xml:space="preserve">Jan first cousin</x:t>
        </x:is>
      </x:c>
      <x:c r="E39" s="49" t="inlineStr">
        <x:is>
          <x:t xml:space="preserve">First cousin once removed</x:t>
        </x:is>
      </x:c>
      <x:c r="F39" s="49" t="inlineStr">
        <x:is>
          <x:t xml:space="preserve">Maternal first cousin</x:t>
        </x:is>
      </x:c>
      <x:c r="G39" s="49" t="n"/>
      <x:c r="H39" s="49" t="inlineStr">
        <x:is>
          <x:t xml:space="preserve">Gwendolyn “Gwen” McCormick Hull and Jim Hull</x:t>
        </x:is>
      </x:c>
      <x:c r="I39" s="49" t="n"/>
      <x:c r="J39" s="49" t="inlineStr">
        <x:is>
          <x:t xml:space="preserve">Living</x:t>
        </x:is>
      </x:c>
      <x:c r="K39" s="49" t="inlineStr">
        <x:is>
          <x:t xml:space="preserve">A - Confirmed</x:t>
        </x:is>
      </x:c>
      <x:c r="L39" s="49" t="inlineStr">
        <x:is>
          <x:t xml:space="preserve"/>
        </x:is>
      </x:c>
      <x:c r="M39" s="49" t="inlineStr">
        <x:is>
          <x:t xml:space="preserve">Carey addresses Jim as Dad and explicitly calls herself his “one and only daughter,” asking him to read the message to Mom and Mark.</x:t>
        </x:is>
      </x:c>
      <x:c r="N39" s="49" t="inlineStr">
        <x:is>
          <x:t xml:space="preserve">CF11</x:t>
        </x:is>
      </x:c>
      <x:c r="O39" s="49" t="inlineStr">
        <x:is>
          <x:t xml:space="preserve">Some correspondence uses the email surname Oialucia.</x:t>
        </x:is>
      </x:c>
    </x:row>
    <x:row r="40" ht="68" customHeight="1">
      <x:c r="A40" s="48" t="inlineStr">
        <x:is>
          <x:t xml:space="preserve">P039</x:t>
        </x:is>
      </x:c>
      <x:c r="B40" s="48" t="inlineStr">
        <x:is>
          <x:t xml:space="preserve">Mark Hull</x:t>
        </x:is>
      </x:c>
      <x:c r="C40" s="48" t="inlineStr">
        <x:is>
          <x:t xml:space="preserve">McCormick / Slaughter</x:t>
        </x:is>
      </x:c>
      <x:c r="D40" s="48" t="inlineStr">
        <x:is>
          <x:t xml:space="preserve">Jan first cousin</x:t>
        </x:is>
      </x:c>
      <x:c r="E40" s="48" t="inlineStr">
        <x:is>
          <x:t xml:space="preserve">First cousin once removed</x:t>
        </x:is>
      </x:c>
      <x:c r="F40" s="48" t="inlineStr">
        <x:is>
          <x:t xml:space="preserve">Maternal first cousin</x:t>
        </x:is>
      </x:c>
      <x:c r="G40" s="48" t="n"/>
      <x:c r="H40" s="48" t="inlineStr">
        <x:is>
          <x:t xml:space="preserve">Gwendolyn “Gwen” McCormick Hull and Jim Hull</x:t>
        </x:is>
      </x:c>
      <x:c r="I40" s="48" t="n"/>
      <x:c r="J40" s="48" t="inlineStr">
        <x:is>
          <x:t xml:space="preserve">Living</x:t>
        </x:is>
      </x:c>
      <x:c r="K40" s="48" t="inlineStr">
        <x:is>
          <x:t xml:space="preserve">A - Confirmed</x:t>
        </x:is>
      </x:c>
      <x:c r="L40" s="48" t="inlineStr">
        <x:is>
          <x:t xml:space="preserve"/>
        </x:is>
      </x:c>
      <x:c r="M40" s="48" t="inlineStr">
        <x:is>
          <x:t xml:space="preserve">Gwen and Jim’s family letter is signed “Gwen, Jim and Mark”; Carey’s direct daughter statement distinguishes Mark as the other child in the household.</x:t>
        </x:is>
      </x:c>
      <x:c r="N40" s="48" t="inlineStr">
        <x:is>
          <x:t xml:space="preserve">CF10; CF11</x:t>
        </x:is>
      </x:c>
      <x:c r="O40" s="48" t="inlineStr">
        <x:is>
          <x:t xml:space="preserve"/>
        </x:is>
      </x:c>
    </x:row>
  </x:sheetData>
  <x:pageMargins left="0.7" right="0.7" top="0.75" bottom="0.75" header="0.3" footer="0.3"/>
  <x:tableParts count="1">
    <x:tablePart xmlns:r="http://schemas.openxmlformats.org/officeDocument/2006/relationships" r:id="Rf6347d2ba7654fbf"/>
  </x:tableParts>
</x:worksheet>
</file>

<file path=xl/worksheets/sheet5.xml><?xml version="1.0" encoding="utf-8"?>
<x:worksheet xmlns:x="http://schemas.openxmlformats.org/spreadsheetml/2006/main">
  <x:sheetFormatPr baseColWidth="8" defaultRowHeight="15"/>
  <x:cols>
    <x:col min="1" max="1" width="40" customWidth="1"/>
    <x:col min="2" max="2" width="23" customWidth="1"/>
    <x:col min="3" max="3" width="45" customWidth="1"/>
    <x:col min="4" max="4" width="55" customWidth="1"/>
    <x:col min="5" max="5" width="25" customWidth="1"/>
    <x:col min="6" max="6" width="22" customWidth="1"/>
    <x:col min="7" max="7" width="65" customWidth="1"/>
  </x:cols>
  <x:sheetData>
    <x:row r="1" ht="34" customHeight="1">
      <x:c r="A1" s="47" t="inlineStr">
        <x:is>
          <x:t xml:space="preserve">Household</x:t>
        </x:is>
      </x:c>
      <x:c r="B1" s="47" t="inlineStr">
        <x:is>
          <x:t xml:space="preserve">Branch</x:t>
        </x:is>
      </x:c>
      <x:c r="C1" s="47" t="inlineStr">
        <x:is>
          <x:t xml:space="preserve">Children at bounded generation</x:t>
        </x:is>
      </x:c>
      <x:c r="D1" s="47" t="inlineStr">
        <x:is>
          <x:t xml:space="preserve">Audit result</x:t>
        </x:is>
      </x:c>
      <x:c r="E1" s="47" t="inlineStr">
        <x:is>
          <x:t xml:space="preserve">Confidence</x:t>
        </x:is>
      </x:c>
      <x:c r="F1" s="47" t="inlineStr">
        <x:is>
          <x:t xml:space="preserve">Source IDs</x:t>
        </x:is>
      </x:c>
      <x:c r="G1" s="47" t="inlineStr">
        <x:is>
          <x:t xml:space="preserve">Remaining record problem</x:t>
        </x:is>
      </x:c>
    </x:row>
    <x:row r="2" ht="70" customHeight="1">
      <x:c r="A2" s="48" t="inlineStr">
        <x:is>
          <x:t xml:space="preserve">Arthur Herman Muller + Elma Anna Lee</x:t>
        </x:is>
      </x:c>
      <x:c r="B2" s="48" t="inlineStr">
        <x:is>
          <x:t xml:space="preserve">Muller / Lee</x:t>
        </x:is>
      </x:c>
      <x:c r="C2" s="48" t="inlineStr">
        <x:is>
          <x:t xml:space="preserve">Mary Gene Muller; Jane Muller; Arthur John “Art” Muller</x:t>
        </x:is>
      </x:c>
      <x:c r="D2" s="48" t="inlineStr">
        <x:is>
          <x:t xml:space="preserve">Complete sibling set used for this bounded extension.</x:t>
        </x:is>
      </x:c>
      <x:c r="E2" s="48" t="inlineStr">
        <x:is>
          <x:t xml:space="preserve">A - Confirmed</x:t>
        </x:is>
      </x:c>
      <x:c r="F2" s="48" t="inlineStr">
        <x:is>
          <x:t xml:space="preserve">S2; S3; S24</x:t>
        </x:is>
      </x:c>
      <x:c r="G2" s="48" t="inlineStr">
        <x:is>
          <x:t xml:space="preserve">Locate original census/obituary copies for a fully record-cited household reconstruction.</x:t>
        </x:is>
      </x:c>
    </x:row>
    <x:row r="3" ht="70" customHeight="1">
      <x:c r="A3" s="49" t="inlineStr">
        <x:is>
          <x:t xml:space="preserve">Mary Gene Muller + James Chaffee</x:t>
        </x:is>
      </x:c>
      <x:c r="B3" s="49" t="inlineStr">
        <x:is>
          <x:t xml:space="preserve">Muller / Lee</x:t>
        </x:is>
      </x:c>
      <x:c r="C3" s="49" t="inlineStr">
        <x:is>
          <x:t xml:space="preserve">Linda Chaffee; Lori Chaffee Mettler; James Chaffee</x:t>
        </x:is>
      </x:c>
      <x:c r="D3" s="49" t="inlineStr">
        <x:is>
          <x:t xml:space="preserve">Corrected child set. “James,” not “Janet.”</x:t>
        </x:is>
      </x:c>
      <x:c r="E3" s="49" t="inlineStr">
        <x:is>
          <x:t xml:space="preserve">A - Confirmed / chart-led</x:t>
        </x:is>
      </x:c>
      <x:c r="F3" s="49" t="inlineStr">
        <x:is>
          <x:t xml:space="preserve">S2; CF3</x:t>
        </x:is>
      </x:c>
      <x:c r="G3" s="49" t="inlineStr">
        <x:is>
          <x:t xml:space="preserve">Obtain a public obituary or census household image to corroborate all three children independently.</x:t>
        </x:is>
      </x:c>
    </x:row>
    <x:row r="4" ht="70" customHeight="1">
      <x:c r="A4" s="48" t="inlineStr">
        <x:is>
          <x:t xml:space="preserve">Jane Muller + Howard Swick</x:t>
        </x:is>
      </x:c>
      <x:c r="B4" s="48" t="inlineStr">
        <x:is>
          <x:t xml:space="preserve">Muller / Lee</x:t>
        </x:is>
      </x:c>
      <x:c r="C4" s="48" t="inlineStr">
        <x:is>
          <x:t xml:space="preserve">Kathy; John; Susan “Sue”; Patti</x:t>
        </x:is>
      </x:c>
      <x:c r="D4" s="48" t="inlineStr">
        <x:is>
          <x:t xml:space="preserve">Complete child set at the requested generation. Their children are second cousins to Fredric and intentionally excluded.</x:t>
        </x:is>
      </x:c>
      <x:c r="E4" s="48" t="inlineStr">
        <x:is>
          <x:t xml:space="preserve">A - Confirmed / chart plus contemporary corroboration</x:t>
        </x:is>
      </x:c>
      <x:c r="F4" s="48" t="inlineStr">
        <x:is>
          <x:t xml:space="preserve">S2; CF4</x:t>
        </x:is>
      </x:c>
      <x:c r="G4" s="48" t="inlineStr">
        <x:is>
          <x:t xml:space="preserve">Verify Celeste’s surname and Patti’s later marital chronology.</x:t>
        </x:is>
      </x:c>
    </x:row>
    <x:row r="5" ht="70" customHeight="1">
      <x:c r="A5" s="49" t="inlineStr">
        <x:is>
          <x:t xml:space="preserve">Arthur John “Art” Muller + Anne Rives McCormick</x:t>
        </x:is>
      </x:c>
      <x:c r="B5" s="49" t="inlineStr">
        <x:is>
          <x:t xml:space="preserve">Immediate maternal</x:t>
        </x:is>
      </x:c>
      <x:c r="C5" s="49" t="inlineStr">
        <x:is>
          <x:t xml:space="preserve">Bruce Muller; Jan Muller Vollmer</x:t>
        </x:is>
      </x:c>
      <x:c r="D5" s="49" t="inlineStr">
        <x:is>
          <x:t xml:space="preserve">Jan has one documented sibling, Bruce. No children of Bruce were located in the reviewed sources.</x:t>
        </x:is>
      </x:c>
      <x:c r="E5" s="49" t="inlineStr">
        <x:is>
          <x:t xml:space="preserve">A - Confirmed</x:t>
        </x:is>
      </x:c>
      <x:c r="F5" s="49" t="inlineStr">
        <x:is>
          <x:t xml:space="preserve">S2; CF2</x:t>
        </x:is>
      </x:c>
      <x:c r="G5" s="49" t="inlineStr">
        <x:is>
          <x:t xml:space="preserve">A negative finding is not proof Bruce had no descendants; obituary/probate records would settle this.</x:t>
        </x:is>
      </x:c>
    </x:row>
    <x:row r="6" ht="70" customHeight="1">
      <x:c r="A6" s="48" t="inlineStr">
        <x:is>
          <x:t xml:space="preserve">Charles Ellsworth McCormick II + Eloise A. Slaughter</x:t>
        </x:is>
      </x:c>
      <x:c r="B6" s="48" t="inlineStr">
        <x:is>
          <x:t xml:space="preserve">McCormick / Slaughter</x:t>
        </x:is>
      </x:c>
      <x:c r="C6" s="48" t="inlineStr">
        <x:is>
          <x:t xml:space="preserve">Anne Rives; Philip Brooks; Charles; Gwendolyn “Gwen”</x:t>
        </x:is>
      </x:c>
      <x:c r="D6" s="48" t="inlineStr">
        <x:is>
          <x:t xml:space="preserve">Four-child sibling set. Gwen is a core sibling, not a peripheral correspondent.</x:t>
        </x:is>
      </x:c>
      <x:c r="E6" s="48" t="inlineStr">
        <x:is>
          <x:t xml:space="preserve">A - Confirmed</x:t>
        </x:is>
      </x:c>
      <x:c r="F6" s="48" t="inlineStr">
        <x:is>
          <x:t xml:space="preserve">S1; S8; S25; CF5; CF6; CF9</x:t>
        </x:is>
      </x:c>
      <x:c r="G6" s="48" t="inlineStr">
        <x:is>
          <x:t xml:space="preserve">Locate one public obituary or census source that names all four children in one record.</x:t>
        </x:is>
      </x:c>
    </x:row>
    <x:row r="7" ht="70" customHeight="1">
      <x:c r="A7" s="49" t="inlineStr">
        <x:is>
          <x:t xml:space="preserve">Philip Brooks McCormick + Elizabeth “Betsy” Ross</x:t>
        </x:is>
      </x:c>
      <x:c r="B7" s="49" t="inlineStr">
        <x:is>
          <x:t xml:space="preserve">McCormick / Slaughter</x:t>
        </x:is>
      </x:c>
      <x:c r="C7" s="49" t="inlineStr">
        <x:is>
          <x:t xml:space="preserve">Sandy McCormick Hill; Ross McCormick; Tina McCormick</x:t>
        </x:is>
      </x:c>
      <x:c r="D7" s="49" t="inlineStr">
        <x:is>
          <x:t xml:space="preserve">Complete child set at requested generation.</x:t>
        </x:is>
      </x:c>
      <x:c r="E7" s="49" t="inlineStr">
        <x:is>
          <x:t xml:space="preserve">A - Confirmed</x:t>
        </x:is>
      </x:c>
      <x:c r="F7" s="49" t="inlineStr">
        <x:is>
          <x:t xml:space="preserve">CF6; P1; P2</x:t>
        </x:is>
      </x:c>
      <x:c r="G7" s="49" t="inlineStr">
        <x:is>
          <x:t xml:space="preserve">Living descendants beyond this generation intentionally excluded.</x:t>
        </x:is>
      </x:c>
    </x:row>
    <x:row r="8" ht="70" customHeight="1">
      <x:c r="A8" s="48" t="inlineStr">
        <x:is>
          <x:t xml:space="preserve">Charles McCormick + Judy McCormick</x:t>
        </x:is>
      </x:c>
      <x:c r="B8" s="48" t="inlineStr">
        <x:is>
          <x:t xml:space="preserve">McCormick / Slaughter</x:t>
        </x:is>
      </x:c>
      <x:c r="C8" s="48" t="inlineStr">
        <x:is>
          <x:t xml:space="preserve">No children identified</x:t>
        </x:is>
      </x:c>
      <x:c r="D8" s="48" t="inlineStr">
        <x:is>
          <x:t xml:space="preserve">Couple included. No child is asserted or excluded without an obituary/probate source.</x:t>
        </x:is>
      </x:c>
      <x:c r="E8" s="48" t="inlineStr">
        <x:is>
          <x:t xml:space="preserve">A for couple; unresolved for descendants</x:t>
        </x:is>
      </x:c>
      <x:c r="F8" s="48" t="inlineStr">
        <x:is>
          <x:t xml:space="preserve">CF7; CF8</x:t>
        </x:is>
      </x:c>
      <x:c r="G8" s="48" t="inlineStr">
        <x:is>
          <x:t xml:space="preserve">Resolve Charles’s full name, vital dates, obituary and any descendants.</x:t>
        </x:is>
      </x:c>
    </x:row>
    <x:row r="9" ht="70" customHeight="1">
      <x:c r="A9" s="49" t="inlineStr">
        <x:is>
          <x:t xml:space="preserve">Gwendolyn “Gwen” McCormick + Jim Hull</x:t>
        </x:is>
      </x:c>
      <x:c r="B9" s="49" t="inlineStr">
        <x:is>
          <x:t xml:space="preserve">McCormick / Slaughter</x:t>
        </x:is>
      </x:c>
      <x:c r="C9" s="49" t="inlineStr">
        <x:is>
          <x:t xml:space="preserve">Carey Zaura; Mark Hull</x:t>
        </x:is>
      </x:c>
      <x:c r="D9" s="49" t="inlineStr">
        <x:is>
          <x:t xml:space="preserve">Complete two-child household at requested generation; Carey is the one and only daughter.</x:t>
        </x:is>
      </x:c>
      <x:c r="E9" s="49" t="inlineStr">
        <x:is>
          <x:t xml:space="preserve">A - Confirmed</x:t>
        </x:is>
      </x:c>
      <x:c r="F9" s="49" t="inlineStr">
        <x:is>
          <x:t xml:space="preserve">CF9; CF10; CF11</x:t>
        </x:is>
      </x:c>
      <x:c r="G9" s="49" t="inlineStr">
        <x:is>
          <x:t xml:space="preserve">Living dates omitted by design.</x:t>
        </x:is>
      </x:c>
    </x:row>
  </x:sheetData>
  <x:pageMargins left="0.7" right="0.7" top="0.75" bottom="0.75" header="0.3" footer="0.3"/>
  <x:tableParts count="1">
    <x:tablePart xmlns:r="http://schemas.openxmlformats.org/officeDocument/2006/relationships" r:id="Rfb7f3fd742064bed"/>
  </x:tableParts>
</x:worksheet>
</file>

<file path=xl/worksheets/sheet6.xml><?xml version="1.0" encoding="utf-8"?>
<x:worksheet xmlns:x="http://schemas.openxmlformats.org/spreadsheetml/2006/main">
  <x:sheetFormatPr baseColWidth="8" defaultRowHeight="15"/>
  <x:cols>
    <x:col min="1" max="1" width="28" customWidth="1"/>
    <x:col min="2" max="2" width="57" customWidth="1"/>
    <x:col min="3" max="3" width="68" customWidth="1"/>
    <x:col min="4" max="4" width="24" customWidth="1"/>
  </x:cols>
  <x:sheetData>
    <x:row r="1" ht="34" customHeight="1">
      <x:c r="A1" s="47" t="inlineStr">
        <x:is>
          <x:t xml:space="preserve">Topic</x:t>
        </x:is>
      </x:c>
      <x:c r="B1" s="47" t="inlineStr">
        <x:is>
          <x:t xml:space="preserve">Earlier treatment</x:t>
        </x:is>
      </x:c>
      <x:c r="C1" s="47" t="inlineStr">
        <x:is>
          <x:t xml:space="preserve">Corrected treatment</x:t>
        </x:is>
      </x:c>
      <x:c r="D1" s="47" t="inlineStr">
        <x:is>
          <x:t xml:space="preserve">Correction type</x:t>
        </x:is>
      </x:c>
    </x:row>
    <x:row r="2" ht="62" customHeight="1">
      <x:c r="A2" s="48" t="inlineStr">
        <x:is>
          <x:t xml:space="preserve">Gwen branch prominence</x:t>
        </x:is>
      </x:c>
      <x:c r="B2" s="48" t="inlineStr">
        <x:is>
          <x:t xml:space="preserve">Earlier edition treated Gwen’s household as secondary/provisional.</x:t>
        </x:is>
      </x:c>
      <x:c r="C2" s="48" t="inlineStr">
        <x:is>
          <x:t xml:space="preserve">Gwen is displayed as one of the four children of Charles II and Eloise, coequal with Anne, Philip and Charles.</x:t>
        </x:is>
      </x:c>
      <x:c r="D2" s="48" t="inlineStr">
        <x:is>
          <x:t xml:space="preserve">Structural correction</x:t>
        </x:is>
      </x:c>
    </x:row>
    <x:row r="3" ht="62" customHeight="1">
      <x:c r="A3" s="49" t="inlineStr">
        <x:is>
          <x:t xml:space="preserve">Carey and Mark parentage</x:t>
        </x:is>
      </x:c>
      <x:c r="B3" s="49" t="inlineStr">
        <x:is>
          <x:t xml:space="preserve">Earlier edition used broad family-email grouping.</x:t>
        </x:is>
      </x:c>
      <x:c r="C3" s="49" t="inlineStr">
        <x:is>
          <x:t xml:space="preserve">Carey’s direct statement that she is Jim’s one and only daughter, plus the Gwen/Jim/Mark family letter, supports Carey and Mark as the two children.</x:t>
        </x:is>
      </x:c>
      <x:c r="D3" s="49" t="inlineStr">
        <x:is>
          <x:t xml:space="preserve">Evidence upgrade</x:t>
        </x:is>
      </x:c>
    </x:row>
    <x:row r="4" ht="62" customHeight="1">
      <x:c r="A4" s="48" t="inlineStr">
        <x:is>
          <x:t xml:space="preserve">Chaffee child name</x:t>
        </x:is>
      </x:c>
      <x:c r="B4" s="48" t="inlineStr">
        <x:is>
          <x:t xml:space="preserve">Earlier edition listed “Janet Chaffee.”</x:t>
        </x:is>
      </x:c>
      <x:c r="C4" s="48" t="inlineStr">
        <x:is>
          <x:t xml:space="preserve">The chart name is James Chaffee. Janet is removed everywhere.</x:t>
        </x:is>
      </x:c>
      <x:c r="D4" s="48" t="inlineStr">
        <x:is>
          <x:t xml:space="preserve">Transcription correction</x:t>
        </x:is>
      </x:c>
    </x:row>
    <x:row r="5" ht="62" customHeight="1">
      <x:c r="A5" s="49" t="inlineStr">
        <x:is>
          <x:t xml:space="preserve">Relationship terminology</x:t>
        </x:is>
      </x:c>
      <x:c r="B5" s="49" t="inlineStr">
        <x:is>
          <x:t xml:space="preserve">Earlier narrative risked calling Jan’s cousins Fredric’s first cousins.</x:t>
        </x:is>
      </x:c>
      <x:c r="C5" s="49" t="inlineStr">
        <x:is>
          <x:t xml:space="preserve">They are Fredric’s first cousins once removed. Fredric has no identified maternal first cousins through Bruce in the reviewed evidence.</x:t>
        </x:is>
      </x:c>
      <x:c r="D5" s="49" t="inlineStr">
        <x:is>
          <x:t xml:space="preserve">Kinship correction</x:t>
        </x:is>
      </x:c>
    </x:row>
    <x:row r="6" ht="62" customHeight="1">
      <x:c r="A6" s="48" t="inlineStr">
        <x:is>
          <x:t xml:space="preserve">Negative evidence</x:t>
        </x:is>
      </x:c>
      <x:c r="B6" s="48" t="inlineStr">
        <x:is>
          <x:t xml:space="preserve">Earlier wording could be read as saying Bruce or Charles had no children.</x:t>
        </x:is>
      </x:c>
      <x:c r="C6" s="48" t="inlineStr">
        <x:is>
          <x:t xml:space="preserve">Now says “no children identified/located,” explicitly distinguishing absence of evidence from evidence of absence.</x:t>
        </x:is>
      </x:c>
      <x:c r="D6" s="48" t="inlineStr">
        <x:is>
          <x:t xml:space="preserve">Method correction</x:t>
        </x:is>
      </x:c>
    </x:row>
    <x:row r="7" ht="62" customHeight="1">
      <x:c r="A7" s="49" t="inlineStr">
        <x:is>
          <x:t xml:space="preserve">Email weighting</x:t>
        </x:is>
      </x:c>
      <x:c r="B7" s="49" t="inlineStr">
        <x:is>
          <x:t xml:space="preserve">Earlier extension discovered and inferred relationships mainly through email frequency and recipient lists.</x:t>
        </x:is>
      </x:c>
      <x:c r="C7" s="49" t="inlineStr">
        <x:is>
          <x:t xml:space="preserve">Households are reconstructed from parent couples downward; the 1998 chart, public records and direct statements outrank recipient-list inference.</x:t>
        </x:is>
      </x:c>
      <x:c r="D7" s="49" t="inlineStr">
        <x:is>
          <x:t xml:space="preserve">Method correction</x:t>
        </x:is>
      </x:c>
    </x:row>
    <x:row r="8" ht="62" customHeight="1">
      <x:c r="A8" s="48" t="inlineStr">
        <x:is>
          <x:t xml:space="preserve">Scope/cardinality</x:t>
        </x:is>
      </x:c>
      <x:c r="B8" s="48" t="inlineStr">
        <x:is>
          <x:t xml:space="preserve">Earlier scope was not explicit enough.</x:t>
        </x:is>
      </x:c>
      <x:c r="C8" s="48" t="inlineStr">
        <x:is>
          <x:t xml:space="preserve">Includes Fredric’s immediate maternal collateral family and Jan’s aunts/uncles and first cousins on both parental branches. Descendants of Jan’s cousins are excluded.</x:t>
        </x:is>
      </x:c>
      <x:c r="D8" s="48" t="inlineStr">
        <x:is>
          <x:t xml:space="preserve">Scope correction</x:t>
        </x:is>
      </x:c>
    </x:row>
  </x:sheetData>
  <x:pageMargins left="0.7" right="0.7" top="0.75" bottom="0.75" header="0.3" footer="0.3"/>
  <x:tableParts count="1">
    <x:tablePart xmlns:r="http://schemas.openxmlformats.org/officeDocument/2006/relationships" r:id="Rba4786c32c104d67"/>
  </x:tableParts>
</x:worksheet>
</file>

<file path=xl/worksheets/sheet7.xml><?xml version="1.0" encoding="utf-8"?>
<x:worksheet xmlns:x="http://schemas.openxmlformats.org/spreadsheetml/2006/main">
  <x:sheetFormatPr baseColWidth="8" defaultRowHeight="15"/>
  <x:cols>
    <x:col min="1" max="1" width="10" customWidth="1"/>
    <x:col min="2" max="2" width="28" customWidth="1"/>
    <x:col min="3" max="3" width="42" customWidth="1"/>
    <x:col min="4" max="4" width="55" customWidth="1"/>
    <x:col min="5" max="5" width="42" customWidth="1"/>
  </x:cols>
  <x:sheetData>
    <x:row r="1">
      <x:c r="A1" s="50" t="inlineStr">
        <x:is>
          <x:t xml:space="preserve">Priority</x:t>
        </x:is>
      </x:c>
      <x:c r="B1" s="50" t="inlineStr">
        <x:is>
          <x:t xml:space="preserve">Branch / person</x:t>
        </x:is>
      </x:c>
      <x:c r="C1" s="50" t="inlineStr">
        <x:is>
          <x:t xml:space="preserve">Open question</x:t>
        </x:is>
      </x:c>
      <x:c r="D1" s="50" t="inlineStr">
        <x:is>
          <x:t xml:space="preserve">Best next record or action</x:t>
        </x:is>
      </x:c>
      <x:c r="E1" s="50" t="inlineStr">
        <x:is>
          <x:t xml:space="preserve">Why it matters</x:t>
        </x:is>
      </x:c>
    </x:row>
    <x:row r="2">
      <x:c r="A2" s="39" t="inlineStr">
        <x:is>
          <x:t xml:space="preserve">High</x:t>
        </x:is>
      </x:c>
      <x:c r="B2" s="39" t="inlineStr">
        <x:is>
          <x:t xml:space="preserve">Christian August Vollrath Muller</x:t>
        </x:is>
      </x:c>
      <x:c r="C2" s="39" t="inlineStr">
        <x:is>
          <x:t xml:space="preserve">Prove parents Lorenz Muller and Pauline Vollrath</x:t>
        </x:is>
      </x:c>
      <x:c r="D2" s="39" t="inlineStr">
        <x:is>
          <x:t xml:space="preserve">Naturalization, marriage, German civil/church records</x:t>
        </x:is>
      </x:c>
      <x:c r="E2" s="39" t="inlineStr">
        <x:is>
          <x:t xml:space="preserve">Converts the 1998 family chart into a documented immigrant chain</x:t>
        </x:is>
      </x:c>
    </x:row>
    <x:row r="3">
      <x:c r="A3" s="39" t="inlineStr">
        <x:is>
          <x:t xml:space="preserve">High</x:t>
        </x:is>
      </x:c>
      <x:c r="B3" s="39" t="inlineStr">
        <x:is>
          <x:t xml:space="preserve">Mary Wilhelmina Ohmer</x:t>
        </x:is>
      </x:c>
      <x:c r="C3" s="39" t="inlineStr">
        <x:is>
          <x:t xml:space="preserve">Identify her parents</x:t>
        </x:is>
      </x:c>
      <x:c r="D3" s="39" t="inlineStr">
        <x:is>
          <x:t xml:space="preserve">Elma’s birth record; Mary’s marriage/death records; Michigan church records</x:t>
        </x:is>
      </x:c>
      <x:c r="E3" s="39" t="inlineStr">
        <x:is>
          <x:t xml:space="preserve">Opens an entirely untraced maternal great-great-grandmother line</x:t>
        </x:is>
      </x:c>
    </x:row>
    <x:row r="4">
      <x:c r="A4" s="39" t="inlineStr">
        <x:is>
          <x:t xml:space="preserve">High</x:t>
        </x:is>
      </x:c>
      <x:c r="B4" s="39" t="inlineStr">
        <x:is>
          <x:t xml:space="preserve">Mary P. “Mollie” Moore</x:t>
        </x:is>
      </x:c>
      <x:c r="C4" s="39" t="inlineStr">
        <x:is>
          <x:t xml:space="preserve">Identify the Moore family at Mound Grove</x:t>
        </x:is>
      </x:c>
      <x:c r="D4" s="39" t="inlineStr">
        <x:is>
          <x:t xml:space="preserve">Arkansas Post land, probate, census, church, and plantation papers</x:t>
        </x:is>
      </x:c>
      <x:c r="E4" s="39" t="inlineStr">
        <x:is>
          <x:t xml:space="preserve">Her parentage is the largest recent-generation gap on the Brooks branch</x:t>
        </x:is>
      </x:c>
    </x:row>
    <x:row r="5">
      <x:c r="A5" s="39" t="inlineStr">
        <x:is>
          <x:t xml:space="preserve">High</x:t>
        </x:is>
      </x:c>
      <x:c r="B5" s="39" t="inlineStr">
        <x:is>
          <x:t xml:space="preserve">Solomon Neal Brooks</x:t>
        </x:is>
      </x:c>
      <x:c r="C5" s="39" t="inlineStr">
        <x:is>
          <x:t xml:space="preserve">Resolve his mother’s identity</x:t>
        </x:is>
      </x:c>
      <x:c r="D5" s="39" t="inlineStr">
        <x:is>
          <x:t xml:space="preserve">Compare Joseph A. Brooks marriage chronology, will, guardianships, and county biography</x:t>
        </x:is>
      </x:c>
      <x:c r="E5" s="39" t="inlineStr">
        <x:is>
          <x:t xml:space="preserve">Current sources conflict among Rebecca, “Miss Miles,” and Cordelia Standiford</x:t>
        </x:is>
      </x:c>
    </x:row>
    <x:row r="6">
      <x:c r="A6" s="39" t="inlineStr">
        <x:is>
          <x:t xml:space="preserve">High</x:t>
        </x:is>
      </x:c>
      <x:c r="B6" s="39" t="inlineStr">
        <x:is>
          <x:t xml:space="preserve">Rives immigrant generation</x:t>
        </x:is>
      </x:c>
      <x:c r="C6" s="39" t="inlineStr">
        <x:is>
          <x:t xml:space="preserve">Test c.1636 Oxfordshire claim</x:t>
        </x:is>
      </x:c>
      <x:c r="D6" s="39" t="inlineStr">
        <x:is>
          <x:t xml:space="preserve">Virginia headrights, land, probate, court records, and English parish work</x:t>
        </x:is>
      </x:c>
      <x:c r="E6" s="39" t="inlineStr">
        <x:is>
          <x:t xml:space="preserve">Prevents a traditional lineage from being presented as proved</x:t>
        </x:is>
      </x:c>
    </x:row>
    <x:row r="7">
      <x:c r="A7" s="39" t="inlineStr">
        <x:is>
          <x:t xml:space="preserve">High</x:t>
        </x:is>
      </x:c>
      <x:c r="B7" s="39" t="inlineStr">
        <x:is>
          <x:t xml:space="preserve">Mathieu Agee</x:t>
        </x:is>
      </x:c>
      <x:c r="C7" s="39" t="inlineStr">
        <x:is>
          <x:t xml:space="preserve">Test Anthony Agee/Judith Chastain parentage</x:t>
        </x:is>
      </x:c>
      <x:c r="D7" s="39" t="inlineStr">
        <x:is>
          <x:t xml:space="preserve">French Protestant registers and contemporary migration/land records</x:t>
        </x:is>
      </x:c>
      <x:c r="E7" s="39" t="inlineStr">
        <x:is>
          <x:t xml:space="preserve">The claimed French parentage is traditional, not demonstrated</x:t>
        </x:is>
      </x:c>
    </x:row>
    <x:row r="8">
      <x:c r="A8" s="39" t="inlineStr">
        <x:is>
          <x:t xml:space="preserve">Medium</x:t>
        </x:is>
      </x:c>
      <x:c r="B8" s="39" t="inlineStr">
        <x:is>
          <x:t xml:space="preserve">Charles and Elizabeth McCormick</x:t>
        </x:is>
      </x:c>
      <x:c r="C8" s="39" t="inlineStr">
        <x:is>
          <x:t xml:space="preserve">Identify their parents and Elizabeth’s maiden name</x:t>
        </x:is>
      </x:c>
      <x:c r="D8" s="39" t="inlineStr">
        <x:is>
          <x:t xml:space="preserve">Bullitt County marriage, probate, tax, land, and forge records</x:t>
        </x:is>
      </x:c>
      <x:c r="E8" s="39" t="inlineStr">
        <x:is>
          <x:t xml:space="preserve">Extends the core McCormick surname branch</x:t>
        </x:is>
      </x:c>
    </x:row>
    <x:row r="9">
      <x:c r="A9" s="39" t="inlineStr">
        <x:is>
          <x:t xml:space="preserve">Medium</x:t>
        </x:is>
      </x:c>
      <x:c r="B9" s="39" t="inlineStr">
        <x:is>
          <x:t xml:space="preserve">Sophronia Simmons</x:t>
        </x:is>
      </x:c>
      <x:c r="C9" s="39" t="inlineStr">
        <x:is>
          <x:t xml:space="preserve">Identify parents</x:t>
        </x:is>
      </x:c>
      <x:c r="D9" s="39" t="inlineStr">
        <x:is>
          <x:t xml:space="preserve">Marriage bond, probate, land adjacency, and Simmons household reconstruction</x:t>
        </x:is>
      </x:c>
      <x:c r="E9" s="39" t="inlineStr">
        <x:is>
          <x:t xml:space="preserve">Nearby households are suggestive but unproved</x:t>
        </x:is>
      </x:c>
    </x:row>
    <x:row r="10">
      <x:c r="A10" s="39" t="inlineStr">
        <x:is>
          <x:t xml:space="preserve">Medium</x:t>
        </x:is>
      </x:c>
      <x:c r="B10" s="39" t="inlineStr">
        <x:is>
          <x:t xml:space="preserve">Sarah M. Willitts</x:t>
        </x:is>
      </x:c>
      <x:c r="C10" s="39" t="inlineStr">
        <x:is>
          <x:t xml:space="preserve">Identify parents</x:t>
        </x:is>
      </x:c>
      <x:c r="D10" s="39" t="inlineStr">
        <x:is>
          <x:t xml:space="preserve">1849 marriage record, cemetery and death records, Oakland County histories</x:t>
        </x:is>
      </x:c>
      <x:c r="E10" s="39" t="inlineStr">
        <x:is>
          <x:t xml:space="preserve">The Lee pedigree currently stops on her side</x:t>
        </x:is>
      </x:c>
    </x:row>
    <x:row r="11">
      <x:c r="A11" s="39" t="inlineStr">
        <x:is>
          <x:t xml:space="preserve">Medium</x:t>
        </x:is>
      </x:c>
      <x:c r="B11" s="39" t="inlineStr">
        <x:is>
          <x:t xml:space="preserve">John Wesley Slaughter / Sarah C. Bush</x:t>
        </x:is>
      </x:c>
      <x:c r="C11" s="39" t="inlineStr">
        <x:is>
          <x:t xml:space="preserve">Extend both parents</x:t>
        </x:is>
      </x:c>
      <x:c r="D11" s="39" t="inlineStr">
        <x:is>
          <x:t xml:space="preserve">Alabama census, marriage, probate, cemetery, and land records</x:t>
        </x:is>
      </x:c>
      <x:c r="E11" s="39" t="inlineStr">
        <x:is>
          <x:t xml:space="preserve">Would deepen the Slaughter and Bush surname lines</x:t>
        </x:is>
      </x:c>
    </x:row>
    <x:row r="12">
      <x:c r="A12" s="39" t="inlineStr">
        <x:is>
          <x:t xml:space="preserve">Medium</x:t>
        </x:is>
      </x:c>
      <x:c r="B12" s="39" t="inlineStr">
        <x:is>
          <x:t xml:space="preserve">Lee English generations</x:t>
        </x:is>
      </x:c>
      <x:c r="C12" s="39" t="inlineStr">
        <x:is>
          <x:t xml:space="preserve">Validate 1500s parish links</x:t>
        </x:is>
      </x:c>
      <x:c r="D12" s="39" t="inlineStr">
        <x:is>
          <x:t xml:space="preserve">Review the individual citations behind the FamousKin family-group pages</x:t>
        </x:is>
      </x:c>
      <x:c r="E12" s="39" t="inlineStr">
        <x:is>
          <x:t xml:space="preserve">Needed before lineage-society or publication use</x:t>
        </x:is>
      </x:c>
    </x:row>
    <x:row r="13">
      <x:c r="A13" s="39" t="inlineStr">
        <x:is>
          <x:t xml:space="preserve">Low</x:t>
        </x:is>
      </x:c>
      <x:c r="B13" s="39" t="inlineStr">
        <x:is>
          <x:t xml:space="preserve">DNA evidence</x:t>
        </x:is>
      </x:c>
      <x:c r="C13" s="39" t="inlineStr">
        <x:is>
          <x:t xml:space="preserve">Target unresolved female lines</x:t>
        </x:is>
      </x:c>
      <x:c r="D13" s="39" t="inlineStr">
        <x:is>
          <x:t xml:space="preserve">Autosomal clustering with documented cousins from Ohmer, Willitts, Moore, and Simmons lines</x:t>
        </x:is>
      </x:c>
      <x:c r="E13" s="39" t="inlineStr">
        <x:is>
          <x:t xml:space="preserve">Can prioritize documentary searches without replacing records</x:t>
        </x:is>
      </x:c>
    </x:row>
    <x:row r="14">
      <x:c r="A14" s="39" t="inlineStr">
        <x:is>
          <x:t xml:space="preserve">Collateral: Bruce Muller descendants</x:t>
        </x:is>
      </x:c>
      <x:c r="B14" s="39" t="inlineStr">
        <x:is>
          <x:t xml:space="preserve">No spouse or children located in the reviewed chart/records.</x:t>
        </x:is>
      </x:c>
      <x:c r="C14" s="39" t="inlineStr">
        <x:is>
          <x:t xml:space="preserve">Obituary, probate, cemetery record, family confirmation.</x:t>
        </x:is>
      </x:c>
      <x:c r="D14" s="39" t="inlineStr">
        <x:is>
          <x:t xml:space="preserve">High</x:t>
        </x:is>
      </x:c>
      <x:c r="E14" s="39" t="inlineStr">
        <x:is>
          <x:t xml:space="preserve">Do not convert this negative search result into “no children.”</x:t>
        </x:is>
      </x:c>
    </x:row>
    <x:row r="15">
      <x:c r="A15" s="39" t="inlineStr">
        <x:is>
          <x:t xml:space="preserve">Collateral: Charles McCormick identity/descendants</x:t>
        </x:is>
      </x:c>
      <x:c r="B15" s="39" t="inlineStr">
        <x:is>
          <x:t xml:space="preserve">Full name, vital dates and any children remain unresolved.</x:t>
        </x:is>
      </x:c>
      <x:c r="C15" s="39" t="inlineStr">
        <x:is>
          <x:t xml:space="preserve">Obituary, probate/trust documents, Navy service record, California vital indexes.</x:t>
        </x:is>
      </x:c>
      <x:c r="D15" s="39" t="inlineStr">
        <x:is>
          <x:t xml:space="preserve">High</x:t>
        </x:is>
      </x:c>
      <x:c r="E15" s="39" t="inlineStr">
        <x:is>
          <x:t xml:space="preserve">Couple with Judy is confirmed; descendant question remains open.</x:t>
        </x:is>
      </x:c>
    </x:row>
    <x:row r="16">
      <x:c r="A16" s="39" t="inlineStr">
        <x:is>
          <x:t xml:space="preserve">Collateral: Mary Gene Chaffee household corroboration</x:t>
        </x:is>
      </x:c>
      <x:c r="B16" s="39" t="inlineStr">
        <x:is>
          <x:t xml:space="preserve">1998 chart supplies Linda, Lori and James.</x:t>
        </x:is>
      </x:c>
      <x:c r="C16" s="39" t="inlineStr">
        <x:is>
          <x:t xml:space="preserve">Census/obituary copies for Mary Gene or James Chaffee.</x:t>
        </x:is>
      </x:c>
      <x:c r="D16" s="39" t="inlineStr">
        <x:is>
          <x:t xml:space="preserve">Medium</x:t>
        </x:is>
      </x:c>
      <x:c r="E16" s="39" t="inlineStr">
        <x:is>
          <x:t xml:space="preserve">Earlier “Janet” transcription corrected to James.</x:t>
        </x:is>
      </x:c>
    </x:row>
    <x:row r="17">
      <x:c r="A17" s="39" t="inlineStr">
        <x:is>
          <x:t xml:space="preserve">Collateral: Celeste surname</x:t>
        </x:is>
      </x:c>
      <x:c r="B17" s="39" t="inlineStr">
        <x:is>
          <x:t xml:space="preserve">Only first name available on 1998 chart.</x:t>
        </x:is>
      </x:c>
      <x:c r="C17" s="39" t="inlineStr">
        <x:is>
          <x:t xml:space="preserve">Marriage notice or family confirmation for John Swick.</x:t>
        </x:is>
      </x:c>
      <x:c r="D17" s="39" t="inlineStr">
        <x:is>
          <x:t xml:space="preserve">Low</x:t>
        </x:is>
      </x:c>
      <x:c r="E17" s="39" t="inlineStr">
        <x:is>
          <x:t xml:space="preserve">Keep surname blank until sourced.</x:t>
        </x:is>
      </x:c>
    </x:row>
  </x:sheetData>
  <x:pageMargins left="0.7" right="0.7" top="0.75" bottom="0.75" header="0.3" footer="0.3"/>
  <x:tableParts count="1">
    <x:tablePart xmlns:r="http://schemas.openxmlformats.org/officeDocument/2006/relationships" r:id="Re5331d241c914b26"/>
  </x:tableParts>
</x:worksheet>
</file>

<file path=xl/worksheets/sheet8.xml><?xml version="1.0" encoding="utf-8"?>
<x:worksheet xmlns:x="http://schemas.openxmlformats.org/spreadsheetml/2006/main">
  <x:sheetFormatPr baseColWidth="8" defaultRowHeight="15"/>
  <x:cols>
    <x:col min="1" max="1" width="10" customWidth="1"/>
    <x:col min="2" max="2" width="37" customWidth="1"/>
    <x:col min="3" max="3" width="30" customWidth="1"/>
    <x:col min="4" max="4" width="60" customWidth="1"/>
    <x:col min="5" max="5" width="62" customWidth="1"/>
  </x:cols>
  <x:sheetData>
    <x:row r="1">
      <x:c r="A1" s="50" t="inlineStr">
        <x:is>
          <x:t xml:space="preserve">Source ID</x:t>
        </x:is>
      </x:c>
      <x:c r="B1" s="50" t="inlineStr">
        <x:is>
          <x:t xml:space="preserve">Title</x:t>
        </x:is>
      </x:c>
      <x:c r="C1" s="50" t="inlineStr">
        <x:is>
          <x:t xml:space="preserve">Type</x:t>
        </x:is>
      </x:c>
      <x:c r="D1" s="50" t="inlineStr">
        <x:is>
          <x:t xml:space="preserve">URL</x:t>
        </x:is>
      </x:c>
      <x:c r="E1" s="50" t="inlineStr">
        <x:is>
          <x:t xml:space="preserve">Use / caution</x:t>
        </x:is>
      </x:c>
    </x:row>
    <x:row r="2">
      <x:c r="A2" s="39" t="inlineStr">
        <x:is>
          <x:t xml:space="preserve">S1</x:t>
        </x:is>
      </x:c>
      <x:c r="B2" s="39" t="inlineStr">
        <x:is>
          <x:t xml:space="preserve">Statement supplied by Fredric Muller Vollmer</x:t>
        </x:is>
      </x:c>
      <x:c r="C2" s="39" t="inlineStr">
        <x:is>
          <x:t xml:space="preserve">Private family statement</x:t>
        </x:is>
      </x:c>
      <x:c r="D2" s="39" t="str"/>
      <x:c r="E2" s="39" t="inlineStr">
        <x:is>
          <x:t xml:space="preserve">Anchors Fredric, Jan Muller Vollmer, Anne Muller/McCormick, Eloise McCormick, and Charles Ellsworth McCormick II.</x:t>
        </x:is>
      </x:c>
    </x:row>
    <x:row r="3">
      <x:c r="A3" s="39" t="inlineStr">
        <x:is>
          <x:t xml:space="preserve">S2</x:t>
        </x:is>
      </x:c>
      <x:c r="B3" s="39" t="inlineStr">
        <x:is>
          <x:t xml:space="preserve">1998 Muller Family Tree by Arthur John "Art" Muller</x:t>
        </x:is>
      </x:c>
      <x:c r="C3" s="39" t="inlineStr">
        <x:is>
          <x:t xml:space="preserve">Private family chart, forwarded by Jan Muller Vollmer in 2023</x:t>
        </x:is>
      </x:c>
      <x:c r="D3" s="39" t="str"/>
      <x:c r="E3" s="39" t="inlineStr">
        <x:is>
          <x:t xml:space="preserve">Primary roadmap for the Muller, Vollrath, Kleitz, Wüst, and Lee relationships. Jan described it as "pretty accurate" but noted omissions.</x:t>
        </x:is>
      </x:c>
    </x:row>
    <x:row r="4">
      <x:c r="A4" s="39" t="inlineStr">
        <x:is>
          <x:t xml:space="preserve">S3</x:t>
        </x:is>
      </x:c>
      <x:c r="B4" s="39" t="inlineStr">
        <x:is>
          <x:t xml:space="preserve">Jan Muller Vollmer family correspondence about the Lee family</x:t>
        </x:is>
      </x:c>
      <x:c r="C4" s="39" t="inlineStr">
        <x:is>
          <x:t xml:space="preserve">Private family correspondence</x:t>
        </x:is>
      </x:c>
      <x:c r="D4" s="39" t="str"/>
      <x:c r="E4" s="39" t="inlineStr">
        <x:is>
          <x:t xml:space="preserve">Identifies Elma Lee Muller as Arthur John Muller’s mother, her brother Elmer, and family locations in Michigan.</x:t>
        </x:is>
      </x:c>
    </x:row>
    <x:row r="5">
      <x:c r="A5" s="39" t="inlineStr">
        <x:is>
          <x:t xml:space="preserve">S4</x:t>
        </x:is>
      </x:c>
      <x:c r="B5" s="39" t="inlineStr">
        <x:is>
          <x:t xml:space="preserve">Irene Slaughter Cooke DAR lineage worksheet</x:t>
        </x:is>
      </x:c>
      <x:c r="C5" s="39" t="inlineStr">
        <x:is>
          <x:t xml:space="preserve">Private lineage worksheet, forwarded by Jan Muller Vollmer</x:t>
        </x:is>
      </x:c>
      <x:c r="D5" s="39" t="str"/>
      <x:c r="E5" s="39" t="inlineStr">
        <x:is>
          <x:t xml:space="preserve">Documents the Rives descent from Lula Rives through Green Rives and records the traditional line to William Rives of Oxfordshire.</x:t>
        </x:is>
      </x:c>
    </x:row>
    <x:row r="6">
      <x:c r="A6" s="39" t="inlineStr">
        <x:is>
          <x:t xml:space="preserve">S5</x:t>
        </x:is>
      </x:c>
      <x:c r="B6" s="39" t="inlineStr">
        <x:is>
          <x:t xml:space="preserve">Arthur John Muller Collection, Veterans History Project</x:t>
        </x:is>
      </x:c>
      <x:c r="C6" s="39" t="inlineStr">
        <x:is>
          <x:t xml:space="preserve">Library of Congress collection record</x:t>
        </x:is>
      </x:c>
      <x:c r="D6" s="39" t="inlineStr">
        <x:is>
          <x:t xml:space="preserve">https://www.loc.gov/item/afc2001001.95688/</x:t>
        </x:is>
      </x:c>
      <x:c r="E6" s="39" t="inlineStr">
        <x:is>
          <x:t xml:space="preserve">Confirms Arthur John Muller’s Army service dates, 1943-1945, and preserves his first-person materials.</x:t>
        </x:is>
      </x:c>
    </x:row>
    <x:row r="7">
      <x:c r="A7" s="39" t="inlineStr">
        <x:is>
          <x:t xml:space="preserve">S6</x:t>
        </x:is>
      </x:c>
      <x:c r="B7" s="39" t="inlineStr">
        <x:is>
          <x:t xml:space="preserve">Hubbard Stone Lee family group</x:t>
        </x:is>
      </x:c>
      <x:c r="C7" s="39" t="inlineStr">
        <x:is>
          <x:t xml:space="preserve">Sourced compiled genealogy</x:t>
        </x:is>
      </x:c>
      <x:c r="D7" s="39" t="inlineStr">
        <x:is>
          <x:t xml:space="preserve">https://famouskin.com/family-group.php?ahnum=4&amp;name=181960+harry+pearl+lee</x:t>
        </x:is>
      </x:c>
      <x:c r="E7" s="39" t="inlineStr">
        <x:is>
          <x:t xml:space="preserve">Names Hubbard’s parents, wife, and children, including Elmer Ellsworth Lee; cites Michigan vital records and NEHGR.</x:t>
        </x:is>
      </x:c>
    </x:row>
    <x:row r="8">
      <x:c r="A8" s="39" t="inlineStr">
        <x:is>
          <x:t xml:space="preserve">S7</x:t>
        </x:is>
      </x:c>
      <x:c r="B8" s="39" t="inlineStr">
        <x:is>
          <x:t xml:space="preserve">Harry Pearl Lee Ahnentafel ancestor chart</x:t>
        </x:is>
      </x:c>
      <x:c r="C8" s="39" t="inlineStr">
        <x:is>
          <x:t xml:space="preserve">Sourced compiled genealogy</x:t>
        </x:is>
      </x:c>
      <x:c r="D8" s="39" t="inlineStr">
        <x:is>
          <x:t xml:space="preserve">https://famouskin.com/ahnentafel.php?name=181960+harry+pearl+lee</x:t>
        </x:is>
      </x:c>
      <x:c r="E8" s="39" t="inlineStr">
        <x:is>
          <x:t xml:space="preserve">Provides the colonial Connecticut and English-parish ancestry behind Hubbard Stone Lee. Individual family-group pages cite record sets and publications.</x:t>
        </x:is>
      </x:c>
    </x:row>
    <x:row r="9">
      <x:c r="A9" s="39" t="inlineStr">
        <x:is>
          <x:t xml:space="preserve">S8</x:t>
        </x:is>
      </x:c>
      <x:c r="B9" s="39" t="inlineStr">
        <x:is>
          <x:t xml:space="preserve">A Record of the Agee Family, P. M. Agee</x:t>
        </x:is>
      </x:c>
      <x:c r="C9" s="39" t="inlineStr">
        <x:is>
          <x:t xml:space="preserve">Published family history (1937)</x:t>
        </x:is>
      </x:c>
      <x:c r="D9" s="39" t="inlineStr">
        <x:is>
          <x:t xml:space="preserve">https://archive.org/stream/recordofageefami00agee_0/recordofageefami00agee_0_djvu.txt</x:t>
        </x:is>
      </x:c>
      <x:c r="E9" s="39" t="inlineStr">
        <x:is>
          <x:t xml:space="preserve">Connects Elvie A. Slaughter, Lula Rives, Florence Estelle Agee, and the Agee line to Mathieu Agee; the compiler expressly acknowledges possible errors.</x:t>
        </x:is>
      </x:c>
    </x:row>
    <x:row r="10">
      <x:c r="A10" s="39" t="inlineStr">
        <x:is>
          <x:t xml:space="preserve">S9</x:t>
        </x:is>
      </x:c>
      <x:c r="B10" s="39" t="inlineStr">
        <x:is>
          <x:t xml:space="preserve">Robert Calhoun Rives profile</x:t>
        </x:is>
      </x:c>
      <x:c r="C10" s="39" t="inlineStr">
        <x:is>
          <x:t xml:space="preserve">The Reeves Project, sourced collaborative genealogy</x:t>
        </x:is>
      </x:c>
      <x:c r="D10" s="39" t="inlineStr">
        <x:is>
          <x:t xml:space="preserve">https://thereevesproject.org/data/tiki-index.php?page=Rives_Robert_Calhoun_RR128ID314</x:t>
        </x:is>
      </x:c>
      <x:c r="E10" s="39" t="inlineStr">
        <x:is>
          <x:t xml:space="preserve">Uses pension, census, and published Rives materials for Robert Calhoun Rives and his family.</x:t>
        </x:is>
      </x:c>
    </x:row>
    <x:row r="11">
      <x:c r="A11" s="39" t="inlineStr">
        <x:is>
          <x:t xml:space="preserve">S10</x:t>
        </x:is>
      </x:c>
      <x:c r="B11" s="39" t="inlineStr">
        <x:is>
          <x:t xml:space="preserve">Green Rives profile</x:t>
        </x:is>
      </x:c>
      <x:c r="C11" s="39" t="inlineStr">
        <x:is>
          <x:t xml:space="preserve">The Reeves Project, sourced collaborative genealogy</x:t>
        </x:is>
      </x:c>
      <x:c r="D11" s="39" t="inlineStr">
        <x:is>
          <x:t xml:space="preserve">https://thereevesproject.org/data/tiki-index.php?page=Rives_Green_RR94ID24&amp;page_ref_id=8919&amp;structure=FamilyOf_Ryves_Robert_RR1ID1</x:t>
        </x:is>
      </x:c>
      <x:c r="E11" s="39" t="inlineStr">
        <x:is>
          <x:t xml:space="preserve">Documents Green Rives, Mary Ridley Jones, and Green’s parents William Rives and Lucy Wyche.</x:t>
        </x:is>
      </x:c>
    </x:row>
    <x:row r="12">
      <x:c r="A12" s="39" t="inlineStr">
        <x:is>
          <x:t xml:space="preserve">S11</x:t>
        </x:is>
      </x:c>
      <x:c r="B12" s="39" t="inlineStr">
        <x:is>
          <x:t xml:space="preserve">William Rives profile</x:t>
        </x:is>
      </x:c>
      <x:c r="C12" s="39" t="inlineStr">
        <x:is>
          <x:t xml:space="preserve">The Reeves Project, sourced collaborative genealogy</x:t>
        </x:is>
      </x:c>
      <x:c r="D12" s="39" t="inlineStr">
        <x:is>
          <x:t xml:space="preserve">https://thereevesproject.org/data/tiki-index.php?page=Rives_William_RR88ID19</x:t>
        </x:is>
      </x:c>
      <x:c r="E12" s="39" t="inlineStr">
        <x:is>
          <x:t xml:space="preserve">Documents William Rives, Lucy Wyche, and the relationship to Timothy Rives.</x:t>
        </x:is>
      </x:c>
    </x:row>
    <x:row r="13">
      <x:c r="A13" s="39" t="inlineStr">
        <x:is>
          <x:t xml:space="preserve">S12</x:t>
        </x:is>
      </x:c>
      <x:c r="B13" s="39" t="inlineStr">
        <x:is>
          <x:t xml:space="preserve">Timothy Rives profile</x:t>
        </x:is>
      </x:c>
      <x:c r="C13" s="39" t="inlineStr">
        <x:is>
          <x:t xml:space="preserve">The Reeves Project, sourced collaborative genealogy</x:t>
        </x:is>
      </x:c>
      <x:c r="D13" s="39" t="inlineStr">
        <x:is>
          <x:t xml:space="preserve">https://thereevesproject.org/data/tiki-index.php?page=Rives_Timothy_RR85ID12</x:t>
        </x:is>
      </x:c>
      <x:c r="E13" s="39" t="inlineStr">
        <x:is>
          <x:t xml:space="preserve">Documents Timothy Rives and discusses the uncertain identity of his wife Hester and earlier Rives generations.</x:t>
        </x:is>
      </x:c>
    </x:row>
    <x:row r="14">
      <x:c r="A14" s="39" t="inlineStr">
        <x:is>
          <x:t xml:space="preserve">S13</x:t>
        </x:is>
      </x:c>
      <x:c r="B14" s="39" t="inlineStr">
        <x:is>
          <x:t xml:space="preserve">William Ryves immigrant profile and lineage discussion</x:t>
        </x:is>
      </x:c>
      <x:c r="C14" s="39" t="inlineStr">
        <x:is>
          <x:t xml:space="preserve">Collaborative genealogy with source discussion</x:t>
        </x:is>
      </x:c>
      <x:c r="D14" s="39" t="inlineStr">
        <x:is>
          <x:t xml:space="preserve">https://www.werelate.org/wiki/Person:William_Ryves_(1)</x:t>
        </x:is>
      </x:c>
      <x:c r="E14" s="39" t="inlineStr">
        <x:is>
          <x:t xml:space="preserve">Explains disagreement over whether William or Timothy was the earliest immigrant and why the c.1636 English connection remains disputed.</x:t>
        </x:is>
      </x:c>
    </x:row>
    <x:row r="15">
      <x:c r="A15" s="39" t="inlineStr">
        <x:is>
          <x:t xml:space="preserve">S14</x:t>
        </x:is>
      </x:c>
      <x:c r="B15" s="39" t="inlineStr">
        <x:is>
          <x:t xml:space="preserve">Christopher O’Brien lineage</x:t>
        </x:is>
      </x:c>
      <x:c r="C15" s="39" t="inlineStr">
        <x:is>
          <x:t xml:space="preserve">Bullitt County History research article</x:t>
        </x:is>
      </x:c>
      <x:c r="D15" s="39" t="inlineStr">
        <x:is>
          <x:t xml:space="preserve">https://bullittcountyhistory.org/bchistory/christopher_obrien.html</x:t>
        </x:is>
      </x:c>
      <x:c r="E15" s="39" t="inlineStr">
        <x:is>
          <x:t xml:space="preserve">Connects Martha Ann O’Brien McCormick to Christopher O’Brien and Sophronia Simmons.</x:t>
        </x:is>
      </x:c>
    </x:row>
    <x:row r="16">
      <x:c r="A16" s="39" t="inlineStr">
        <x:is>
          <x:t xml:space="preserve">S15</x:t>
        </x:is>
      </x:c>
      <x:c r="B16" s="39" t="inlineStr">
        <x:is>
          <x:t xml:space="preserve">Annotated Bullitt County 1850 census</x:t>
        </x:is>
      </x:c>
      <x:c r="C16" s="39" t="inlineStr">
        <x:is>
          <x:t xml:space="preserve">Census transcription and annotation</x:t>
        </x:is>
      </x:c>
      <x:c r="D16" s="39" t="inlineStr">
        <x:is>
          <x:t xml:space="preserve">https://bullittcountyhistory.org/bchistory/bd/50-06-09.html</x:t>
        </x:is>
      </x:c>
      <x:c r="E16" s="39" t="inlineStr">
        <x:is>
          <x:t xml:space="preserve">Shows Charles and Elizabeth McCormick with son Edward in Bullitt County in 1850.</x:t>
        </x:is>
      </x:c>
    </x:row>
    <x:row r="17">
      <x:c r="A17" s="39" t="inlineStr">
        <x:is>
          <x:t xml:space="preserve">S16</x:t>
        </x:is>
      </x:c>
      <x:c r="B17" s="39" t="inlineStr">
        <x:is>
          <x:t xml:space="preserve">Shepherdsville Pioneer Graveyard historical marker inventory</x:t>
        </x:is>
      </x:c>
      <x:c r="C17" s="39" t="inlineStr">
        <x:is>
          <x:t xml:space="preserve">Cemetery and local-history record</x:t>
        </x:is>
      </x:c>
      <x:c r="D17" s="39" t="inlineStr">
        <x:is>
          <x:t xml:space="preserve">https://bullittcountyhistory.org/hmarkers/sheppioneergraveyard.html</x:t>
        </x:is>
      </x:c>
      <x:c r="E17" s="39" t="inlineStr">
        <x:is>
          <x:t xml:space="preserve">Supports the dates and marriage of Edward H. McCormick and Martha Ann O’Brien.</x:t>
        </x:is>
      </x:c>
    </x:row>
    <x:row r="18">
      <x:c r="A18" s="39" t="inlineStr">
        <x:is>
          <x:t xml:space="preserve">S17</x:t>
        </x:is>
      </x:c>
      <x:c r="B18" s="39" t="inlineStr">
        <x:is>
          <x:t xml:space="preserve">David Franklin Brooks / Brooks family biography</x:t>
        </x:is>
      </x:c>
      <x:c r="C18" s="39" t="inlineStr">
        <x:is>
          <x:t xml:space="preserve">Bullitt County History transcription of county biography</x:t>
        </x:is>
      </x:c>
      <x:c r="D18" s="39" t="inlineStr">
        <x:is>
          <x:t xml:space="preserve">https://bullittcountyhistory.org/bchistory/dfbrooks.html</x:t>
        </x:is>
      </x:c>
      <x:c r="E18" s="39" t="inlineStr">
        <x:is>
          <x:t xml:space="preserve">Documents Solomon Neal Brooks, Elizabeth Field, and their parentage; conflicts with other records about Solomon’s mother.</x:t>
        </x:is>
      </x:c>
    </x:row>
    <x:row r="19">
      <x:c r="A19" s="39" t="inlineStr">
        <x:is>
          <x:t xml:space="preserve">S18</x:t>
        </x:is>
      </x:c>
      <x:c r="B19" s="39" t="inlineStr">
        <x:is>
          <x:t xml:space="preserve">Joseph A. Brooks 1845 will</x:t>
        </x:is>
      </x:c>
      <x:c r="C19" s="39" t="inlineStr">
        <x:is>
          <x:t xml:space="preserve">Bullitt County will transcription</x:t>
        </x:is>
      </x:c>
      <x:c r="D19" s="39" t="inlineStr">
        <x:is>
          <x:t xml:space="preserve">https://bullittcountyhistory.org/bchistory/josephabrooks-will.html</x:t>
        </x:is>
      </x:c>
      <x:c r="E19" s="39" t="inlineStr">
        <x:is>
          <x:t xml:space="preserve">Names wife Rebecca and children including Solomon N. Brooks. The will also documents enslaved people held by the estate.</x:t>
        </x:is>
      </x:c>
    </x:row>
    <x:row r="20">
      <x:c r="A20" s="39" t="inlineStr">
        <x:is>
          <x:t xml:space="preserve">S19</x:t>
        </x:is>
      </x:c>
      <x:c r="B20" s="39" t="inlineStr">
        <x:is>
          <x:t xml:space="preserve">Joseph Brooks 1818 will</x:t>
        </x:is>
      </x:c>
      <x:c r="C20" s="39" t="inlineStr">
        <x:is>
          <x:t xml:space="preserve">Bullitt County will transcription</x:t>
        </x:is>
      </x:c>
      <x:c r="D20" s="39" t="inlineStr">
        <x:is>
          <x:t xml:space="preserve">https://bullittcountyhistory.org/bchistory/joseph-brooks-will.html</x:t>
        </x:is>
      </x:c>
      <x:c r="E20" s="39" t="inlineStr">
        <x:is>
          <x:t xml:space="preserve">Names wife Nancy and son Joseph Anderson Brooks. The will also documents enslaved people held by the estate.</x:t>
        </x:is>
      </x:c>
    </x:row>
    <x:row r="21">
      <x:c r="A21" s="39" t="inlineStr">
        <x:is>
          <x:t xml:space="preserve">S20</x:t>
        </x:is>
      </x:c>
      <x:c r="B21" s="39" t="inlineStr">
        <x:is>
          <x:t xml:space="preserve">Fairfield County Harrison research and equity-court abstracts</x:t>
        </x:is>
      </x:c>
      <x:c r="C21" s="39" t="inlineStr">
        <x:is>
          <x:t xml:space="preserve">Genealogical society research PDF using court records</x:t>
        </x:is>
      </x:c>
      <x:c r="D21" s="39" t="inlineStr">
        <x:is>
          <x:t xml:space="preserve">https://fairfieldgenealogysociety.org/Members_Only/Families/Harrison/Documents/Harrison%20Finding%20Your%20Roots%20T.V.%20Show%20Research.pdf</x:t>
        </x:is>
      </x:c>
      <x:c r="E21" s="39" t="inlineStr">
        <x:is>
          <x:t xml:space="preserve">Equity records identify Amelia Harrison as daughter of William Harrison and Ann Perry, granddaughter of Reuben Harrison, and granddaughter of James Perry on her mother’s side.</x:t>
        </x:is>
      </x:c>
    </x:row>
    <x:row r="22">
      <x:c r="A22" s="39" t="inlineStr">
        <x:is>
          <x:t xml:space="preserve">S21</x:t>
        </x:is>
      </x:c>
      <x:c r="B22" s="39" t="inlineStr">
        <x:is>
          <x:t xml:space="preserve">Kastler Families database: Lambert Kleitz and Elizabeth Wüst family</x:t>
        </x:is>
      </x:c>
      <x:c r="C22" s="39" t="inlineStr">
        <x:is>
          <x:t xml:space="preserve">Compiled family database</x:t>
        </x:is>
      </x:c>
      <x:c r="D22" s="39" t="inlineStr">
        <x:is>
          <x:t xml:space="preserve">https://kastler.net/wp-content/plugins/genealone-wp/pdf.php?gnln_id=161&amp;gnln_page=place</x:t>
        </x:is>
      </x:c>
      <x:c r="E22" s="39" t="inlineStr">
        <x:is>
          <x:t xml:space="preserve">Lists Lambert Kleitz, Elizabeth Wüst, their children including Henrietta, and Elizabeth’s father Jacob Wüst.</x:t>
        </x:is>
      </x:c>
    </x:row>
    <x:row r="23">
      <x:c r="A23" s="39" t="inlineStr">
        <x:is>
          <x:t xml:space="preserve">S22</x:t>
        </x:is>
      </x:c>
      <x:c r="B23" s="39" t="inlineStr">
        <x:is>
          <x:t xml:space="preserve">Charles Ellsworth McCormick (1862-1911)</x:t>
        </x:is>
      </x:c>
      <x:c r="C23" s="39" t="inlineStr">
        <x:is>
          <x:t xml:space="preserve">FamilySearch compiled profile referencing vital records</x:t>
        </x:is>
      </x:c>
      <x:c r="D23" s="39" t="inlineStr">
        <x:is>
          <x:t xml:space="preserve">https://ancestors.familysearch.org/en/L2X2-7HQ/charles-ellsworth-mccormick-1862-1911</x:t>
        </x:is>
      </x:c>
      <x:c r="E23" s="39" t="inlineStr">
        <x:is>
          <x:t xml:space="preserve">Supports birth, death, and marriage details for Charles Ellsworth McCormick I.</x:t>
        </x:is>
      </x:c>
    </x:row>
    <x:row r="24">
      <x:c r="A24" s="39" t="inlineStr">
        <x:is>
          <x:t xml:space="preserve">S23</x:t>
        </x:is>
      </x:c>
      <x:c r="B24" s="39" t="inlineStr">
        <x:is>
          <x:t xml:space="preserve">Isaac Bush Slaughter Sr. profile</x:t>
        </x:is>
      </x:c>
      <x:c r="C24" s="39" t="inlineStr">
        <x:is>
          <x:t xml:space="preserve">FamilySearch compiled profile</x:t>
        </x:is>
      </x:c>
      <x:c r="D24" s="39" t="inlineStr">
        <x:is>
          <x:t xml:space="preserve">https://ancestors.familysearch.org/en/LBPF-BPB/isaac-bush-slaughter-sr-1857-1937</x:t>
        </x:is>
      </x:c>
      <x:c r="E24" s="39" t="inlineStr">
        <x:is>
          <x:t xml:space="preserve">Supports dates and parents for Isaac Bush Slaughter Sr.; used with the DAR worksheet and Agee family history.</x:t>
        </x:is>
      </x:c>
    </x:row>
    <x:row r="25">
      <x:c r="A25" s="39" t="inlineStr">
        <x:is>
          <x:t xml:space="preserve">S24</x:t>
        </x:is>
      </x:c>
      <x:c r="B25" s="39" t="inlineStr">
        <x:is>
          <x:t xml:space="preserve">Modern Muller/Lee vital-record indexes</x:t>
        </x:is>
      </x:c>
      <x:c r="C25" s="39" t="inlineStr">
        <x:is>
          <x:t xml:space="preserve">Ancestry public index snippets and Michigan death-record references</x:t>
        </x:is>
      </x:c>
      <x:c r="D25" s="39" t="inlineStr">
        <x:is>
          <x:t xml:space="preserve">https://www.ancestry.com/genealogy/records/results?firstName=elms&amp;geo-lang=de-DE&amp;lastName=lee</x:t>
        </x:is>
      </x:c>
      <x:c r="E25" s="39" t="inlineStr">
        <x:is>
          <x:t xml:space="preserve">Supports Elma Anna Lee’s dates and identifies Elmer Ellsworth Lee and Mary Wilhelmina Ohmer as her parents.</x:t>
        </x:is>
      </x:c>
    </x:row>
    <x:row r="26">
      <x:c r="A26" s="39" t="inlineStr">
        <x:is>
          <x:t xml:space="preserve">S25</x:t>
        </x:is>
      </x:c>
      <x:c r="B26" s="39" t="inlineStr">
        <x:is>
          <x:t xml:space="preserve">Charles Ellsworth McCormick II public index</x:t>
        </x:is>
      </x:c>
      <x:c r="C26" s="39" t="inlineStr">
        <x:is>
          <x:t xml:space="preserve">Ancestry public index snippet</x:t>
        </x:is>
      </x:c>
      <x:c r="D26" s="39" t="inlineStr">
        <x:is>
          <x:t xml:space="preserve">https://www.ancestry.com/genealogy/records/results?firstName=charles&amp;lastName=mccormick&amp;page=2</x:t>
        </x:is>
      </x:c>
      <x:c r="E26" s="39" t="inlineStr">
        <x:is>
          <x:t xml:space="preserve">Supports Charles Ellsworth McCormick II’s birth and death dates.</x:t>
        </x:is>
      </x:c>
    </x:row>
    <x:row r="27">
      <x:c r="A27" s="39" t="inlineStr">
        <x:is>
          <x:t xml:space="preserve">CF1</x:t>
        </x:is>
      </x:c>
      <x:c r="B27" s="39" t="inlineStr">
        <x:is>
          <x:t xml:space="preserve">Immediate-family correspondence and family-authored documents</x:t>
        </x:is>
      </x:c>
      <x:c r="C27" s="39" t="inlineStr">
        <x:is>
          <x:t xml:space="preserve">Private family evidence</x:t>
        </x:is>
      </x:c>
      <x:c r="D27" s="39" t="inlineStr">
        <x:is>
          <x:t xml:space="preserve"/>
        </x:is>
      </x:c>
      <x:c r="E27" s="39" t="inlineStr">
        <x:is>
          <x:t xml:space="preserve">Anchors Jan, Dick, Fredric and Annie; living dates omitted.</x:t>
        </x:is>
      </x:c>
    </x:row>
    <x:row r="28">
      <x:c r="A28" s="39" t="inlineStr">
        <x:is>
          <x:t xml:space="preserve">CF2</x:t>
        </x:is>
      </x:c>
      <x:c r="B28" s="39" t="inlineStr">
        <x:is>
          <x:t xml:space="preserve">1998 Art Muller chart plus Jan’s recollections of Bruce</x:t>
        </x:is>
      </x:c>
      <x:c r="C28" s="39" t="inlineStr">
        <x:is>
          <x:t xml:space="preserve">Family-authored chart and direct testimony</x:t>
        </x:is>
      </x:c>
      <x:c r="D28" s="39" t="inlineStr">
        <x:is>
          <x:t xml:space="preserve"/>
        </x:is>
      </x:c>
      <x:c r="E28" s="39" t="inlineStr">
        <x:is>
          <x:t xml:space="preserve">Supports Art/Anne children Bruce and Jan; chart does not show descendants for Bruce.</x:t>
        </x:is>
      </x:c>
    </x:row>
    <x:row r="29">
      <x:c r="A29" s="39" t="inlineStr">
        <x:is>
          <x:t xml:space="preserve">CF3</x:t>
        </x:is>
      </x:c>
      <x:c r="B29" s="39" t="inlineStr">
        <x:is>
          <x:t xml:space="preserve">1998 chart and 2023 Muller reunion correspondence</x:t>
        </x:is>
      </x:c>
      <x:c r="C29" s="39" t="inlineStr">
        <x:is>
          <x:t xml:space="preserve">Family-authored chart and contemporary correspondence</x:t>
        </x:is>
      </x:c>
      <x:c r="D29" s="39" t="inlineStr">
        <x:is>
          <x:t xml:space="preserve"/>
        </x:is>
      </x:c>
      <x:c r="E29" s="39" t="inlineStr">
        <x:is>
          <x:t xml:space="preserve">Supports Mary Gene/James Chaffee household; later network corroborates Lori and Jim/James. Correct chart transcription is James.</x:t>
        </x:is>
      </x:c>
    </x:row>
    <x:row r="30">
      <x:c r="A30" s="39" t="inlineStr">
        <x:is>
          <x:t xml:space="preserve">CF4</x:t>
        </x:is>
      </x:c>
      <x:c r="B30" s="39" t="inlineStr">
        <x:is>
          <x:t xml:space="preserve">Kathy Werblo–Jan Muller correspondence, 1955 photo label, 2022 cousin update</x:t>
        </x:is>
      </x:c>
      <x:c r="C30" s="39" t="inlineStr">
        <x:is>
          <x:t xml:space="preserve">Direct cousin testimony and family image</x:t>
        </x:is>
      </x:c>
      <x:c r="D30" s="39" t="inlineStr">
        <x:is>
          <x:t xml:space="preserve"/>
        </x:is>
      </x:c>
      <x:c r="E30" s="39" t="inlineStr">
        <x:is>
          <x:t xml:space="preserve">Independently corroborates Jane/Howard Swick branch and Jan–Kathy cousin relationship.</x:t>
        </x:is>
      </x:c>
    </x:row>
    <x:row r="31">
      <x:c r="A31" s="39" t="inlineStr">
        <x:is>
          <x:t xml:space="preserve">CF5</x:t>
        </x:is>
      </x:c>
      <x:c r="B31" s="39" t="inlineStr">
        <x:is>
          <x:t xml:space="preserve">McCormick sibling-family correspondence and inherited family documents</x:t>
        </x:is>
      </x:c>
      <x:c r="C31" s="39" t="inlineStr">
        <x:is>
          <x:t xml:space="preserve">Direct family evidence</x:t>
        </x:is>
      </x:c>
      <x:c r="D31" s="39" t="inlineStr">
        <x:is>
          <x:t xml:space="preserve"/>
        </x:is>
      </x:c>
      <x:c r="E31" s="39" t="inlineStr">
        <x:is>
          <x:t xml:space="preserve">Reconstructs children of Charles II and Eloise as Anne, Philip, Charles and Gwen; used with public records where available.</x:t>
        </x:is>
      </x:c>
    </x:row>
    <x:row r="32">
      <x:c r="A32" s="39" t="inlineStr">
        <x:is>
          <x:t xml:space="preserve">CF6</x:t>
        </x:is>
      </x:c>
      <x:c r="B32" s="39" t="inlineStr">
        <x:is>
          <x:t xml:space="preserve">Jan Muller Vollmer email “Phil” (21 Feb 2021)</x:t>
        </x:is>
      </x:c>
      <x:c r="C32" s="39" t="inlineStr">
        <x:is>
          <x:t xml:space="preserve">Direct family statement</x:t>
        </x:is>
      </x:c>
      <x:c r="D32" s="39" t="inlineStr">
        <x:is>
          <x:t xml:space="preserve"/>
        </x:is>
      </x:c>
      <x:c r="E32" s="39" t="inlineStr">
        <x:is>
          <x:t xml:space="preserve">Explicitly states Philip is Anne/Nana’s brother and Sandy, Ross and Tina are his children.</x:t>
        </x:is>
      </x:c>
    </x:row>
    <x:row r="33">
      <x:c r="A33" s="39" t="inlineStr">
        <x:is>
          <x:t xml:space="preserve">CF7</x:t>
        </x:is>
      </x:c>
      <x:c r="B33" s="39" t="inlineStr">
        <x:is>
          <x:t xml:space="preserve">McCormick family correspondence, 2018–2026</x:t>
        </x:is>
      </x:c>
      <x:c r="C33" s="39" t="inlineStr">
        <x:is>
          <x:t xml:space="preserve">Contemporary direct family evidence</x:t>
        </x:is>
      </x:c>
      <x:c r="D33" s="39" t="inlineStr">
        <x:is>
          <x:t xml:space="preserve"/>
        </x:is>
      </x:c>
      <x:c r="E33" s="39" t="inlineStr">
        <x:is>
          <x:t xml:space="preserve">Corroborates spouses Judy, John Hill and Carrie and maintains the sibling-family network.</x:t>
        </x:is>
      </x:c>
    </x:row>
    <x:row r="34">
      <x:c r="A34" s="39" t="inlineStr">
        <x:is>
          <x:t xml:space="preserve">CF8</x:t>
        </x:is>
      </x:c>
      <x:c r="B34" s="39" t="inlineStr">
        <x:is>
          <x:t xml:space="preserve">Jan correspondence concerning Charles’s Navy memorial and Judy’s trust</x:t>
        </x:is>
      </x:c>
      <x:c r="C34" s="39" t="inlineStr">
        <x:is>
          <x:t xml:space="preserve">Direct family evidence</x:t>
        </x:is>
      </x:c>
      <x:c r="D34" s="39" t="inlineStr">
        <x:is>
          <x:t xml:space="preserve"/>
        </x:is>
      </x:c>
      <x:c r="E34" s="39" t="inlineStr">
        <x:is>
          <x:t xml:space="preserve">Supports Charles/Judy couple; exact full name and descendants remain unresolved.</x:t>
        </x:is>
      </x:c>
    </x:row>
    <x:row r="35">
      <x:c r="A35" s="39" t="inlineStr">
        <x:is>
          <x:t xml:space="preserve">CF9</x:t>
        </x:is>
      </x:c>
      <x:c r="B35" s="39" t="inlineStr">
        <x:is>
          <x:t xml:space="preserve">Gwendolyn Hull message signed “Aunt Gwen” and sibling-family correspondence</x:t>
        </x:is>
      </x:c>
      <x:c r="C35" s="39" t="inlineStr">
        <x:is>
          <x:t xml:space="preserve">Direct family evidence</x:t>
        </x:is>
      </x:c>
      <x:c r="D35" s="39" t="inlineStr">
        <x:is>
          <x:t xml:space="preserve"/>
        </x:is>
      </x:c>
      <x:c r="E35" s="39" t="inlineStr">
        <x:is>
          <x:t xml:space="preserve">Supports Gwen’s aunt role and placement in the McCormick sibling generation.</x:t>
        </x:is>
      </x:c>
    </x:row>
    <x:row r="36">
      <x:c r="A36" s="39" t="inlineStr">
        <x:is>
          <x:t xml:space="preserve">CF10</x:t>
        </x:is>
      </x:c>
      <x:c r="B36" s="39" t="inlineStr">
        <x:is>
          <x:t xml:space="preserve">Gwen and Jim Hull 2022 family letter</x:t>
        </x:is>
      </x:c>
      <x:c r="C36" s="39" t="inlineStr">
        <x:is>
          <x:t xml:space="preserve">Family-authored household letter</x:t>
        </x:is>
      </x:c>
      <x:c r="D36" s="39" t="inlineStr">
        <x:is>
          <x:t xml:space="preserve"/>
        </x:is>
      </x:c>
      <x:c r="E36" s="39" t="inlineStr">
        <x:is>
          <x:t xml:space="preserve">Signed “Gwen, Jim and Mark” and discusses Carey nearby; household corroboration.</x:t>
        </x:is>
      </x:c>
    </x:row>
    <x:row r="37">
      <x:c r="A37" s="39" t="inlineStr">
        <x:is>
          <x:t xml:space="preserve">CF11</x:t>
        </x:is>
      </x:c>
      <x:c r="B37" s="39" t="inlineStr">
        <x:is>
          <x:t xml:space="preserve">Carey Zaura message to her father, 11 Jul 2025</x:t>
        </x:is>
      </x:c>
      <x:c r="C37" s="39" t="inlineStr">
        <x:is>
          <x:t xml:space="preserve">Direct child-to-parent statement</x:t>
        </x:is>
      </x:c>
      <x:c r="D37" s="39" t="inlineStr">
        <x:is>
          <x:t xml:space="preserve"/>
        </x:is>
      </x:c>
      <x:c r="E37" s="39" t="inlineStr">
        <x:is>
          <x:t xml:space="preserve">Carey calls herself his “one and only daughter” and asks him to read it to Mom and Mark.</x:t>
        </x:is>
      </x:c>
    </x:row>
    <x:row r="38">
      <x:c r="A38" s="39" t="inlineStr">
        <x:is>
          <x:t xml:space="preserve">P1</x:t>
        </x:is>
      </x:c>
      <x:c r="B38" s="39" t="inlineStr">
        <x:is>
          <x:t xml:space="preserve">Philip Brooks McCormick obituary/memorial</x:t>
        </x:is>
      </x:c>
      <x:c r="C38" s="39" t="inlineStr">
        <x:is>
          <x:t xml:space="preserve">Public obituary</x:t>
        </x:is>
      </x:c>
      <x:c r="D38" s="39" t="inlineStr">
        <x:is>
          <x:t xml:space="preserve">https://www.legacy.com/us/obituaries/latimes/name/philip-mccormick-obituary?id=6809282</x:t>
        </x:is>
      </x:c>
      <x:c r="E38" s="39" t="inlineStr">
        <x:is>
          <x:t xml:space="preserve">Public identity/death corroboration for Philip Brooks McCormick.</x:t>
        </x:is>
      </x:c>
    </x:row>
    <x:row r="39">
      <x:c r="A39" s="39" t="inlineStr">
        <x:is>
          <x:t xml:space="preserve">P2</x:t>
        </x:is>
      </x:c>
      <x:c r="B39" s="39" t="inlineStr">
        <x:is>
          <x:t xml:space="preserve">Betsy Ross–Philip Brooks McCormick engagement notice</x:t>
        </x:is>
      </x:c>
      <x:c r="C39" s="39" t="inlineStr">
        <x:is>
          <x:t xml:space="preserve">Contemporary newspaper notice</x:t>
        </x:is>
      </x:c>
      <x:c r="D39" s="39" t="inlineStr">
        <x:is>
          <x:t xml:space="preserve">https://www.newspapers.com/article/the-daily-breeze-betsy-ross-and-philip-b/165847296/</x:t>
        </x:is>
      </x:c>
      <x:c r="E39" s="39" t="inlineStr">
        <x:is>
          <x:t xml:space="preserve">Public marriage/parental context for Philip and Betsy.</x:t>
        </x:is>
      </x:c>
    </x:row>
    <x:row r="40">
      <x:c r="A40" s="39" t="inlineStr">
        <x:is>
          <x:t xml:space="preserve">P3</x:t>
        </x:is>
      </x:c>
      <x:c r="B40" s="39" t="inlineStr">
        <x:is>
          <x:t xml:space="preserve">Arthur John Muller Collection, Veterans History Project</x:t>
        </x:is>
      </x:c>
      <x:c r="C40" s="39" t="inlineStr">
        <x:is>
          <x:t xml:space="preserve">Library of Congress record</x:t>
        </x:is>
      </x:c>
      <x:c r="D40" s="39" t="inlineStr">
        <x:is>
          <x:t xml:space="preserve">https://www.loc.gov/item/afc2001001.95688/</x:t>
        </x:is>
      </x:c>
      <x:c r="E40" s="39" t="inlineStr">
        <x:is>
          <x:t xml:space="preserve">Public identity and military-service anchor for Art Muller.</x:t>
        </x:is>
      </x:c>
    </x:row>
  </x:sheetData>
  <x:pageMargins left="0.7" right="0.7" top="0.75" bottom="0.75" header="0.3" footer="0.3"/>
  <x:tableParts count="1">
    <x:tablePart xmlns:r="http://schemas.openxmlformats.org/officeDocument/2006/relationships" r:id="Rd6e774ad15eb450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7" hidden="0" customWidth="1"/>
    <x:col min="4" max="4" width="30" hidden="0" customWidth="1"/>
    <x:col min="5" max="5" width="30" hidden="0" customWidth="1"/>
    <x:col min="6" max="6" width="66" hidden="0" customWidth="1"/>
    <x:col min="7" max="7" width="30" hidden="0" customWidth="1"/>
    <x:col min="8" max="8" width="26" hidden="0" customWidth="1"/>
    <x:col min="9" max="9" width="72" hidden="0" customWidth="1"/>
    <x:col min="10" max="10" width="18" hidden="0" customWidth="1"/>
    <x:col min="11" max="11" width="24" hidden="0" customWidth="1"/>
  </x:cols>
  <x:sheetData>
    <x:row r="1" ht="30" customHeight="1">
      <x:c r="A1" s="102" t="str">
        <x:v>individual_id</x:v>
      </x:c>
      <x:c r="B1" s="102" t="str">
        <x:v>name</x:v>
      </x:c>
      <x:c r="C1" s="102" t="str">
        <x:v>sex</x:v>
      </x:c>
      <x:c r="D1" s="102" t="str">
        <x:v>birth</x:v>
      </x:c>
      <x:c r="E1" s="102" t="str">
        <x:v>death</x:v>
      </x:c>
      <x:c r="F1" s="102" t="str">
        <x:v>occupations_and_roles</x:v>
      </x:c>
      <x:c r="G1" s="102" t="str">
        <x:v>local_ids</x:v>
      </x:c>
      <x:c r="H1" s="102" t="str">
        <x:v>source_refs</x:v>
      </x:c>
      <x:c r="I1" s="102" t="str">
        <x:v>notes</x:v>
      </x:c>
      <x:c r="J1" s="102" t="str">
        <x:v>family_as_child</x:v>
      </x:c>
      <x:c r="K1" s="102" t="str">
        <x:v>families_as_spouse</x:v>
      </x:c>
    </x:row>
    <x:row r="2">
      <x:c r="A2" s="97" t="str">
        <x:v>I001</x:v>
      </x:c>
      <x:c r="B2" s="97" t="str">
        <x:v>Fredric Muller Vollmer</x:v>
      </x:c>
      <x:c r="C2" s="97" t="str">
        <x:v>M</x:v>
      </x:c>
      <x:c r="D2" s="97" t="str"/>
      <x:c r="E2" s="97" t="str"/>
      <x:c r="F2" s="97" t="str"/>
      <x:c r="G2" s="97" t="str">
        <x:v>EXISTING-FREDRIC-MULLER-VOLLMER</x:v>
      </x:c>
      <x:c r="H2" s="97" t="str">
        <x:v>S1</x:v>
      </x:c>
      <x:c r="I2" s="97" t="str">
        <x:v>Confidence A (Confirmed). Branch: Root. Living person; dates intentionally omitted.</x:v>
      </x:c>
      <x:c r="J2" s="97" t="str">
        <x:v>F095</x:v>
      </x:c>
      <x:c r="K2" s="97" t="str"/>
    </x:row>
    <x:row r="3">
      <x:c r="A3" s="97" t="str">
        <x:v>I002</x:v>
      </x:c>
      <x:c r="B3" s="97" t="str">
        <x:v>Jan Muller Vollmer</x:v>
      </x:c>
      <x:c r="C3" s="97" t="str">
        <x:v>F</x:v>
      </x:c>
      <x:c r="D3" s="97" t="str"/>
      <x:c r="E3" s="97" t="str"/>
      <x:c r="F3" s="97" t="str"/>
      <x:c r="G3" s="97" t="str">
        <x:v>JAN-MULLER</x:v>
      </x:c>
      <x:c r="H3" s="97" t="str">
        <x:v>S1;S2;S27;S28</x:v>
      </x:c>
      <x:c r="I3" s="97" t="str">
        <x:v>Confidence A (Confirmed). Branch: Root. Living person; dates intentionally omitted. | Owner-confirmed: Jan is Fredric's biological mother, not his stepmother. | Owner-confirmed: Jan is Chris Vollmer's stepmother, not his biological mother.</x:v>
      </x:c>
      <x:c r="J3" s="97" t="str">
        <x:v>F001</x:v>
      </x:c>
      <x:c r="K3" s="97" t="str">
        <x:v>F095</x:v>
      </x:c>
    </x:row>
    <x:row r="4">
      <x:c r="A4" s="97" t="str">
        <x:v>I003</x:v>
      </x:c>
      <x:c r="B4" s="97" t="str">
        <x:v>Arthur John Muller</x:v>
      </x:c>
      <x:c r="C4" s="97" t="str">
        <x:v>M</x:v>
      </x:c>
      <x:c r="D4" s="97" t="str">
        <x:v>12 MAY 1925; Detroit, Michigan</x:v>
      </x:c>
      <x:c r="E4" s="97" t="str">
        <x:v>9 JAN 2005; Bellingham, Washington</x:v>
      </x:c>
      <x:c r="F4" s="97" t="str">
        <x:v>U.S. Army soldier (FROM 1943 TO 1945; Company B, 134th Infantry, 35th Division)</x:v>
      </x:c>
      <x:c r="G4" s="97" t="str">
        <x:v>AJMUL-1925</x:v>
      </x:c>
      <x:c r="H4" s="97" t="str">
        <x:v>S2;S5;S27;S48</x:v>
      </x:c>
      <x:c r="I4" s="97" t="str">
        <x:v>Confidence A (Confirmed). Branch: Muller / Kleitz. U.S. Army, 1943-1945; Company B, 134th Infantry, 35th Division. Family members called him Art or Opa.</x:v>
      </x:c>
      <x:c r="J4" s="97" t="str">
        <x:v>F002</x:v>
      </x:c>
      <x:c r="K4" s="97" t="str">
        <x:v>F001</x:v>
      </x:c>
    </x:row>
    <x:row r="5">
      <x:c r="A5" s="97" t="str">
        <x:v>I004</x:v>
      </x:c>
      <x:c r="B5" s="97" t="str">
        <x:v>Anne Rives McCormick Muller</x:v>
      </x:c>
      <x:c r="C5" s="97" t="str">
        <x:v>F</x:v>
      </x:c>
      <x:c r="D5" s="97" t="str">
        <x:v>30 MAY 1927</x:v>
      </x:c>
      <x:c r="E5" s="97" t="str">
        <x:v>2016</x:v>
      </x:c>
      <x:c r="F5" s="97" t="str"/>
      <x:c r="G5" s="97" t="str">
        <x:v>ARMC-1927</x:v>
      </x:c>
      <x:c r="H5" s="97" t="str">
        <x:v>S1;S8;S27</x:v>
      </x:c>
      <x:c r="I5" s="97" t="str">
        <x:v>Confidence A (Confirmed). Branch: Root. The 1937 Agee history spells her given name Ann; family usage is Anne.</x:v>
      </x:c>
      <x:c r="J5" s="97" t="str">
        <x:v>F003</x:v>
      </x:c>
      <x:c r="K5" s="97" t="str">
        <x:v>F001</x:v>
      </x:c>
    </x:row>
    <x:row r="6">
      <x:c r="A6" s="97" t="str">
        <x:v>I005</x:v>
      </x:c>
      <x:c r="B6" s="97" t="str">
        <x:v>Arthur Herman Muller</x:v>
      </x:c>
      <x:c r="C6" s="97" t="str">
        <x:v>M</x:v>
      </x:c>
      <x:c r="D6" s="97" t="str">
        <x:v>28 NOV 1896; Highland Falls, Orange, New York</x:v>
      </x:c>
      <x:c r="E6" s="97" t="str">
        <x:v>NOV 1966; Detroit, Wayne, Michigan</x:v>
      </x:c>
      <x:c r="F6" s="97" t="str">
        <x:v>Designing engineer (1940; Detroit, Wayne, Michigan; General Motors)</x:v>
      </x:c>
      <x:c r="G6" s="97" t="str">
        <x:v>AHMUL-1896</x:v>
      </x:c>
      <x:c r="H6" s="97" t="str">
        <x:v>S2;S27;S48</x:v>
      </x:c>
      <x:c r="I6" s="97" t="str">
        <x:v>Confidence B (Strong). Branch: Muller / Kleitz.</x:v>
      </x:c>
      <x:c r="J6" s="97" t="str">
        <x:v>F004</x:v>
      </x:c>
      <x:c r="K6" s="97" t="str">
        <x:v>F002</x:v>
      </x:c>
    </x:row>
    <x:row r="7">
      <x:c r="A7" s="97" t="str">
        <x:v>I006</x:v>
      </x:c>
      <x:c r="B7" s="97" t="str">
        <x:v>Elma Anna Lee Muller</x:v>
      </x:c>
      <x:c r="C7" s="97" t="str">
        <x:v>F</x:v>
      </x:c>
      <x:c r="D7" s="97" t="str">
        <x:v>14 JAN 1897; Michigan</x:v>
      </x:c>
      <x:c r="E7" s="97" t="str">
        <x:v>26 DEC 1972; Detroit, Wayne, Michigan</x:v>
      </x:c>
      <x:c r="F7" s="97" t="str"/>
      <x:c r="G7" s="97" t="str">
        <x:v>EAL-1897</x:v>
      </x:c>
      <x:c r="H7" s="97" t="str">
        <x:v>S2;S3;S24;S27</x:v>
      </x:c>
      <x:c r="I7" s="97" t="str">
        <x:v>Confidence A (Confirmed). Branch: Lee / New England. Called Gramma Muller in family correspondence. | Birth conflict retained: adult/death records support 14 Jan 1897, while 1900 and 1910 childhood censuses imply Jan 1894.</x:v>
      </x:c>
      <x:c r="J7" s="97" t="str">
        <x:v>F005</x:v>
      </x:c>
      <x:c r="K7" s="97" t="str">
        <x:v>F002</x:v>
      </x:c>
    </x:row>
    <x:row r="8">
      <x:c r="A8" s="97" t="str">
        <x:v>I007</x:v>
      </x:c>
      <x:c r="B8" s="97" t="str">
        <x:v>Charles Ellsworth McCormick II</x:v>
      </x:c>
      <x:c r="C8" s="97" t="str">
        <x:v>M</x:v>
      </x:c>
      <x:c r="D8" s="97" t="str">
        <x:v>12 JUL 1896; Kentucky</x:v>
      </x:c>
      <x:c r="E8" s="97" t="str">
        <x:v>9 SEP 1978; Asheville, North Carolina</x:v>
      </x:c>
      <x:c r="F8" s="97" t="str"/>
      <x:c r="G8" s="97" t="str">
        <x:v>CEMCC-1896</x:v>
      </x:c>
      <x:c r="H8" s="97" t="str">
        <x:v>S1;S25;S27</x:v>
      </x:c>
      <x:c r="I8" s="97" t="str">
        <x:v>Confidence A (Confirmed). Branch: McCormick / O’Brien. Known in family correspondence as Daddy Mac.</x:v>
      </x:c>
      <x:c r="J8" s="97" t="str">
        <x:v>F060</x:v>
      </x:c>
      <x:c r="K8" s="97" t="str">
        <x:v>F003</x:v>
      </x:c>
    </x:row>
    <x:row r="9">
      <x:c r="A9" s="97" t="str">
        <x:v>I008</x:v>
      </x:c>
      <x:c r="B9" s="97" t="str">
        <x:v>Eloise Alcyone Slaughter McCormick</x:v>
      </x:c>
      <x:c r="C9" s="97" t="str">
        <x:v>F</x:v>
      </x:c>
      <x:c r="D9" s="97" t="str">
        <x:v>25 AUG 1903; Alabama</x:v>
      </x:c>
      <x:c r="E9" s="97" t="str">
        <x:v>10 FEB 1994; Los Angeles County, California</x:v>
      </x:c>
      <x:c r="F9" s="97" t="str"/>
      <x:c r="G9" s="97" t="str">
        <x:v>ESMCC-1903</x:v>
      </x:c>
      <x:c r="H9" s="97" t="str">
        <x:v>S1;S8;S27</x:v>
      </x:c>
      <x:c r="I9" s="97" t="str">
        <x:v>Confidence A (Confirmed). Branch: Slaughter / Bush. Family usage is Eloise; the 1937 Agee history prints Elvie A. and other family material uses Elvia. | Official California death index supports 25 Aug 1903-10 Feb 1994; the earlier compiled Agee date is retained only as conflicting secondary evidence.</x:v>
      </x:c>
      <x:c r="J9" s="97" t="str">
        <x:v>F069</x:v>
      </x:c>
      <x:c r="K9" s="97" t="str">
        <x:v>F003</x:v>
      </x:c>
    </x:row>
    <x:row r="10">
      <x:c r="A10" s="97" t="str">
        <x:v>I009</x:v>
      </x:c>
      <x:c r="B10" s="97" t="str">
        <x:v>Christian August Vollrath Muller</x:v>
      </x:c>
      <x:c r="C10" s="97" t="str">
        <x:v>M</x:v>
      </x:c>
      <x:c r="D10" s="97" t="str">
        <x:v>ABOUT 1866</x:v>
      </x:c>
      <x:c r="E10" s="97" t="str">
        <x:v>1922</x:v>
      </x:c>
      <x:c r="F10" s="97" t="str"/>
      <x:c r="G10" s="97" t="str">
        <x:v>CAM-1866</x:v>
      </x:c>
      <x:c r="H10" s="97" t="str">
        <x:v>S2;S27</x:v>
      </x:c>
      <x:c r="I10" s="97" t="str">
        <x:v>Confidence C (Provisional). Branch: Muller / Kleitz. Name and parentage are from the 1998 family chart; exact dates need original civil/church records.</x:v>
      </x:c>
      <x:c r="J10" s="97" t="str">
        <x:v>F006</x:v>
      </x:c>
      <x:c r="K10" s="97" t="str">
        <x:v>F004</x:v>
      </x:c>
    </x:row>
    <x:row r="11">
      <x:c r="A11" s="97" t="str">
        <x:v>I010</x:v>
      </x:c>
      <x:c r="B11" s="97" t="str">
        <x:v>Henrietta Kleitz</x:v>
      </x:c>
      <x:c r="C11" s="97" t="str">
        <x:v>F</x:v>
      </x:c>
      <x:c r="D11" s="97" t="str">
        <x:v>1871; New York, New York</x:v>
      </x:c>
      <x:c r="E11" s="97" t="str"/>
      <x:c r="F11" s="97" t="str"/>
      <x:c r="G11" s="97" t="str">
        <x:v>HKM-1870</x:v>
      </x:c>
      <x:c r="H11" s="97" t="str">
        <x:v>S2;S21;S27</x:v>
      </x:c>
      <x:c r="I11" s="97" t="str">
        <x:v>Confidence B (Strong). Branch: Muller / Kleitz.</x:v>
      </x:c>
      <x:c r="J11" s="97" t="str">
        <x:v>F007</x:v>
      </x:c>
      <x:c r="K11" s="97" t="str">
        <x:v>F004</x:v>
      </x:c>
    </x:row>
    <x:row r="12">
      <x:c r="A12" s="97" t="str">
        <x:v>I013</x:v>
      </x:c>
      <x:c r="B12" s="97" t="str">
        <x:v>Elmer Ellsworth Lee</x:v>
      </x:c>
      <x:c r="C12" s="97" t="str">
        <x:v>M</x:v>
      </x:c>
      <x:c r="D12" s="97" t="str">
        <x:v>ABOUT 1863; Michigan</x:v>
      </x:c>
      <x:c r="E12" s="97" t="str">
        <x:v>8 JUL 1941; Detroit, Michigan</x:v>
      </x:c>
      <x:c r="F12" s="97" t="str"/>
      <x:c r="G12" s="97" t="str">
        <x:v>EEL-1863</x:v>
      </x:c>
      <x:c r="H12" s="97" t="str">
        <x:v>S2;S3;S6;S24;S27</x:v>
      </x:c>
      <x:c r="I12" s="97" t="str">
        <x:v>Confidence B (Strong). Branch: Lee / New England. A same-name Michigan man causes index confusion; the Hubbard Stone Lee family group cites Elmer’s death certificate and names him as Hubbard’s son.</x:v>
      </x:c>
      <x:c r="J12" s="97" t="str">
        <x:v>F009</x:v>
      </x:c>
      <x:c r="K12" s="97" t="str">
        <x:v>F005</x:v>
      </x:c>
    </x:row>
    <x:row r="13">
      <x:c r="A13" s="97" t="str">
        <x:v>I014</x:v>
      </x:c>
      <x:c r="B13" s="97" t="str">
        <x:v>Mary Wilhelmina Ohmer</x:v>
      </x:c>
      <x:c r="C13" s="97" t="str">
        <x:v>F</x:v>
      </x:c>
      <x:c r="D13" s="97" t="str">
        <x:v>BET 1864 AND 1865; Pennsylvania</x:v>
      </x:c>
      <x:c r="E13" s="97" t="str"/>
      <x:c r="F13" s="97" t="str"/>
      <x:c r="G13" s="97" t="str">
        <x:v>MOL-1865</x:v>
      </x:c>
      <x:c r="H13" s="97" t="str">
        <x:v>S2;S24;S27;S46</x:v>
      </x:c>
      <x:c r="I13" s="97" t="str">
        <x:v>Confidence B (Strong). Branch: Lee / New England. Identified as Elma Anna Lee’s mother. Her own parentage remains unresolved. | Vital-date research VD-002 (moderate-high confidence): Childhood census evidence for her children identifies Mary O. and places her birth about 1864-1865 in Pennsylvania. | Vital-date conflict: Wilhelmina and Ohmer remain preferred-name forms from the earlier canonical package; Oliner and Olmer remain spelling variants.</x:v>
      </x:c>
      <x:c r="J13" s="97" t="str"/>
      <x:c r="K13" s="97" t="str">
        <x:v>F005</x:v>
      </x:c>
    </x:row>
    <x:row r="14">
      <x:c r="A14" s="97" t="str">
        <x:v>I017</x:v>
      </x:c>
      <x:c r="B14" s="97" t="str">
        <x:v>Lorenz Muller</x:v>
      </x:c>
      <x:c r="C14" s="97" t="str">
        <x:v>M</x:v>
      </x:c>
      <x:c r="D14" s="97" t="str"/>
      <x:c r="E14" s="97" t="str"/>
      <x:c r="F14" s="97" t="str"/>
      <x:c r="G14" s="97" t="str"/>
      <x:c r="H14" s="97" t="str">
        <x:v>S2</x:v>
      </x:c>
      <x:c r="I14" s="97" t="str">
        <x:v>Confidence C (Provisional). Branch: Muller / Kleitz. Named on the 1998 family chart; no independent record located in this research pass.</x:v>
      </x:c>
      <x:c r="J14" s="97" t="str"/>
      <x:c r="K14" s="97" t="str">
        <x:v>F006</x:v>
      </x:c>
    </x:row>
    <x:row r="15">
      <x:c r="A15" s="97" t="str">
        <x:v>I018</x:v>
      </x:c>
      <x:c r="B15" s="97" t="str">
        <x:v>Pauline Vollrath</x:v>
      </x:c>
      <x:c r="C15" s="97" t="str">
        <x:v>F</x:v>
      </x:c>
      <x:c r="D15" s="97" t="str"/>
      <x:c r="E15" s="97" t="str"/>
      <x:c r="F15" s="97" t="str"/>
      <x:c r="G15" s="97" t="str"/>
      <x:c r="H15" s="97" t="str">
        <x:v>S2</x:v>
      </x:c>
      <x:c r="I15" s="97" t="str">
        <x:v>Confidence C (Provisional). Branch: Muller / Kleitz. Named on the 1998 family chart; no independent record located in this research pass.</x:v>
      </x:c>
      <x:c r="J15" s="97" t="str"/>
      <x:c r="K15" s="97" t="str">
        <x:v>F006</x:v>
      </x:c>
    </x:row>
    <x:row r="16">
      <x:c r="A16" s="97" t="str">
        <x:v>I019</x:v>
      </x:c>
      <x:c r="B16" s="97" t="str">
        <x:v>Lambert Kleitz</x:v>
      </x:c>
      <x:c r="C16" s="97" t="str">
        <x:v>M</x:v>
      </x:c>
      <x:c r="D16" s="97" t="str">
        <x:v>1840; Alsace, France</x:v>
      </x:c>
      <x:c r="E16" s="97" t="str"/>
      <x:c r="F16" s="97" t="str">
        <x:v>Builder and carpenter (New York)</x:v>
      </x:c>
      <x:c r="G16" s="97" t="str"/>
      <x:c r="H16" s="97" t="str">
        <x:v>S2;S21;S48</x:v>
      </x:c>
      <x:c r="I16" s="97" t="str">
        <x:v>Confidence B (Strong). Branch: Muller / Kleitz. Married Elizabeth Wüst in New York in 1860; listed as a builder/carpenter.</x:v>
      </x:c>
      <x:c r="J16" s="97" t="str"/>
      <x:c r="K16" s="97" t="str">
        <x:v>F007</x:v>
      </x:c>
    </x:row>
    <x:row r="17">
      <x:c r="A17" s="97" t="str">
        <x:v>I020</x:v>
      </x:c>
      <x:c r="B17" s="97" t="str">
        <x:v>Elizabeth Wüst</x:v>
      </x:c>
      <x:c r="C17" s="97" t="str">
        <x:v>F</x:v>
      </x:c>
      <x:c r="D17" s="97" t="str">
        <x:v>1837; Bavaria</x:v>
      </x:c>
      <x:c r="E17" s="97" t="str">
        <x:v>ABOUT 1907</x:v>
      </x:c>
      <x:c r="F17" s="97" t="str"/>
      <x:c r="G17" s="97" t="str"/>
      <x:c r="H17" s="97" t="str">
        <x:v>S2;S21</x:v>
      </x:c>
      <x:c r="I17" s="97" t="str">
        <x:v>Confidence B (Strong). Branch: Muller / Kleitz. Surname also rendered Wust/Wuest in indexes.</x:v>
      </x:c>
      <x:c r="J17" s="97" t="str">
        <x:v>F008</x:v>
      </x:c>
      <x:c r="K17" s="97" t="str">
        <x:v>F007</x:v>
      </x:c>
    </x:row>
    <x:row r="18">
      <x:c r="A18" s="97" t="str">
        <x:v>I021</x:v>
      </x:c>
      <x:c r="B18" s="97" t="str">
        <x:v>Jacob Wüst</x:v>
      </x:c>
      <x:c r="C18" s="97" t="str">
        <x:v>M</x:v>
      </x:c>
      <x:c r="D18" s="97" t="str">
        <x:v>Bavaria</x:v>
      </x:c>
      <x:c r="E18" s="97" t="str"/>
      <x:c r="F18" s="97" t="str"/>
      <x:c r="G18" s="97" t="str"/>
      <x:c r="H18" s="97" t="str">
        <x:v>S21</x:v>
      </x:c>
      <x:c r="I18" s="97" t="str">
        <x:v>Confidence C (Provisional). Branch: Muller / Kleitz. Named as Elizabeth Wüst’s father in the Kastler family database; mother remains unknown.</x:v>
      </x:c>
      <x:c r="J18" s="97" t="str"/>
      <x:c r="K18" s="97" t="str">
        <x:v>F008</x:v>
      </x:c>
    </x:row>
    <x:row r="19">
      <x:c r="A19" s="97" t="str">
        <x:v>I022</x:v>
      </x:c>
      <x:c r="B19" s="97" t="str">
        <x:v>Hubbard Stone Lee</x:v>
      </x:c>
      <x:c r="C19" s="97" t="str">
        <x:v>M</x:v>
      </x:c>
      <x:c r="D19" s="97" t="str">
        <x:v>6 JUL 1822; Connecticut</x:v>
      </x:c>
      <x:c r="E19" s="97" t="str">
        <x:v>22 APR 1901; Bloomfield, Oakland County, Michigan</x:v>
      </x:c>
      <x:c r="F19" s="97" t="str"/>
      <x:c r="G19" s="97" t="str"/>
      <x:c r="H19" s="97" t="str">
        <x:v>S6;S7</x:v>
      </x:c>
      <x:c r="I19" s="97" t="str">
        <x:v>Confidence B (Strong). Branch: Lee / New England.</x:v>
      </x:c>
      <x:c r="J19" s="97" t="str">
        <x:v>F010</x:v>
      </x:c>
      <x:c r="K19" s="97" t="str">
        <x:v>F009</x:v>
      </x:c>
    </x:row>
    <x:row r="20">
      <x:c r="A20" s="97" t="str">
        <x:v>I023</x:v>
      </x:c>
      <x:c r="B20" s="97" t="str">
        <x:v>Sarah M. Willitts</x:v>
      </x:c>
      <x:c r="C20" s="97" t="str">
        <x:v>F</x:v>
      </x:c>
      <x:c r="D20" s="97" t="str">
        <x:v>1831; Birmingham, Oakland County, Michigan</x:v>
      </x:c>
      <x:c r="E20" s="97" t="str">
        <x:v>1913</x:v>
      </x:c>
      <x:c r="F20" s="97" t="str"/>
      <x:c r="G20" s="97" t="str"/>
      <x:c r="H20" s="97" t="str">
        <x:v>S6;S7</x:v>
      </x:c>
      <x:c r="I20" s="97" t="str">
        <x:v>Confidence B (Strong). Branch: Lee / New England. Her parents remain unresolved in this research pass.</x:v>
      </x:c>
      <x:c r="J20" s="97" t="str"/>
      <x:c r="K20" s="97" t="str">
        <x:v>F009</x:v>
      </x:c>
    </x:row>
    <x:row r="21">
      <x:c r="A21" s="97" t="str">
        <x:v>I024</x:v>
      </x:c>
      <x:c r="B21" s="97" t="str">
        <x:v>Elon Lee</x:v>
      </x:c>
      <x:c r="C21" s="97" t="str">
        <x:v>M</x:v>
      </x:c>
      <x:c r="D21" s="97" t="str">
        <x:v>12 MAR 1786; Guilford, New Haven County, Connecticut</x:v>
      </x:c>
      <x:c r="E21" s="97" t="str">
        <x:v>22 DEC 1856; Guilford, New Haven County, Connecticut</x:v>
      </x:c>
      <x:c r="F21" s="97" t="str"/>
      <x:c r="G21" s="97" t="str"/>
      <x:c r="H21" s="97" t="str">
        <x:v>S7</x:v>
      </x:c>
      <x:c r="I21" s="97" t="str">
        <x:v>Confidence B (Strong). Branch: Lee / New England.</x:v>
      </x:c>
      <x:c r="J21" s="97" t="str">
        <x:v>F011</x:v>
      </x:c>
      <x:c r="K21" s="97" t="str">
        <x:v>F010</x:v>
      </x:c>
    </x:row>
    <x:row r="22">
      <x:c r="A22" s="97" t="str">
        <x:v>I025</x:v>
      </x:c>
      <x:c r="B22" s="97" t="str">
        <x:v>Grace Stone</x:v>
      </x:c>
      <x:c r="C22" s="97" t="str">
        <x:v>F</x:v>
      </x:c>
      <x:c r="D22" s="97" t="str">
        <x:v>27 APR 1788; Guilford, New Haven County, Connecticut</x:v>
      </x:c>
      <x:c r="E22" s="97" t="str">
        <x:v>18 MAY 1847; Guilford, New Haven County, Connecticut</x:v>
      </x:c>
      <x:c r="F22" s="97" t="str"/>
      <x:c r="G22" s="97" t="str"/>
      <x:c r="H22" s="97" t="str">
        <x:v>S7</x:v>
      </x:c>
      <x:c r="I22" s="97" t="str">
        <x:v>Confidence B (Strong). Branch: Lee / New England.</x:v>
      </x:c>
      <x:c r="J22" s="97" t="str">
        <x:v>F012</x:v>
      </x:c>
      <x:c r="K22" s="97" t="str">
        <x:v>F010</x:v>
      </x:c>
    </x:row>
    <x:row r="23">
      <x:c r="A23" s="97" t="str">
        <x:v>I026</x:v>
      </x:c>
      <x:c r="B23" s="97" t="str">
        <x:v>William Lee</x:v>
      </x:c>
      <x:c r="C23" s="97" t="str">
        <x:v>M</x:v>
      </x:c>
      <x:c r="D23" s="97" t="str">
        <x:v>ABOUT 1741</x:v>
      </x:c>
      <x:c r="E23" s="97" t="str">
        <x:v>29 APR 1795; Guilford, New Haven County, Connecticut</x:v>
      </x:c>
      <x:c r="F23" s="97" t="str"/>
      <x:c r="G23" s="97" t="str"/>
      <x:c r="H23" s="97" t="str">
        <x:v>S7</x:v>
      </x:c>
      <x:c r="I23" s="97" t="str">
        <x:v>Confidence B (Strong). Branch: Lee / New England.</x:v>
      </x:c>
      <x:c r="J23" s="97" t="str">
        <x:v>F013</x:v>
      </x:c>
      <x:c r="K23" s="97" t="str">
        <x:v>F011</x:v>
      </x:c>
    </x:row>
    <x:row r="24">
      <x:c r="A24" s="97" t="str">
        <x:v>I027</x:v>
      </x:c>
      <x:c r="B24" s="97" t="str">
        <x:v>Eunice Hotchkiss</x:v>
      </x:c>
      <x:c r="C24" s="97" t="str">
        <x:v>F</x:v>
      </x:c>
      <x:c r="D24" s="97" t="str">
        <x:v>ABOUT 1754</x:v>
      </x:c>
      <x:c r="E24" s="97" t="str">
        <x:v>27 FEB 1827</x:v>
      </x:c>
      <x:c r="F24" s="97" t="str"/>
      <x:c r="G24" s="97" t="str"/>
      <x:c r="H24" s="97" t="str">
        <x:v>S7</x:v>
      </x:c>
      <x:c r="I24" s="97" t="str">
        <x:v>Confidence B (Strong). Branch: Lee / New England.</x:v>
      </x:c>
      <x:c r="J24" s="97" t="str">
        <x:v>F014</x:v>
      </x:c>
      <x:c r="K24" s="97" t="str">
        <x:v>F011</x:v>
      </x:c>
    </x:row>
    <x:row r="25">
      <x:c r="A25" s="97" t="str">
        <x:v>I028</x:v>
      </x:c>
      <x:c r="B25" s="97" t="str">
        <x:v>John Evarts Stone</x:v>
      </x:c>
      <x:c r="C25" s="97" t="str">
        <x:v>M</x:v>
      </x:c>
      <x:c r="D25" s="97" t="str">
        <x:v>28 NOV 1760; Guilford, New Haven County, Connecticut</x:v>
      </x:c>
      <x:c r="E25" s="97" t="str">
        <x:v>29 JAN 1852; Guilford, New Haven County, Connecticut</x:v>
      </x:c>
      <x:c r="F25" s="97" t="str"/>
      <x:c r="G25" s="97" t="str"/>
      <x:c r="H25" s="97" t="str">
        <x:v>S7</x:v>
      </x:c>
      <x:c r="I25" s="97" t="str">
        <x:v>Confidence B (Strong). Branch: Lee / New England.</x:v>
      </x:c>
      <x:c r="J25" s="97" t="str">
        <x:v>F015</x:v>
      </x:c>
      <x:c r="K25" s="97" t="str">
        <x:v>F012</x:v>
      </x:c>
    </x:row>
    <x:row r="26">
      <x:c r="A26" s="97" t="str">
        <x:v>I029</x:v>
      </x:c>
      <x:c r="B26" s="97" t="str">
        <x:v>Eunice Goldsmith</x:v>
      </x:c>
      <x:c r="C26" s="97" t="str">
        <x:v>F</x:v>
      </x:c>
      <x:c r="D26" s="97" t="str">
        <x:v>28 MAY 1764</x:v>
      </x:c>
      <x:c r="E26" s="97" t="str">
        <x:v>28 APR 1852</x:v>
      </x:c>
      <x:c r="F26" s="97" t="str"/>
      <x:c r="G26" s="97" t="str"/>
      <x:c r="H26" s="97" t="str">
        <x:v>S7</x:v>
      </x:c>
      <x:c r="I26" s="97" t="str">
        <x:v>Confidence B (Strong). Branch: Lee / New England. Parents were not supplied on the consulted Ahnentafel page.</x:v>
      </x:c>
      <x:c r="J26" s="97" t="str"/>
      <x:c r="K26" s="97" t="str">
        <x:v>F012</x:v>
      </x:c>
    </x:row>
    <x:row r="27">
      <x:c r="A27" s="97" t="str">
        <x:v>I030</x:v>
      </x:c>
      <x:c r="B27" s="97" t="str">
        <x:v>Ebenezer Lee</x:v>
      </x:c>
      <x:c r="C27" s="97" t="str">
        <x:v>M</x:v>
      </x:c>
      <x:c r="D27" s="97" t="str">
        <x:v>25 FEB 1698/99</x:v>
      </x:c>
      <x:c r="E27" s="97" t="str">
        <x:v>24 SEP 1751</x:v>
      </x:c>
      <x:c r="F27" s="97" t="str"/>
      <x:c r="G27" s="97" t="str"/>
      <x:c r="H27" s="97" t="str">
        <x:v>S7</x:v>
      </x:c>
      <x:c r="I27" s="97" t="str">
        <x:v>Confidence B (Strong). Branch: Lee / New England.</x:v>
      </x:c>
      <x:c r="J27" s="97" t="str">
        <x:v>F016</x:v>
      </x:c>
      <x:c r="K27" s="97" t="str">
        <x:v>F013</x:v>
      </x:c>
    </x:row>
    <x:row r="28">
      <x:c r="A28" s="97" t="str">
        <x:v>I031</x:v>
      </x:c>
      <x:c r="B28" s="97" t="str">
        <x:v>Sarah Chidsey</x:v>
      </x:c>
      <x:c r="C28" s="97" t="str">
        <x:v>F</x:v>
      </x:c>
      <x:c r="D28" s="97" t="str"/>
      <x:c r="E28" s="97" t="str">
        <x:v>7 MAR 1778</x:v>
      </x:c>
      <x:c r="F28" s="97" t="str"/>
      <x:c r="G28" s="97" t="str"/>
      <x:c r="H28" s="97" t="str">
        <x:v>S7</x:v>
      </x:c>
      <x:c r="I28" s="97" t="str">
        <x:v>Confidence B (Strong). Branch: Lee / New England.</x:v>
      </x:c>
      <x:c r="J28" s="97" t="str">
        <x:v>F017</x:v>
      </x:c>
      <x:c r="K28" s="97" t="str">
        <x:v>F013</x:v>
      </x:c>
    </x:row>
    <x:row r="29">
      <x:c r="A29" s="97" t="str">
        <x:v>I032</x:v>
      </x:c>
      <x:c r="B29" s="97" t="str">
        <x:v>Mark Hotchkiss</x:v>
      </x:c>
      <x:c r="C29" s="97" t="str">
        <x:v>M</x:v>
      </x:c>
      <x:c r="D29" s="97" t="str">
        <x:v>1 JUL 1714</x:v>
      </x:c>
      <x:c r="E29" s="97" t="str">
        <x:v>19 NOV 1775</x:v>
      </x:c>
      <x:c r="F29" s="97" t="str"/>
      <x:c r="G29" s="97" t="str"/>
      <x:c r="H29" s="97" t="str">
        <x:v>S7</x:v>
      </x:c>
      <x:c r="I29" s="97" t="str">
        <x:v>Confidence B (Strong). Branch: Lee / New England.</x:v>
      </x:c>
      <x:c r="J29" s="97" t="str">
        <x:v>F018</x:v>
      </x:c>
      <x:c r="K29" s="97" t="str">
        <x:v>F014</x:v>
      </x:c>
    </x:row>
    <x:row r="30">
      <x:c r="A30" s="97" t="str">
        <x:v>I033</x:v>
      </x:c>
      <x:c r="B30" s="97" t="str">
        <x:v>Miriam Lee</x:v>
      </x:c>
      <x:c r="C30" s="97" t="str">
        <x:v>F</x:v>
      </x:c>
      <x:c r="D30" s="97" t="str"/>
      <x:c r="E30" s="97" t="str">
        <x:v>31 MAR 1788</x:v>
      </x:c>
      <x:c r="F30" s="97" t="str"/>
      <x:c r="G30" s="97" t="str"/>
      <x:c r="H30" s="97" t="str">
        <x:v>S7</x:v>
      </x:c>
      <x:c r="I30" s="97" t="str">
        <x:v>Confidence B (Strong). Branch: Lee / New England. Parents not shown in the consulted Ahnentafel.</x:v>
      </x:c>
      <x:c r="J30" s="97" t="str"/>
      <x:c r="K30" s="97" t="str">
        <x:v>F014</x:v>
      </x:c>
    </x:row>
    <x:row r="31">
      <x:c r="A31" s="97" t="str">
        <x:v>I034</x:v>
      </x:c>
      <x:c r="B31" s="97" t="str">
        <x:v>Asher Stone</x:v>
      </x:c>
      <x:c r="C31" s="97" t="str">
        <x:v>M</x:v>
      </x:c>
      <x:c r="D31" s="97" t="str">
        <x:v>23 JAN 1738/39; Guilford, New Haven County, Connecticut</x:v>
      </x:c>
      <x:c r="E31" s="97" t="str">
        <x:v>27 SEP 1766; Guilford, New Haven County, Connecticut</x:v>
      </x:c>
      <x:c r="F31" s="97" t="str"/>
      <x:c r="G31" s="97" t="str"/>
      <x:c r="H31" s="97" t="str">
        <x:v>S7</x:v>
      </x:c>
      <x:c r="I31" s="97" t="str">
        <x:v>Confidence B (Strong). Branch: Lee / New England.</x:v>
      </x:c>
      <x:c r="J31" s="97" t="str">
        <x:v>F019</x:v>
      </x:c>
      <x:c r="K31" s="97" t="str">
        <x:v>F015</x:v>
      </x:c>
    </x:row>
    <x:row r="32">
      <x:c r="A32" s="97" t="str">
        <x:v>I035</x:v>
      </x:c>
      <x:c r="B32" s="97" t="str">
        <x:v>Carine Ward</x:v>
      </x:c>
      <x:c r="C32" s="97" t="str">
        <x:v>F</x:v>
      </x:c>
      <x:c r="D32" s="97" t="str">
        <x:v>31 MAY 1740</x:v>
      </x:c>
      <x:c r="E32" s="97" t="str">
        <x:v>27 OCT 1818</x:v>
      </x:c>
      <x:c r="F32" s="97" t="str"/>
      <x:c r="G32" s="97" t="str"/>
      <x:c r="H32" s="97" t="str">
        <x:v>S7</x:v>
      </x:c>
      <x:c r="I32" s="97" t="str">
        <x:v>Confidence B (Strong). Branch: Lee / New England.</x:v>
      </x:c>
      <x:c r="J32" s="97" t="str">
        <x:v>F020</x:v>
      </x:c>
      <x:c r="K32" s="97" t="str">
        <x:v>F015</x:v>
      </x:c>
    </x:row>
    <x:row r="33">
      <x:c r="A33" s="97" t="str">
        <x:v>I036</x:v>
      </x:c>
      <x:c r="B33" s="97" t="str">
        <x:v>Edward Lee</x:v>
      </x:c>
      <x:c r="C33" s="97" t="str">
        <x:v>M</x:v>
      </x:c>
      <x:c r="D33" s="97" t="str">
        <x:v>ABOUT 1656</x:v>
      </x:c>
      <x:c r="E33" s="97" t="str"/>
      <x:c r="F33" s="97" t="str"/>
      <x:c r="G33" s="97" t="str"/>
      <x:c r="H33" s="97" t="str">
        <x:v>S7</x:v>
      </x:c>
      <x:c r="I33" s="97" t="str">
        <x:v>Confidence B (Strong). Branch: Lee / New England. Earlier parentage not supplied in the consulted Ahnentafel.</x:v>
      </x:c>
      <x:c r="J33" s="97" t="str"/>
      <x:c r="K33" s="97" t="str">
        <x:v>F016</x:v>
      </x:c>
    </x:row>
    <x:row r="34">
      <x:c r="A34" s="97" t="str">
        <x:v>I037</x:v>
      </x:c>
      <x:c r="B34" s="97" t="str">
        <x:v>Abigail Stevens</x:v>
      </x:c>
      <x:c r="C34" s="97" t="str">
        <x:v>F</x:v>
      </x:c>
      <x:c r="D34" s="97" t="str"/>
      <x:c r="E34" s="97" t="str">
        <x:v>AUG 1727</x:v>
      </x:c>
      <x:c r="F34" s="97" t="str"/>
      <x:c r="G34" s="97" t="str"/>
      <x:c r="H34" s="97" t="str">
        <x:v>S7</x:v>
      </x:c>
      <x:c r="I34" s="97" t="str">
        <x:v>Confidence B (Strong). Branch: Lee / New England.</x:v>
      </x:c>
      <x:c r="J34" s="97" t="str">
        <x:v>F021</x:v>
      </x:c>
      <x:c r="K34" s="97" t="str">
        <x:v>F016</x:v>
      </x:c>
    </x:row>
    <x:row r="35">
      <x:c r="A35" s="97" t="str">
        <x:v>I038</x:v>
      </x:c>
      <x:c r="B35" s="97" t="str">
        <x:v>Joseph Chidsey</x:v>
      </x:c>
      <x:c r="C35" s="97" t="str">
        <x:v>M</x:v>
      </x:c>
      <x:c r="D35" s="97" t="str"/>
      <x:c r="E35" s="97" t="str"/>
      <x:c r="F35" s="97" t="str"/>
      <x:c r="G35" s="97" t="str"/>
      <x:c r="H35" s="97" t="str">
        <x:v>S7</x:v>
      </x:c>
      <x:c r="I35" s="97" t="str">
        <x:v>Confidence B (Strong). Branch: Lee / New England. Earlier parentage not supplied in the consulted Ahnentafel.</x:v>
      </x:c>
      <x:c r="J35" s="97" t="str"/>
      <x:c r="K35" s="97" t="str">
        <x:v>F017</x:v>
      </x:c>
    </x:row>
    <x:row r="36">
      <x:c r="A36" s="97" t="str">
        <x:v>I039</x:v>
      </x:c>
      <x:c r="B36" s="97" t="str">
        <x:v>Joseph Hotchkiss</x:v>
      </x:c>
      <x:c r="C36" s="97" t="str">
        <x:v>M</x:v>
      </x:c>
      <x:c r="D36" s="97" t="str">
        <x:v>3 JUN 1678</x:v>
      </x:c>
      <x:c r="E36" s="97" t="str">
        <x:v>31 JAN 1740</x:v>
      </x:c>
      <x:c r="F36" s="97" t="str"/>
      <x:c r="G36" s="97" t="str"/>
      <x:c r="H36" s="97" t="str">
        <x:v>S7</x:v>
      </x:c>
      <x:c r="I36" s="97" t="str">
        <x:v>Confidence B (Strong). Branch: Lee / New England.</x:v>
      </x:c>
      <x:c r="J36" s="97" t="str">
        <x:v>F022</x:v>
      </x:c>
      <x:c r="K36" s="97" t="str">
        <x:v>F018</x:v>
      </x:c>
    </x:row>
    <x:row r="37">
      <x:c r="A37" s="97" t="str">
        <x:v>I040</x:v>
      </x:c>
      <x:c r="B37" s="97" t="str">
        <x:v>Hannah Cruttenden</x:v>
      </x:c>
      <x:c r="C37" s="97" t="str">
        <x:v>F</x:v>
      </x:c>
      <x:c r="D37" s="97" t="str">
        <x:v>ABOUT 1679</x:v>
      </x:c>
      <x:c r="E37" s="97" t="str">
        <x:v>28 MAR 1756</x:v>
      </x:c>
      <x:c r="F37" s="97" t="str"/>
      <x:c r="G37" s="97" t="str"/>
      <x:c r="H37" s="97" t="str">
        <x:v>S7</x:v>
      </x:c>
      <x:c r="I37" s="97" t="str">
        <x:v>Confidence B (Strong). Branch: Lee / New England.</x:v>
      </x:c>
      <x:c r="J37" s="97" t="str">
        <x:v>F023</x:v>
      </x:c>
      <x:c r="K37" s="97" t="str">
        <x:v>F018</x:v>
      </x:c>
    </x:row>
    <x:row r="38">
      <x:c r="A38" s="97" t="str">
        <x:v>I041</x:v>
      </x:c>
      <x:c r="B38" s="97" t="str">
        <x:v>Caleb Stone Jr.</x:v>
      </x:c>
      <x:c r="C38" s="97" t="str">
        <x:v>M</x:v>
      </x:c>
      <x:c r="D38" s="97" t="str">
        <x:v>7 MAY 1714; probably Guilford, Connecticut</x:v>
      </x:c>
      <x:c r="E38" s="97" t="str">
        <x:v>28 JUL 1788; Guilford, Connecticut</x:v>
      </x:c>
      <x:c r="F38" s="97" t="str"/>
      <x:c r="G38" s="97" t="str"/>
      <x:c r="H38" s="97" t="str">
        <x:v>S7</x:v>
      </x:c>
      <x:c r="I38" s="97" t="str">
        <x:v>Confidence B (Strong). Branch: Lee / New England.</x:v>
      </x:c>
      <x:c r="J38" s="97" t="str">
        <x:v>F024</x:v>
      </x:c>
      <x:c r="K38" s="97" t="str">
        <x:v>F019</x:v>
      </x:c>
    </x:row>
    <x:row r="39">
      <x:c r="A39" s="97" t="str">
        <x:v>I042</x:v>
      </x:c>
      <x:c r="B39" s="97" t="str">
        <x:v>Rebecca Evarts</x:v>
      </x:c>
      <x:c r="C39" s="97" t="str">
        <x:v>F</x:v>
      </x:c>
      <x:c r="D39" s="97" t="str">
        <x:v>ABOUT 1715</x:v>
      </x:c>
      <x:c r="E39" s="97" t="str">
        <x:v>5 SEP 1795</x:v>
      </x:c>
      <x:c r="F39" s="97" t="str"/>
      <x:c r="G39" s="97" t="str"/>
      <x:c r="H39" s="97" t="str">
        <x:v>S7</x:v>
      </x:c>
      <x:c r="I39" s="97" t="str">
        <x:v>Confidence B (Strong). Branch: Lee / New England.</x:v>
      </x:c>
      <x:c r="J39" s="97" t="str">
        <x:v>F025</x:v>
      </x:c>
      <x:c r="K39" s="97" t="str">
        <x:v>F019</x:v>
      </x:c>
    </x:row>
    <x:row r="40">
      <x:c r="A40" s="97" t="str">
        <x:v>I043</x:v>
      </x:c>
      <x:c r="B40" s="97" t="str">
        <x:v>William Ward</x:v>
      </x:c>
      <x:c r="C40" s="97" t="str">
        <x:v>M</x:v>
      </x:c>
      <x:c r="D40" s="97" t="str">
        <x:v>7 JAN 1705; Wallingford, New Haven County, Connecticut</x:v>
      </x:c>
      <x:c r="E40" s="97" t="str">
        <x:v>19 DEC 1761</x:v>
      </x:c>
      <x:c r="F40" s="97" t="str"/>
      <x:c r="G40" s="97" t="str"/>
      <x:c r="H40" s="97" t="str">
        <x:v>S7</x:v>
      </x:c>
      <x:c r="I40" s="97" t="str">
        <x:v>Confidence B (Strong). Branch: Lee / New England.</x:v>
      </x:c>
      <x:c r="J40" s="97" t="str">
        <x:v>F026</x:v>
      </x:c>
      <x:c r="K40" s="97" t="str">
        <x:v>F020</x:v>
      </x:c>
    </x:row>
    <x:row r="41">
      <x:c r="A41" s="97" t="str">
        <x:v>I044</x:v>
      </x:c>
      <x:c r="B41" s="97" t="str">
        <x:v>Abigail Crampton</x:v>
      </x:c>
      <x:c r="C41" s="97" t="str">
        <x:v>F</x:v>
      </x:c>
      <x:c r="D41" s="97" t="str">
        <x:v>17 OCT 1704</x:v>
      </x:c>
      <x:c r="E41" s="97" t="str">
        <x:v>4 NOV 1757</x:v>
      </x:c>
      <x:c r="F41" s="97" t="str"/>
      <x:c r="G41" s="97" t="str"/>
      <x:c r="H41" s="97" t="str">
        <x:v>S7</x:v>
      </x:c>
      <x:c r="I41" s="97" t="str">
        <x:v>Confidence B (Strong). Branch: Lee / New England.</x:v>
      </x:c>
      <x:c r="J41" s="97" t="str">
        <x:v>F027</x:v>
      </x:c>
      <x:c r="K41" s="97" t="str">
        <x:v>F020</x:v>
      </x:c>
    </x:row>
    <x:row r="42">
      <x:c r="A42" s="97" t="str">
        <x:v>I045</x:v>
      </x:c>
      <x:c r="B42" s="97" t="str">
        <x:v>Thomas Stevens</x:v>
      </x:c>
      <x:c r="C42" s="97" t="str">
        <x:v>M</x:v>
      </x:c>
      <x:c r="D42" s="97" t="str"/>
      <x:c r="E42" s="97" t="str"/>
      <x:c r="F42" s="97" t="str"/>
      <x:c r="G42" s="97" t="str"/>
      <x:c r="H42" s="97" t="str">
        <x:v>S7</x:v>
      </x:c>
      <x:c r="I42" s="97" t="str">
        <x:v>Confidence B (Strong). Branch: Lee / New England.</x:v>
      </x:c>
      <x:c r="J42" s="97" t="str"/>
      <x:c r="K42" s="97" t="str">
        <x:v>F021</x:v>
      </x:c>
    </x:row>
    <x:row r="43">
      <x:c r="A43" s="97" t="str">
        <x:v>I046</x:v>
      </x:c>
      <x:c r="B43" s="97" t="str">
        <x:v>John Hotchkiss</x:v>
      </x:c>
      <x:c r="C43" s="97" t="str">
        <x:v>M</x:v>
      </x:c>
      <x:c r="D43" s="97" t="str">
        <x:v>ABOUT 1643</x:v>
      </x:c>
      <x:c r="E43" s="97" t="str">
        <x:v>BY 23 SEP 1689</x:v>
      </x:c>
      <x:c r="F43" s="97" t="str"/>
      <x:c r="G43" s="97" t="str"/>
      <x:c r="H43" s="97" t="str">
        <x:v>S7</x:v>
      </x:c>
      <x:c r="I43" s="97" t="str">
        <x:v>Confidence B (Strong). Branch: Lee / New England.</x:v>
      </x:c>
      <x:c r="J43" s="97" t="str">
        <x:v>F028</x:v>
      </x:c>
      <x:c r="K43" s="97" t="str">
        <x:v>F022</x:v>
      </x:c>
    </x:row>
    <x:row r="44">
      <x:c r="A44" s="97" t="str">
        <x:v>I047</x:v>
      </x:c>
      <x:c r="B44" s="97" t="str">
        <x:v>Elizabeth Peck</x:v>
      </x:c>
      <x:c r="C44" s="97" t="str">
        <x:v>F</x:v>
      </x:c>
      <x:c r="D44" s="97" t="str"/>
      <x:c r="E44" s="97" t="str"/>
      <x:c r="F44" s="97" t="str"/>
      <x:c r="G44" s="97" t="str"/>
      <x:c r="H44" s="97" t="str">
        <x:v>S7</x:v>
      </x:c>
      <x:c r="I44" s="97" t="str">
        <x:v>Confidence B (Strong). Branch: Lee / New England. Earlier parentage not supplied in the consulted Ahnentafel.</x:v>
      </x:c>
      <x:c r="J44" s="97" t="str"/>
      <x:c r="K44" s="97" t="str">
        <x:v>F022</x:v>
      </x:c>
    </x:row>
    <x:row r="45">
      <x:c r="A45" s="97" t="str">
        <x:v>I048</x:v>
      </x:c>
      <x:c r="B45" s="97" t="str">
        <x:v>Isaac Cruttenden</x:v>
      </x:c>
      <x:c r="C45" s="97" t="str">
        <x:v>M</x:v>
      </x:c>
      <x:c r="D45" s="97" t="str">
        <x:v>ABOUT 1643</x:v>
      </x:c>
      <x:c r="E45" s="97" t="str">
        <x:v>13 JUL 1685</x:v>
      </x:c>
      <x:c r="F45" s="97" t="str"/>
      <x:c r="G45" s="97" t="str"/>
      <x:c r="H45" s="97" t="str">
        <x:v>S7</x:v>
      </x:c>
      <x:c r="I45" s="97" t="str">
        <x:v>Confidence B (Strong). Branch: Lee / New England.</x:v>
      </x:c>
      <x:c r="J45" s="97" t="str">
        <x:v>F029</x:v>
      </x:c>
      <x:c r="K45" s="97" t="str">
        <x:v>F023</x:v>
      </x:c>
    </x:row>
    <x:row r="46">
      <x:c r="A46" s="97" t="str">
        <x:v>I049</x:v>
      </x:c>
      <x:c r="B46" s="97" t="str">
        <x:v>Lydia Thompson</x:v>
      </x:c>
      <x:c r="C46" s="97" t="str">
        <x:v>F</x:v>
      </x:c>
      <x:c r="D46" s="97" t="str">
        <x:v>BAPTIZED 24 JUL 1647; New Haven, Connecticut</x:v>
      </x:c>
      <x:c r="E46" s="97" t="str">
        <x:v>DEC 1729</x:v>
      </x:c>
      <x:c r="F46" s="97" t="str"/>
      <x:c r="G46" s="97" t="str"/>
      <x:c r="H46" s="97" t="str">
        <x:v>S7</x:v>
      </x:c>
      <x:c r="I46" s="97" t="str">
        <x:v>Confidence B (Strong). Branch: Lee / New England.</x:v>
      </x:c>
      <x:c r="J46" s="97" t="str">
        <x:v>F030</x:v>
      </x:c>
      <x:c r="K46" s="97" t="str">
        <x:v>F023</x:v>
      </x:c>
    </x:row>
    <x:row r="47">
      <x:c r="A47" s="97" t="str">
        <x:v>I050</x:v>
      </x:c>
      <x:c r="B47" s="97" t="str">
        <x:v>Caleb Stone</x:v>
      </x:c>
      <x:c r="C47" s="97" t="str">
        <x:v>M</x:v>
      </x:c>
      <x:c r="D47" s="97" t="str">
        <x:v>10 NOV 1685</x:v>
      </x:c>
      <x:c r="E47" s="97" t="str">
        <x:v>25 MAY 1765</x:v>
      </x:c>
      <x:c r="F47" s="97" t="str"/>
      <x:c r="G47" s="97" t="str"/>
      <x:c r="H47" s="97" t="str">
        <x:v>S7</x:v>
      </x:c>
      <x:c r="I47" s="97" t="str">
        <x:v>Confidence B (Strong). Branch: Lee / New England.</x:v>
      </x:c>
      <x:c r="J47" s="97" t="str">
        <x:v>F031</x:v>
      </x:c>
      <x:c r="K47" s="97" t="str">
        <x:v>F024</x:v>
      </x:c>
    </x:row>
    <x:row r="48">
      <x:c r="A48" s="97" t="str">
        <x:v>I051</x:v>
      </x:c>
      <x:c r="B48" s="97" t="str">
        <x:v>Sarah Meigs</x:v>
      </x:c>
      <x:c r="C48" s="97" t="str">
        <x:v>F</x:v>
      </x:c>
      <x:c r="D48" s="97" t="str">
        <x:v>ABOUT 1691</x:v>
      </x:c>
      <x:c r="E48" s="97" t="str">
        <x:v>4 MAY 1775</x:v>
      </x:c>
      <x:c r="F48" s="97" t="str"/>
      <x:c r="G48" s="97" t="str"/>
      <x:c r="H48" s="97" t="str">
        <x:v>S7</x:v>
      </x:c>
      <x:c r="I48" s="97" t="str">
        <x:v>Confidence B (Strong). Branch: Lee / New England.</x:v>
      </x:c>
      <x:c r="J48" s="97" t="str">
        <x:v>F032</x:v>
      </x:c>
      <x:c r="K48" s="97" t="str">
        <x:v>F024</x:v>
      </x:c>
    </x:row>
    <x:row r="49">
      <x:c r="A49" s="97" t="str">
        <x:v>I052</x:v>
      </x:c>
      <x:c r="B49" s="97" t="str">
        <x:v>James Evarts</x:v>
      </x:c>
      <x:c r="C49" s="97" t="str">
        <x:v>M</x:v>
      </x:c>
      <x:c r="D49" s="97" t="str">
        <x:v>18 FEB 1672</x:v>
      </x:c>
      <x:c r="E49" s="97" t="str">
        <x:v>6 APR 1751</x:v>
      </x:c>
      <x:c r="F49" s="97" t="str"/>
      <x:c r="G49" s="97" t="str"/>
      <x:c r="H49" s="97" t="str">
        <x:v>S7</x:v>
      </x:c>
      <x:c r="I49" s="97" t="str">
        <x:v>Confidence B (Strong). Branch: Lee / New England.</x:v>
      </x:c>
      <x:c r="J49" s="97" t="str">
        <x:v>F034</x:v>
      </x:c>
      <x:c r="K49" s="97" t="str">
        <x:v>F025</x:v>
      </x:c>
    </x:row>
    <x:row r="50">
      <x:c r="A50" s="97" t="str">
        <x:v>I053</x:v>
      </x:c>
      <x:c r="B50" s="97" t="str">
        <x:v>William Ward</x:v>
      </x:c>
      <x:c r="C50" s="97" t="str">
        <x:v>M</x:v>
      </x:c>
      <x:c r="D50" s="97" t="str">
        <x:v>18 OCT 1678; Wallingford, New Haven County, Connecticut</x:v>
      </x:c>
      <x:c r="E50" s="97" t="str">
        <x:v>19 DEC 1767; Wallingford, New Haven County, Connecticut</x:v>
      </x:c>
      <x:c r="F50" s="97" t="str"/>
      <x:c r="G50" s="97" t="str"/>
      <x:c r="H50" s="97" t="str">
        <x:v>S7</x:v>
      </x:c>
      <x:c r="I50" s="97" t="str">
        <x:v>Confidence B (Strong). Branch: Lee / New England.</x:v>
      </x:c>
      <x:c r="J50" s="97" t="str">
        <x:v>F035</x:v>
      </x:c>
      <x:c r="K50" s="97" t="str">
        <x:v>F026</x:v>
      </x:c>
    </x:row>
    <x:row r="51">
      <x:c r="A51" s="97" t="str">
        <x:v>I054</x:v>
      </x:c>
      <x:c r="B51" s="97" t="str">
        <x:v>Lettice Beach</x:v>
      </x:c>
      <x:c r="C51" s="97" t="str">
        <x:v>F</x:v>
      </x:c>
      <x:c r="D51" s="97" t="str">
        <x:v>24 DEC 1679; Wallingford, New Haven County, Connecticut</x:v>
      </x:c>
      <x:c r="E51" s="97" t="str"/>
      <x:c r="F51" s="97" t="str"/>
      <x:c r="G51" s="97" t="str"/>
      <x:c r="H51" s="97" t="str">
        <x:v>S7</x:v>
      </x:c>
      <x:c r="I51" s="97" t="str">
        <x:v>Confidence B (Strong). Branch: Lee / New England.</x:v>
      </x:c>
      <x:c r="J51" s="97" t="str">
        <x:v>F036</x:v>
      </x:c>
      <x:c r="K51" s="97" t="str">
        <x:v>F026</x:v>
      </x:c>
    </x:row>
    <x:row r="52">
      <x:c r="A52" s="97" t="str">
        <x:v>I055</x:v>
      </x:c>
      <x:c r="B52" s="97" t="str">
        <x:v>John Crampton</x:v>
      </x:c>
      <x:c r="C52" s="97" t="str">
        <x:v>M</x:v>
      </x:c>
      <x:c r="D52" s="97" t="str"/>
      <x:c r="E52" s="97" t="str"/>
      <x:c r="F52" s="97" t="str"/>
      <x:c r="G52" s="97" t="str"/>
      <x:c r="H52" s="97" t="str">
        <x:v>S7</x:v>
      </x:c>
      <x:c r="I52" s="97" t="str">
        <x:v>Confidence B (Strong). Branch: Lee / New England.</x:v>
      </x:c>
      <x:c r="J52" s="97" t="str"/>
      <x:c r="K52" s="97" t="str">
        <x:v>F027</x:v>
      </x:c>
    </x:row>
    <x:row r="53">
      <x:c r="A53" s="97" t="str">
        <x:v>I056</x:v>
      </x:c>
      <x:c r="B53" s="97" t="str">
        <x:v>Hannah Evarts</x:v>
      </x:c>
      <x:c r="C53" s="97" t="str">
        <x:v>F</x:v>
      </x:c>
      <x:c r="D53" s="97" t="str"/>
      <x:c r="E53" s="97" t="str"/>
      <x:c r="F53" s="97" t="str"/>
      <x:c r="G53" s="97" t="str"/>
      <x:c r="H53" s="97" t="str">
        <x:v>S7</x:v>
      </x:c>
      <x:c r="I53" s="97" t="str">
        <x:v>Confidence B (Strong). Branch: Lee / New England.</x:v>
      </x:c>
      <x:c r="J53" s="97" t="str"/>
      <x:c r="K53" s="97" t="str">
        <x:v>F027</x:v>
      </x:c>
    </x:row>
    <x:row r="54">
      <x:c r="A54" s="97" t="str">
        <x:v>I057</x:v>
      </x:c>
      <x:c r="B54" s="97" t="str">
        <x:v>Samuel Hotchkiss</x:v>
      </x:c>
      <x:c r="C54" s="97" t="str">
        <x:v>M</x:v>
      </x:c>
      <x:c r="D54" s="97" t="str"/>
      <x:c r="E54" s="97" t="str">
        <x:v>28 DEC 1663; New Haven, Connecticut</x:v>
      </x:c>
      <x:c r="F54" s="97" t="str"/>
      <x:c r="G54" s="97" t="str"/>
      <x:c r="H54" s="97" t="str">
        <x:v>S7</x:v>
      </x:c>
      <x:c r="I54" s="97" t="str">
        <x:v>Confidence B (Strong). Branch: Lee / New England.</x:v>
      </x:c>
      <x:c r="J54" s="97" t="str"/>
      <x:c r="K54" s="97" t="str">
        <x:v>F028</x:v>
      </x:c>
    </x:row>
    <x:row r="55">
      <x:c r="A55" s="97" t="str">
        <x:v>I058</x:v>
      </x:c>
      <x:c r="B55" s="97" t="str">
        <x:v>Elizabeth Cleverly</x:v>
      </x:c>
      <x:c r="C55" s="97" t="str">
        <x:v>F</x:v>
      </x:c>
      <x:c r="D55" s="97" t="str"/>
      <x:c r="E55" s="97" t="str">
        <x:v>ABOUT 1681</x:v>
      </x:c>
      <x:c r="F55" s="97" t="str"/>
      <x:c r="G55" s="97" t="str"/>
      <x:c r="H55" s="97" t="str">
        <x:v>S7</x:v>
      </x:c>
      <x:c r="I55" s="97" t="str">
        <x:v>Confidence B (Strong). Branch: Lee / New England.</x:v>
      </x:c>
      <x:c r="J55" s="97" t="str"/>
      <x:c r="K55" s="97" t="str">
        <x:v>F028</x:v>
      </x:c>
    </x:row>
    <x:row r="56">
      <x:c r="A56" s="97" t="str">
        <x:v>I059</x:v>
      </x:c>
      <x:c r="B56" s="97" t="str">
        <x:v>Abraham Cruttenden</x:v>
      </x:c>
      <x:c r="C56" s="97" t="str">
        <x:v>M</x:v>
      </x:c>
      <x:c r="D56" s="97" t="str"/>
      <x:c r="E56" s="97" t="str">
        <x:v>JAN 1683</x:v>
      </x:c>
      <x:c r="F56" s="97" t="str"/>
      <x:c r="G56" s="97" t="str"/>
      <x:c r="H56" s="97" t="str">
        <x:v>S7</x:v>
      </x:c>
      <x:c r="I56" s="97" t="str">
        <x:v>Confidence B (Strong). Branch: Lee / New England.</x:v>
      </x:c>
      <x:c r="J56" s="97" t="str"/>
      <x:c r="K56" s="97" t="str">
        <x:v>F029</x:v>
      </x:c>
    </x:row>
    <x:row r="57">
      <x:c r="A57" s="97" t="str">
        <x:v>I060</x:v>
      </x:c>
      <x:c r="B57" s="97" t="str">
        <x:v>Mary</x:v>
      </x:c>
      <x:c r="C57" s="97" t="str">
        <x:v>F</x:v>
      </x:c>
      <x:c r="D57" s="97" t="str"/>
      <x:c r="E57" s="97" t="str">
        <x:v>ABOUT 1664</x:v>
      </x:c>
      <x:c r="F57" s="97" t="str"/>
      <x:c r="G57" s="97" t="str"/>
      <x:c r="H57" s="97" t="str">
        <x:v>S7</x:v>
      </x:c>
      <x:c r="I57" s="97" t="str">
        <x:v>Confidence B (Strong). Branch: Lee / New England.</x:v>
      </x:c>
      <x:c r="J57" s="97" t="str"/>
      <x:c r="K57" s="97" t="str">
        <x:v>F029</x:v>
      </x:c>
    </x:row>
    <x:row r="58">
      <x:c r="A58" s="97" t="str">
        <x:v>I061</x:v>
      </x:c>
      <x:c r="B58" s="97" t="str">
        <x:v>Anthony Thompson</x:v>
      </x:c>
      <x:c r="C58" s="97" t="str">
        <x:v>M</x:v>
      </x:c>
      <x:c r="D58" s="97" t="str">
        <x:v>ABOUT 1612</x:v>
      </x:c>
      <x:c r="E58" s="97" t="str">
        <x:v>SEP 1648</x:v>
      </x:c>
      <x:c r="F58" s="97" t="str"/>
      <x:c r="G58" s="97" t="str"/>
      <x:c r="H58" s="97" t="str">
        <x:v>S7</x:v>
      </x:c>
      <x:c r="I58" s="97" t="str">
        <x:v>Confidence B (Strong). Branch: Lee / New England.</x:v>
      </x:c>
      <x:c r="J58" s="97" t="str"/>
      <x:c r="K58" s="97" t="str">
        <x:v>F030</x:v>
      </x:c>
    </x:row>
    <x:row r="59">
      <x:c r="A59" s="97" t="str">
        <x:v>I062</x:v>
      </x:c>
      <x:c r="B59" s="97" t="str">
        <x:v>Katherine</x:v>
      </x:c>
      <x:c r="C59" s="97" t="str">
        <x:v>F</x:v>
      </x:c>
      <x:c r="D59" s="97" t="str"/>
      <x:c r="E59" s="97" t="str"/>
      <x:c r="F59" s="97" t="str"/>
      <x:c r="G59" s="97" t="str"/>
      <x:c r="H59" s="97" t="str">
        <x:v>S7</x:v>
      </x:c>
      <x:c r="I59" s="97" t="str">
        <x:v>Confidence B (Strong). Branch: Lee / New England.</x:v>
      </x:c>
      <x:c r="J59" s="97" t="str"/>
      <x:c r="K59" s="97" t="str">
        <x:v>F030</x:v>
      </x:c>
    </x:row>
    <x:row r="60">
      <x:c r="A60" s="97" t="str">
        <x:v>I063</x:v>
      </x:c>
      <x:c r="B60" s="97" t="str">
        <x:v>Nathaniel Stone</x:v>
      </x:c>
      <x:c r="C60" s="97" t="str">
        <x:v>M</x:v>
      </x:c>
      <x:c r="D60" s="97" t="str">
        <x:v>2 FEB 1648; Guilford, New Haven County, Connecticut</x:v>
      </x:c>
      <x:c r="E60" s="97" t="str">
        <x:v>11 AUG 1709</x:v>
      </x:c>
      <x:c r="F60" s="97" t="str"/>
      <x:c r="G60" s="97" t="str"/>
      <x:c r="H60" s="97" t="str">
        <x:v>S7</x:v>
      </x:c>
      <x:c r="I60" s="97" t="str">
        <x:v>Confidence B (Strong). Branch: Lee / New England.</x:v>
      </x:c>
      <x:c r="J60" s="97" t="str">
        <x:v>F037</x:v>
      </x:c>
      <x:c r="K60" s="97" t="str">
        <x:v>F031</x:v>
      </x:c>
    </x:row>
    <x:row r="61">
      <x:c r="A61" s="97" t="str">
        <x:v>I064</x:v>
      </x:c>
      <x:c r="B61" s="97" t="str">
        <x:v>Mary Bartlett</x:v>
      </x:c>
      <x:c r="C61" s="97" t="str">
        <x:v>F</x:v>
      </x:c>
      <x:c r="D61" s="97" t="str">
        <x:v>1 FEB 1655</x:v>
      </x:c>
      <x:c r="E61" s="97" t="str">
        <x:v>5 NOV 1724</x:v>
      </x:c>
      <x:c r="F61" s="97" t="str"/>
      <x:c r="G61" s="97" t="str"/>
      <x:c r="H61" s="97" t="str">
        <x:v>S7</x:v>
      </x:c>
      <x:c r="I61" s="97" t="str">
        <x:v>Confidence B (Strong). Branch: Lee / New England. Her parents were not supplied on the consulted Ahnentafel page.</x:v>
      </x:c>
      <x:c r="J61" s="97" t="str"/>
      <x:c r="K61" s="97" t="str">
        <x:v>F031</x:v>
      </x:c>
    </x:row>
    <x:row r="62">
      <x:c r="A62" s="97" t="str">
        <x:v>I065</x:v>
      </x:c>
      <x:c r="B62" s="97" t="str">
        <x:v>John Meigs</x:v>
      </x:c>
      <x:c r="C62" s="97" t="str">
        <x:v>M</x:v>
      </x:c>
      <x:c r="D62" s="97" t="str">
        <x:v>28 FEB 1641</x:v>
      </x:c>
      <x:c r="E62" s="97" t="str">
        <x:v>9 NOV 1713</x:v>
      </x:c>
      <x:c r="F62" s="97" t="str"/>
      <x:c r="G62" s="97" t="str"/>
      <x:c r="H62" s="97" t="str">
        <x:v>S7</x:v>
      </x:c>
      <x:c r="I62" s="97" t="str">
        <x:v>Confidence B (Strong). Branch: Lee / New England.</x:v>
      </x:c>
      <x:c r="J62" s="97" t="str">
        <x:v>F038</x:v>
      </x:c>
      <x:c r="K62" s="97" t="str">
        <x:v>F032;F033</x:v>
      </x:c>
    </x:row>
    <x:row r="63">
      <x:c r="A63" s="97" t="str">
        <x:v>I066</x:v>
      </x:c>
      <x:c r="B63" s="97" t="str">
        <x:v>Sarah Wilcockson</x:v>
      </x:c>
      <x:c r="C63" s="97" t="str">
        <x:v>F</x:v>
      </x:c>
      <x:c r="D63" s="97" t="str">
        <x:v>26 OCT 1648; Stratford, Fairfield County, Connecticut</x:v>
      </x:c>
      <x:c r="E63" s="97" t="str">
        <x:v>24 NOV 1691</x:v>
      </x:c>
      <x:c r="F63" s="97" t="str"/>
      <x:c r="G63" s="97" t="str"/>
      <x:c r="H63" s="97" t="str">
        <x:v>S7</x:v>
      </x:c>
      <x:c r="I63" s="97" t="str">
        <x:v>Confidence B (Strong). Branch: Lee / New England.</x:v>
      </x:c>
      <x:c r="J63" s="97" t="str">
        <x:v>F039</x:v>
      </x:c>
      <x:c r="K63" s="97" t="str">
        <x:v>F032</x:v>
      </x:c>
    </x:row>
    <x:row r="64">
      <x:c r="A64" s="97" t="str">
        <x:v>I067</x:v>
      </x:c>
      <x:c r="B64" s="97" t="str">
        <x:v>Daniel Evarts</x:v>
      </x:c>
      <x:c r="C64" s="97" t="str">
        <x:v>M</x:v>
      </x:c>
      <x:c r="D64" s="97" t="str">
        <x:v>ABOUT 1645</x:v>
      </x:c>
      <x:c r="E64" s="97" t="str">
        <x:v>5 DEC 1692</x:v>
      </x:c>
      <x:c r="F64" s="97" t="str"/>
      <x:c r="G64" s="97" t="str"/>
      <x:c r="H64" s="97" t="str">
        <x:v>S7</x:v>
      </x:c>
      <x:c r="I64" s="97" t="str">
        <x:v>Confidence B (Strong). Branch: Lee / New England.</x:v>
      </x:c>
      <x:c r="J64" s="97" t="str">
        <x:v>F040</x:v>
      </x:c>
      <x:c r="K64" s="97" t="str">
        <x:v>F034</x:v>
      </x:c>
    </x:row>
    <x:row r="65">
      <x:c r="A65" s="97" t="str">
        <x:v>I068</x:v>
      </x:c>
      <x:c r="B65" s="97" t="str">
        <x:v>Rebecca Dowd</x:v>
      </x:c>
      <x:c r="C65" s="97" t="str">
        <x:v>F</x:v>
      </x:c>
      <x:c r="D65" s="97" t="str"/>
      <x:c r="E65" s="97" t="str">
        <x:v>16 OCT 1703</x:v>
      </x:c>
      <x:c r="F65" s="97" t="str"/>
      <x:c r="G65" s="97" t="str"/>
      <x:c r="H65" s="97" t="str">
        <x:v>S7</x:v>
      </x:c>
      <x:c r="I65" s="97" t="str">
        <x:v>Confidence B (Strong). Branch: Lee / New England.</x:v>
      </x:c>
      <x:c r="J65" s="97" t="str">
        <x:v>F041</x:v>
      </x:c>
      <x:c r="K65" s="97" t="str">
        <x:v>F034</x:v>
      </x:c>
    </x:row>
    <x:row r="66">
      <x:c r="A66" s="97" t="str">
        <x:v>I069</x:v>
      </x:c>
      <x:c r="B66" s="97" t="str">
        <x:v>Andrew Ward Jr.</x:v>
      </x:c>
      <x:c r="C66" s="97" t="str">
        <x:v>M</x:v>
      </x:c>
      <x:c r="D66" s="97" t="str">
        <x:v>ABOUT 1644</x:v>
      </x:c>
      <x:c r="E66" s="97" t="str">
        <x:v>ABOUT 1690</x:v>
      </x:c>
      <x:c r="F66" s="97" t="str"/>
      <x:c r="G66" s="97" t="str"/>
      <x:c r="H66" s="97" t="str">
        <x:v>S7</x:v>
      </x:c>
      <x:c r="I66" s="97" t="str">
        <x:v>Confidence B (Strong). Branch: Lee / New England.</x:v>
      </x:c>
      <x:c r="J66" s="97" t="str">
        <x:v>F042</x:v>
      </x:c>
      <x:c r="K66" s="97" t="str">
        <x:v>F035</x:v>
      </x:c>
    </x:row>
    <x:row r="67">
      <x:c r="A67" s="97" t="str">
        <x:v>I070</x:v>
      </x:c>
      <x:c r="B67" s="97" t="str">
        <x:v>Trial Meigs</x:v>
      </x:c>
      <x:c r="C67" s="97" t="str">
        <x:v>F</x:v>
      </x:c>
      <x:c r="D67" s="97" t="str">
        <x:v>ABOUT 1646; probably New Haven, Connecticut</x:v>
      </x:c>
      <x:c r="E67" s="97" t="str">
        <x:v>ABOUT 1690</x:v>
      </x:c>
      <x:c r="F67" s="97" t="str"/>
      <x:c r="G67" s="97" t="str"/>
      <x:c r="H67" s="97" t="str">
        <x:v>S7</x:v>
      </x:c>
      <x:c r="I67" s="97" t="str">
        <x:v>Confidence B (Strong). Branch: Lee / New England. Pedigree collapse: the same John Meigs and Tamasin Fry are also ancestors through Sarah Meigs.</x:v>
      </x:c>
      <x:c r="J67" s="97" t="str">
        <x:v>F033</x:v>
      </x:c>
      <x:c r="K67" s="97" t="str">
        <x:v>F035</x:v>
      </x:c>
    </x:row>
    <x:row r="68">
      <x:c r="A68" s="97" t="str">
        <x:v>I071</x:v>
      </x:c>
      <x:c r="B68" s="97" t="str">
        <x:v>John Beach</x:v>
      </x:c>
      <x:c r="C68" s="97" t="str">
        <x:v>M</x:v>
      </x:c>
      <x:c r="D68" s="97" t="str">
        <x:v>19 OCT 1655; Milford, New Haven County, Connecticut</x:v>
      </x:c>
      <x:c r="E68" s="97" t="str">
        <x:v>ABOUT 1709</x:v>
      </x:c>
      <x:c r="F68" s="97" t="str"/>
      <x:c r="G68" s="97" t="str"/>
      <x:c r="H68" s="97" t="str">
        <x:v>S7</x:v>
      </x:c>
      <x:c r="I68" s="97" t="str">
        <x:v>Confidence B (Strong). Branch: Lee / New England.</x:v>
      </x:c>
      <x:c r="J68" s="97" t="str">
        <x:v>F043</x:v>
      </x:c>
      <x:c r="K68" s="97" t="str">
        <x:v>F036</x:v>
      </x:c>
    </x:row>
    <x:row r="69">
      <x:c r="A69" s="97" t="str">
        <x:v>I072</x:v>
      </x:c>
      <x:c r="B69" s="97" t="str">
        <x:v>Mary Royce</x:v>
      </x:c>
      <x:c r="C69" s="97" t="str">
        <x:v>F</x:v>
      </x:c>
      <x:c r="D69" s="97" t="str">
        <x:v>ABOUT 1658</x:v>
      </x:c>
      <x:c r="E69" s="97" t="str"/>
      <x:c r="F69" s="97" t="str"/>
      <x:c r="G69" s="97" t="str"/>
      <x:c r="H69" s="97" t="str">
        <x:v>S7</x:v>
      </x:c>
      <x:c r="I69" s="97" t="str">
        <x:v>Confidence B (Strong). Branch: Lee / New England.</x:v>
      </x:c>
      <x:c r="J69" s="97" t="str">
        <x:v>F044</x:v>
      </x:c>
      <x:c r="K69" s="97" t="str">
        <x:v>F036</x:v>
      </x:c>
    </x:row>
    <x:row r="70">
      <x:c r="A70" s="97" t="str">
        <x:v>I073</x:v>
      </x:c>
      <x:c r="B70" s="97" t="str">
        <x:v>John Stone</x:v>
      </x:c>
      <x:c r="C70" s="97" t="str">
        <x:v>M</x:v>
      </x:c>
      <x:c r="D70" s="97" t="str">
        <x:v>ABOUT 1610</x:v>
      </x:c>
      <x:c r="E70" s="97" t="str">
        <x:v>FEB 1687; Guilford, New Haven County, Connecticut</x:v>
      </x:c>
      <x:c r="F70" s="97" t="str"/>
      <x:c r="G70" s="97" t="str"/>
      <x:c r="H70" s="97" t="str">
        <x:v>S7</x:v>
      </x:c>
      <x:c r="I70" s="97" t="str">
        <x:v>Confidence B (Strong). Branch: Lee / New England.</x:v>
      </x:c>
      <x:c r="J70" s="97" t="str"/>
      <x:c r="K70" s="97" t="str">
        <x:v>F037</x:v>
      </x:c>
    </x:row>
    <x:row r="71">
      <x:c r="A71" s="97" t="str">
        <x:v>I074</x:v>
      </x:c>
      <x:c r="B71" s="97" t="str">
        <x:v>Mary</x:v>
      </x:c>
      <x:c r="C71" s="97" t="str">
        <x:v>F</x:v>
      </x:c>
      <x:c r="D71" s="97" t="str"/>
      <x:c r="E71" s="97" t="str">
        <x:v>FEB 1687; Guilford, New Haven County, Connecticut</x:v>
      </x:c>
      <x:c r="F71" s="97" t="str"/>
      <x:c r="G71" s="97" t="str"/>
      <x:c r="H71" s="97" t="str">
        <x:v>S7</x:v>
      </x:c>
      <x:c r="I71" s="97" t="str">
        <x:v>Confidence B (Strong). Branch: Lee / New England.</x:v>
      </x:c>
      <x:c r="J71" s="97" t="str"/>
      <x:c r="K71" s="97" t="str">
        <x:v>F037</x:v>
      </x:c>
    </x:row>
    <x:row r="72">
      <x:c r="A72" s="97" t="str">
        <x:v>I075</x:v>
      </x:c>
      <x:c r="B72" s="97" t="str">
        <x:v>Vincent Meigs</x:v>
      </x:c>
      <x:c r="C72" s="97" t="str">
        <x:v>M</x:v>
      </x:c>
      <x:c r="D72" s="97" t="str">
        <x:v>ABOUT 1583</x:v>
      </x:c>
      <x:c r="E72" s="97" t="str">
        <x:v>DEC 1658; Killingworth, Middlesex County, Connecticut</x:v>
      </x:c>
      <x:c r="F72" s="97" t="str"/>
      <x:c r="G72" s="97" t="str"/>
      <x:c r="H72" s="97" t="str">
        <x:v>S7</x:v>
      </x:c>
      <x:c r="I72" s="97" t="str">
        <x:v>Confidence C (Provisional). Branch: Lee / New England.</x:v>
      </x:c>
      <x:c r="J72" s="97" t="str"/>
      <x:c r="K72" s="97" t="str">
        <x:v>F038</x:v>
      </x:c>
    </x:row>
    <x:row r="73">
      <x:c r="A73" s="97" t="str">
        <x:v>I076</x:v>
      </x:c>
      <x:c r="B73" s="97" t="str">
        <x:v>Tamasin Fry</x:v>
      </x:c>
      <x:c r="C73" s="97" t="str">
        <x:v>F</x:v>
      </x:c>
      <x:c r="D73" s="97" t="str"/>
      <x:c r="E73" s="97" t="str">
        <x:v>AFTER 28 AUG 1671</x:v>
      </x:c>
      <x:c r="F73" s="97" t="str"/>
      <x:c r="G73" s="97" t="str"/>
      <x:c r="H73" s="97" t="str">
        <x:v>S7</x:v>
      </x:c>
      <x:c r="I73" s="97" t="str">
        <x:v>Confidence B (Strong). Branch: Lee / New England.</x:v>
      </x:c>
      <x:c r="J73" s="97" t="str"/>
      <x:c r="K73" s="97" t="str">
        <x:v>F033;F038</x:v>
      </x:c>
    </x:row>
    <x:row r="74">
      <x:c r="A74" s="97" t="str">
        <x:v>I077</x:v>
      </x:c>
      <x:c r="B74" s="97" t="str">
        <x:v>William Wilcockson</x:v>
      </x:c>
      <x:c r="C74" s="97" t="str">
        <x:v>M</x:v>
      </x:c>
      <x:c r="D74" s="97" t="str">
        <x:v>ABOUT 1601; St. Albans, Hertfordshire, England</x:v>
      </x:c>
      <x:c r="E74" s="97" t="str">
        <x:v>1651/52; Cambridge, Massachusetts</x:v>
      </x:c>
      <x:c r="F74" s="97" t="str"/>
      <x:c r="G74" s="97" t="str"/>
      <x:c r="H74" s="97" t="str">
        <x:v>S7</x:v>
      </x:c>
      <x:c r="I74" s="97" t="str">
        <x:v>Confidence B (Strong). Branch: Lee / New England.</x:v>
      </x:c>
      <x:c r="J74" s="97" t="str"/>
      <x:c r="K74" s="97" t="str">
        <x:v>F039</x:v>
      </x:c>
    </x:row>
    <x:row r="75">
      <x:c r="A75" s="97" t="str">
        <x:v>I078</x:v>
      </x:c>
      <x:c r="B75" s="97" t="str">
        <x:v>Margaret Harvey</x:v>
      </x:c>
      <x:c r="C75" s="97" t="str">
        <x:v>F</x:v>
      </x:c>
      <x:c r="D75" s="97" t="str"/>
      <x:c r="E75" s="97" t="str"/>
      <x:c r="F75" s="97" t="str"/>
      <x:c r="G75" s="97" t="str"/>
      <x:c r="H75" s="97" t="str">
        <x:v>S7</x:v>
      </x:c>
      <x:c r="I75" s="97" t="str">
        <x:v>Confidence B (Strong). Branch: Lee / New England.</x:v>
      </x:c>
      <x:c r="J75" s="97" t="str">
        <x:v>F045</x:v>
      </x:c>
      <x:c r="K75" s="97" t="str">
        <x:v>F039</x:v>
      </x:c>
    </x:row>
    <x:row r="76">
      <x:c r="A76" s="97" t="str">
        <x:v>I079</x:v>
      </x:c>
      <x:c r="B76" s="97" t="str">
        <x:v>John Evarts</x:v>
      </x:c>
      <x:c r="C76" s="97" t="str">
        <x:v>M</x:v>
      </x:c>
      <x:c r="D76" s="97" t="str">
        <x:v>ABOUT 1600</x:v>
      </x:c>
      <x:c r="E76" s="97" t="str">
        <x:v>BURIED 10 MAY 1669; Guilford, New Haven County, Connecticut</x:v>
      </x:c>
      <x:c r="F76" s="97" t="str"/>
      <x:c r="G76" s="97" t="str"/>
      <x:c r="H76" s="97" t="str">
        <x:v>S7</x:v>
      </x:c>
      <x:c r="I76" s="97" t="str">
        <x:v>Confidence B (Strong). Branch: Lee / New England.</x:v>
      </x:c>
      <x:c r="J76" s="97" t="str"/>
      <x:c r="K76" s="97" t="str">
        <x:v>F040</x:v>
      </x:c>
    </x:row>
    <x:row r="77">
      <x:c r="A77" s="97" t="str">
        <x:v>I080</x:v>
      </x:c>
      <x:c r="B77" s="97" t="str">
        <x:v>Elizabeth</x:v>
      </x:c>
      <x:c r="C77" s="97" t="str">
        <x:v>F</x:v>
      </x:c>
      <x:c r="D77" s="97" t="str"/>
      <x:c r="E77" s="97" t="str"/>
      <x:c r="F77" s="97" t="str"/>
      <x:c r="G77" s="97" t="str"/>
      <x:c r="H77" s="97" t="str">
        <x:v>S7</x:v>
      </x:c>
      <x:c r="I77" s="97" t="str">
        <x:v>Confidence B (Strong). Branch: Lee / New England.</x:v>
      </x:c>
      <x:c r="J77" s="97" t="str"/>
      <x:c r="K77" s="97" t="str">
        <x:v>F040</x:v>
      </x:c>
    </x:row>
    <x:row r="78">
      <x:c r="A78" s="97" t="str">
        <x:v>I081</x:v>
      </x:c>
      <x:c r="B78" s="97" t="str">
        <x:v>Henry Dowd</x:v>
      </x:c>
      <x:c r="C78" s="97" t="str">
        <x:v>M</x:v>
      </x:c>
      <x:c r="D78" s="97" t="str"/>
      <x:c r="E78" s="97" t="str"/>
      <x:c r="F78" s="97" t="str"/>
      <x:c r="G78" s="97" t="str"/>
      <x:c r="H78" s="97" t="str">
        <x:v>S7</x:v>
      </x:c>
      <x:c r="I78" s="97" t="str">
        <x:v>Confidence B (Strong). Branch: Lee / New England.</x:v>
      </x:c>
      <x:c r="J78" s="97" t="str"/>
      <x:c r="K78" s="97" t="str">
        <x:v>F041</x:v>
      </x:c>
    </x:row>
    <x:row r="79">
      <x:c r="A79" s="97" t="str">
        <x:v>I082</x:v>
      </x:c>
      <x:c r="B79" s="97" t="str">
        <x:v>Andrew Ward</x:v>
      </x:c>
      <x:c r="C79" s="97" t="str">
        <x:v>M</x:v>
      </x:c>
      <x:c r="D79" s="97" t="str">
        <x:v>ABOUT 1603</x:v>
      </x:c>
      <x:c r="E79" s="97" t="str">
        <x:v>1659</x:v>
      </x:c>
      <x:c r="F79" s="97" t="str"/>
      <x:c r="G79" s="97" t="str"/>
      <x:c r="H79" s="97" t="str">
        <x:v>S7</x:v>
      </x:c>
      <x:c r="I79" s="97" t="str">
        <x:v>Confidence B (Strong). Branch: Lee / New England.</x:v>
      </x:c>
      <x:c r="J79" s="97" t="str"/>
      <x:c r="K79" s="97" t="str">
        <x:v>F042</x:v>
      </x:c>
    </x:row>
    <x:row r="80">
      <x:c r="A80" s="97" t="str">
        <x:v>I083</x:v>
      </x:c>
      <x:c r="B80" s="97" t="str">
        <x:v>Hester Sherman</x:v>
      </x:c>
      <x:c r="C80" s="97" t="str">
        <x:v>F</x:v>
      </x:c>
      <x:c r="D80" s="97" t="str">
        <x:v>BAPTIZED 1 APR 1606; Dedham, Essex, England</x:v>
      </x:c>
      <x:c r="E80" s="97" t="str">
        <x:v>1665/66</x:v>
      </x:c>
      <x:c r="F80" s="97" t="str"/>
      <x:c r="G80" s="97" t="str"/>
      <x:c r="H80" s="97" t="str">
        <x:v>S7</x:v>
      </x:c>
      <x:c r="I80" s="97" t="str">
        <x:v>Confidence B (Strong). Branch: Lee / New England.</x:v>
      </x:c>
      <x:c r="J80" s="97" t="str">
        <x:v>F046</x:v>
      </x:c>
      <x:c r="K80" s="97" t="str">
        <x:v>F042</x:v>
      </x:c>
    </x:row>
    <x:row r="81">
      <x:c r="A81" s="97" t="str">
        <x:v>I084</x:v>
      </x:c>
      <x:c r="B81" s="97" t="str">
        <x:v>Thomas Beach</x:v>
      </x:c>
      <x:c r="C81" s="97" t="str">
        <x:v>M</x:v>
      </x:c>
      <x:c r="D81" s="97" t="str"/>
      <x:c r="E81" s="97" t="str">
        <x:v>BY 31 MAY 1662; Milford, New Haven County, Connecticut</x:v>
      </x:c>
      <x:c r="F81" s="97" t="str"/>
      <x:c r="G81" s="97" t="str"/>
      <x:c r="H81" s="97" t="str">
        <x:v>S7</x:v>
      </x:c>
      <x:c r="I81" s="97" t="str">
        <x:v>Confidence B (Strong). Branch: Lee / New England.</x:v>
      </x:c>
      <x:c r="J81" s="97" t="str">
        <x:v>F047</x:v>
      </x:c>
      <x:c r="K81" s="97" t="str">
        <x:v>F043</x:v>
      </x:c>
    </x:row>
    <x:row r="82">
      <x:c r="A82" s="97" t="str">
        <x:v>I085</x:v>
      </x:c>
      <x:c r="B82" s="97" t="str">
        <x:v>Sarah Platt</x:v>
      </x:c>
      <x:c r="C82" s="97" t="str">
        <x:v>F</x:v>
      </x:c>
      <x:c r="D82" s="97" t="str">
        <x:v>BAPTIZED 11 SEP 1636; Ware, Hertfordshire, England</x:v>
      </x:c>
      <x:c r="E82" s="97" t="str">
        <x:v>15 MAY 1670; Milford, New Haven County, Connecticut</x:v>
      </x:c>
      <x:c r="F82" s="97" t="str"/>
      <x:c r="G82" s="97" t="str"/>
      <x:c r="H82" s="97" t="str">
        <x:v>S7</x:v>
      </x:c>
      <x:c r="I82" s="97" t="str">
        <x:v>Confidence B (Strong). Branch: Lee / New England.</x:v>
      </x:c>
      <x:c r="J82" s="97" t="str">
        <x:v>F048</x:v>
      </x:c>
      <x:c r="K82" s="97" t="str">
        <x:v>F043</x:v>
      </x:c>
    </x:row>
    <x:row r="83">
      <x:c r="A83" s="97" t="str">
        <x:v>I086</x:v>
      </x:c>
      <x:c r="B83" s="97" t="str">
        <x:v>Jonathan Royce</x:v>
      </x:c>
      <x:c r="C83" s="97" t="str">
        <x:v>M</x:v>
      </x:c>
      <x:c r="D83" s="97" t="str"/>
      <x:c r="E83" s="97" t="str">
        <x:v>ABOUT 1690</x:v>
      </x:c>
      <x:c r="F83" s="97" t="str"/>
      <x:c r="G83" s="97" t="str"/>
      <x:c r="H83" s="97" t="str">
        <x:v>S7</x:v>
      </x:c>
      <x:c r="I83" s="97" t="str">
        <x:v>Confidence B (Strong). Branch: Lee / New England.</x:v>
      </x:c>
      <x:c r="J83" s="97" t="str">
        <x:v>F049</x:v>
      </x:c>
      <x:c r="K83" s="97" t="str">
        <x:v>F044</x:v>
      </x:c>
    </x:row>
    <x:row r="84">
      <x:c r="A84" s="97" t="str">
        <x:v>I087</x:v>
      </x:c>
      <x:c r="B84" s="97" t="str">
        <x:v>Ann Spinning</x:v>
      </x:c>
      <x:c r="C84" s="97" t="str">
        <x:v>F</x:v>
      </x:c>
      <x:c r="D84" s="97" t="str"/>
      <x:c r="E84" s="97" t="str">
        <x:v>ABOUT 1658</x:v>
      </x:c>
      <x:c r="F84" s="97" t="str"/>
      <x:c r="G84" s="97" t="str"/>
      <x:c r="H84" s="97" t="str">
        <x:v>S7</x:v>
      </x:c>
      <x:c r="I84" s="97" t="str">
        <x:v>Confidence B (Strong). Branch: Lee / New England.</x:v>
      </x:c>
      <x:c r="J84" s="97" t="str">
        <x:v>F050</x:v>
      </x:c>
      <x:c r="K84" s="97" t="str">
        <x:v>F044</x:v>
      </x:c>
    </x:row>
    <x:row r="85">
      <x:c r="A85" s="97" t="str">
        <x:v>I088</x:v>
      </x:c>
      <x:c r="B85" s="97" t="str">
        <x:v>James Harvey</x:v>
      </x:c>
      <x:c r="C85" s="97" t="str">
        <x:v>M</x:v>
      </x:c>
      <x:c r="D85" s="97" t="str"/>
      <x:c r="E85" s="97" t="str"/>
      <x:c r="F85" s="97" t="str"/>
      <x:c r="G85" s="97" t="str"/>
      <x:c r="H85" s="97" t="str">
        <x:v>S7</x:v>
      </x:c>
      <x:c r="I85" s="97" t="str">
        <x:v>Confidence C (Provisional). Branch: Lee / New England.</x:v>
      </x:c>
      <x:c r="J85" s="97" t="str"/>
      <x:c r="K85" s="97" t="str">
        <x:v>F045</x:v>
      </x:c>
    </x:row>
    <x:row r="86">
      <x:c r="A86" s="97" t="str">
        <x:v>I089</x:v>
      </x:c>
      <x:c r="B86" s="97" t="str">
        <x:v>Edmund Sherman</x:v>
      </x:c>
      <x:c r="C86" s="97" t="str">
        <x:v>M</x:v>
      </x:c>
      <x:c r="D86" s="97" t="str">
        <x:v>ABOUT 1572; probably Dedham, Essex, England</x:v>
      </x:c>
      <x:c r="E86" s="97" t="str">
        <x:v>1640/41; New Haven, Connecticut</x:v>
      </x:c>
      <x:c r="F86" s="97" t="str"/>
      <x:c r="G86" s="97" t="str"/>
      <x:c r="H86" s="97" t="str">
        <x:v>S7</x:v>
      </x:c>
      <x:c r="I86" s="97" t="str">
        <x:v>Confidence C (Provisional). Branch: Lee / New England.</x:v>
      </x:c>
      <x:c r="J86" s="97" t="str">
        <x:v>F051</x:v>
      </x:c>
      <x:c r="K86" s="97" t="str">
        <x:v>F046</x:v>
      </x:c>
    </x:row>
    <x:row r="87">
      <x:c r="A87" s="97" t="str">
        <x:v>I090</x:v>
      </x:c>
      <x:c r="B87" s="97" t="str">
        <x:v>Grace Makin</x:v>
      </x:c>
      <x:c r="C87" s="97" t="str">
        <x:v>F</x:v>
      </x:c>
      <x:c r="D87" s="97" t="str">
        <x:v>ABOUT 1578</x:v>
      </x:c>
      <x:c r="E87" s="97" t="str">
        <x:v>AFTER 14 JUN 1643</x:v>
      </x:c>
      <x:c r="F87" s="97" t="str"/>
      <x:c r="G87" s="97" t="str"/>
      <x:c r="H87" s="97" t="str">
        <x:v>S7</x:v>
      </x:c>
      <x:c r="I87" s="97" t="str">
        <x:v>Confidence C (Provisional). Branch: Lee / New England.</x:v>
      </x:c>
      <x:c r="J87" s="97" t="str">
        <x:v>F052</x:v>
      </x:c>
      <x:c r="K87" s="97" t="str">
        <x:v>F046</x:v>
      </x:c>
    </x:row>
    <x:row r="88">
      <x:c r="A88" s="97" t="str">
        <x:v>I091</x:v>
      </x:c>
      <x:c r="B88" s="97" t="str">
        <x:v>Unknown Beach</x:v>
      </x:c>
      <x:c r="C88" s="97" t="str">
        <x:v>M</x:v>
      </x:c>
      <x:c r="D88" s="97" t="str"/>
      <x:c r="E88" s="97" t="str"/>
      <x:c r="F88" s="97" t="str"/>
      <x:c r="G88" s="97" t="str"/>
      <x:c r="H88" s="97" t="str">
        <x:v>S7</x:v>
      </x:c>
      <x:c r="I88" s="97" t="str">
        <x:v>Confidence C (Provisional). Branch: Lee / New England. Only the surname is supplied in the consulted Ahnentafel.</x:v>
      </x:c>
      <x:c r="J88" s="97" t="str"/>
      <x:c r="K88" s="97" t="str">
        <x:v>F047</x:v>
      </x:c>
    </x:row>
    <x:row r="89">
      <x:c r="A89" s="97" t="str">
        <x:v>I092</x:v>
      </x:c>
      <x:c r="B89" s="97" t="str">
        <x:v>Richard Platt</x:v>
      </x:c>
      <x:c r="C89" s="97" t="str">
        <x:v>M</x:v>
      </x:c>
      <x:c r="D89" s="97" t="str">
        <x:v>BAPTIZED 6 MAY 1604; Ware, Hertfordshire, England</x:v>
      </x:c>
      <x:c r="E89" s="97" t="str">
        <x:v>BY 13 FEB 1684/85; Milford, New Haven County, Connecticut</x:v>
      </x:c>
      <x:c r="F89" s="97" t="str"/>
      <x:c r="G89" s="97" t="str"/>
      <x:c r="H89" s="97" t="str">
        <x:v>S7</x:v>
      </x:c>
      <x:c r="I89" s="97" t="str">
        <x:v>Confidence B (Strong). Branch: Lee / New England.</x:v>
      </x:c>
      <x:c r="J89" s="97" t="str">
        <x:v>F053</x:v>
      </x:c>
      <x:c r="K89" s="97" t="str">
        <x:v>F048</x:v>
      </x:c>
    </x:row>
    <x:row r="90">
      <x:c r="A90" s="97" t="str">
        <x:v>I093</x:v>
      </x:c>
      <x:c r="B90" s="97" t="str">
        <x:v>Mary Wood</x:v>
      </x:c>
      <x:c r="C90" s="97" t="str">
        <x:v>F</x:v>
      </x:c>
      <x:c r="D90" s="97" t="str">
        <x:v>BAPTIZED 10 NOV 1605; Roydon, Essex, England</x:v>
      </x:c>
      <x:c r="E90" s="97" t="str">
        <x:v>BURIED 24 MAR 1675/76; Milford, New Haven County, Connecticut</x:v>
      </x:c>
      <x:c r="F90" s="97" t="str"/>
      <x:c r="G90" s="97" t="str"/>
      <x:c r="H90" s="97" t="str">
        <x:v>S7</x:v>
      </x:c>
      <x:c r="I90" s="97" t="str">
        <x:v>Confidence B (Strong). Branch: Lee / New England.</x:v>
      </x:c>
      <x:c r="J90" s="97" t="str">
        <x:v>F054</x:v>
      </x:c>
      <x:c r="K90" s="97" t="str">
        <x:v>F048</x:v>
      </x:c>
    </x:row>
    <x:row r="91">
      <x:c r="A91" s="97" t="str">
        <x:v>I094</x:v>
      </x:c>
      <x:c r="B91" s="97" t="str">
        <x:v>Robert Royce</x:v>
      </x:c>
      <x:c r="C91" s="97" t="str">
        <x:v>M</x:v>
      </x:c>
      <x:c r="D91" s="97" t="str"/>
      <x:c r="E91" s="97" t="str">
        <x:v>ABOUT 1676; New London, Connecticut</x:v>
      </x:c>
      <x:c r="F91" s="97" t="str"/>
      <x:c r="G91" s="97" t="str"/>
      <x:c r="H91" s="97" t="str">
        <x:v>S7</x:v>
      </x:c>
      <x:c r="I91" s="97" t="str">
        <x:v>Confidence B (Strong). Branch: Lee / New England.</x:v>
      </x:c>
      <x:c r="J91" s="97" t="str"/>
      <x:c r="K91" s="97" t="str">
        <x:v>F049</x:v>
      </x:c>
    </x:row>
    <x:row r="92">
      <x:c r="A92" s="97" t="str">
        <x:v>I095</x:v>
      </x:c>
      <x:c r="B92" s="97" t="str">
        <x:v>Mary</x:v>
      </x:c>
      <x:c r="C92" s="97" t="str">
        <x:v>F</x:v>
      </x:c>
      <x:c r="D92" s="97" t="str">
        <x:v>ABOUT 1609</x:v>
      </x:c>
      <x:c r="E92" s="97" t="str">
        <x:v>ABOUT 1696; Wallingford, Connecticut</x:v>
      </x:c>
      <x:c r="F92" s="97" t="str"/>
      <x:c r="G92" s="97" t="str"/>
      <x:c r="H92" s="97" t="str">
        <x:v>S7</x:v>
      </x:c>
      <x:c r="I92" s="97" t="str">
        <x:v>Confidence B (Strong). Branch: Lee / New England.</x:v>
      </x:c>
      <x:c r="J92" s="97" t="str"/>
      <x:c r="K92" s="97" t="str">
        <x:v>F049</x:v>
      </x:c>
    </x:row>
    <x:row r="93">
      <x:c r="A93" s="97" t="str">
        <x:v>I096</x:v>
      </x:c>
      <x:c r="B93" s="97" t="str">
        <x:v>Humphrey Spinning</x:v>
      </x:c>
      <x:c r="C93" s="97" t="str">
        <x:v>M</x:v>
      </x:c>
      <x:c r="D93" s="97" t="str"/>
      <x:c r="E93" s="97" t="str"/>
      <x:c r="F93" s="97" t="str"/>
      <x:c r="G93" s="97" t="str"/>
      <x:c r="H93" s="97" t="str">
        <x:v>S7</x:v>
      </x:c>
      <x:c r="I93" s="97" t="str">
        <x:v>Confidence C (Provisional). Branch: Lee / New England.</x:v>
      </x:c>
      <x:c r="J93" s="97" t="str"/>
      <x:c r="K93" s="97" t="str">
        <x:v>F050</x:v>
      </x:c>
    </x:row>
    <x:row r="94">
      <x:c r="A94" s="97" t="str">
        <x:v>I097</x:v>
      </x:c>
      <x:c r="B94" s="97" t="str">
        <x:v>Edmund Sherman</x:v>
      </x:c>
      <x:c r="C94" s="97" t="str">
        <x:v>M</x:v>
      </x:c>
      <x:c r="D94" s="97" t="str">
        <x:v>ABOUT 1548</x:v>
      </x:c>
      <x:c r="E94" s="97" t="str">
        <x:v>BURIED 22 DEC 1600; Dedham, Essex, England</x:v>
      </x:c>
      <x:c r="F94" s="97" t="str"/>
      <x:c r="G94" s="97" t="str"/>
      <x:c r="H94" s="97" t="str">
        <x:v>S7</x:v>
      </x:c>
      <x:c r="I94" s="97" t="str">
        <x:v>Confidence C (Provisional). Branch: Lee / New England.</x:v>
      </x:c>
      <x:c r="J94" s="97" t="str">
        <x:v>F055</x:v>
      </x:c>
      <x:c r="K94" s="97" t="str">
        <x:v>F051</x:v>
      </x:c>
    </x:row>
    <x:row r="95">
      <x:c r="A95" s="97" t="str">
        <x:v>I098</x:v>
      </x:c>
      <x:c r="B95" s="97" t="str">
        <x:v>Anne Pellett</x:v>
      </x:c>
      <x:c r="C95" s="97" t="str">
        <x:v>F</x:v>
      </x:c>
      <x:c r="D95" s="97" t="str">
        <x:v>ABOUT 1549; probably Steyning, Sussex, England</x:v>
      </x:c>
      <x:c r="E95" s="97" t="str">
        <x:v>BURIED 8 JUN 1584; Dedham, Essex, England</x:v>
      </x:c>
      <x:c r="F95" s="97" t="str"/>
      <x:c r="G95" s="97" t="str"/>
      <x:c r="H95" s="97" t="str">
        <x:v>S7</x:v>
      </x:c>
      <x:c r="I95" s="97" t="str">
        <x:v>Confidence C (Provisional). Branch: Lee / New England.</x:v>
      </x:c>
      <x:c r="J95" s="97" t="str">
        <x:v>F056</x:v>
      </x:c>
      <x:c r="K95" s="97" t="str">
        <x:v>F051</x:v>
      </x:c>
    </x:row>
    <x:row r="96">
      <x:c r="A96" s="97" t="str">
        <x:v>I099</x:v>
      </x:c>
      <x:c r="B96" s="97" t="str">
        <x:v>Tobias Makin</x:v>
      </x:c>
      <x:c r="C96" s="97" t="str">
        <x:v>M</x:v>
      </x:c>
      <x:c r="D96" s="97" t="str"/>
      <x:c r="E96" s="97" t="str">
        <x:v>1610; probably Fingringhoe, Essex, England</x:v>
      </x:c>
      <x:c r="F96" s="97" t="str"/>
      <x:c r="G96" s="97" t="str"/>
      <x:c r="H96" s="97" t="str">
        <x:v>S7</x:v>
      </x:c>
      <x:c r="I96" s="97" t="str">
        <x:v>Confidence C (Provisional). Branch: Lee / New England.</x:v>
      </x:c>
      <x:c r="J96" s="97" t="str">
        <x:v>F057</x:v>
      </x:c>
      <x:c r="K96" s="97" t="str">
        <x:v>F052</x:v>
      </x:c>
    </x:row>
    <x:row r="97">
      <x:c r="A97" s="97" t="str">
        <x:v>I100</x:v>
      </x:c>
      <x:c r="B97" s="97" t="str">
        <x:v>Katherine Westbrome</x:v>
      </x:c>
      <x:c r="C97" s="97" t="str">
        <x:v>F</x:v>
      </x:c>
      <x:c r="D97" s="97" t="str"/>
      <x:c r="E97" s="97" t="str"/>
      <x:c r="F97" s="97" t="str"/>
      <x:c r="G97" s="97" t="str"/>
      <x:c r="H97" s="97" t="str">
        <x:v>S7</x:v>
      </x:c>
      <x:c r="I97" s="97" t="str">
        <x:v>Confidence C (Provisional). Branch: Lee / New England.</x:v>
      </x:c>
      <x:c r="J97" s="97" t="str">
        <x:v>F058</x:v>
      </x:c>
      <x:c r="K97" s="97" t="str">
        <x:v>F052</x:v>
      </x:c>
    </x:row>
    <x:row r="98">
      <x:c r="A98" s="97" t="str">
        <x:v>I101</x:v>
      </x:c>
      <x:c r="B98" s="97" t="str">
        <x:v>George Platt</x:v>
      </x:c>
      <x:c r="C98" s="97" t="str">
        <x:v>M</x:v>
      </x:c>
      <x:c r="D98" s="97" t="str">
        <x:v>BAPTIZED 13 MAY 1582; Ware, Hertfordshire, England</x:v>
      </x:c>
      <x:c r="E98" s="97" t="str">
        <x:v>BURIED 20 APR 1609; Ware, Hertfordshire, England</x:v>
      </x:c>
      <x:c r="F98" s="97" t="str"/>
      <x:c r="G98" s="97" t="str"/>
      <x:c r="H98" s="97" t="str">
        <x:v>S7</x:v>
      </x:c>
      <x:c r="I98" s="97" t="str">
        <x:v>Confidence C (Provisional). Branch: Lee / New England.</x:v>
      </x:c>
      <x:c r="J98" s="97" t="str">
        <x:v>F059</x:v>
      </x:c>
      <x:c r="K98" s="97" t="str">
        <x:v>F053</x:v>
      </x:c>
    </x:row>
    <x:row r="99">
      <x:c r="A99" s="97" t="str">
        <x:v>I102</x:v>
      </x:c>
      <x:c r="B99" s="97" t="str">
        <x:v>Mary</x:v>
      </x:c>
      <x:c r="C99" s="97" t="str">
        <x:v>F</x:v>
      </x:c>
      <x:c r="D99" s="97" t="str"/>
      <x:c r="E99" s="97" t="str"/>
      <x:c r="F99" s="97" t="str"/>
      <x:c r="G99" s="97" t="str"/>
      <x:c r="H99" s="97" t="str">
        <x:v>S7</x:v>
      </x:c>
      <x:c r="I99" s="97" t="str">
        <x:v>Confidence C (Provisional). Branch: Lee / New England.</x:v>
      </x:c>
      <x:c r="J99" s="97" t="str"/>
      <x:c r="K99" s="97" t="str">
        <x:v>F053</x:v>
      </x:c>
    </x:row>
    <x:row r="100">
      <x:c r="A100" s="97" t="str">
        <x:v>I103</x:v>
      </x:c>
      <x:c r="B100" s="97" t="str">
        <x:v>John Wood</x:v>
      </x:c>
      <x:c r="C100" s="97" t="str">
        <x:v>M</x:v>
      </x:c>
      <x:c r="D100" s="97" t="str"/>
      <x:c r="E100" s="97" t="str"/>
      <x:c r="F100" s="97" t="str"/>
      <x:c r="G100" s="97" t="str"/>
      <x:c r="H100" s="97" t="str">
        <x:v>S7</x:v>
      </x:c>
      <x:c r="I100" s="97" t="str">
        <x:v>Confidence C (Provisional). Branch: Lee / New England.</x:v>
      </x:c>
      <x:c r="J100" s="97" t="str"/>
      <x:c r="K100" s="97" t="str">
        <x:v>F054</x:v>
      </x:c>
    </x:row>
    <x:row r="101">
      <x:c r="A101" s="97" t="str">
        <x:v>I104</x:v>
      </x:c>
      <x:c r="B101" s="97" t="str">
        <x:v>Jane</x:v>
      </x:c>
      <x:c r="C101" s="97" t="str">
        <x:v>F</x:v>
      </x:c>
      <x:c r="D101" s="97" t="str"/>
      <x:c r="E101" s="97" t="str"/>
      <x:c r="F101" s="97" t="str"/>
      <x:c r="G101" s="97" t="str"/>
      <x:c r="H101" s="97" t="str">
        <x:v>S7</x:v>
      </x:c>
      <x:c r="I101" s="97" t="str">
        <x:v>Confidence C (Provisional). Branch: Lee / New England.</x:v>
      </x:c>
      <x:c r="J101" s="97" t="str"/>
      <x:c r="K101" s="97" t="str">
        <x:v>F054</x:v>
      </x:c>
    </x:row>
    <x:row r="102">
      <x:c r="A102" s="97" t="str">
        <x:v>I105</x:v>
      </x:c>
      <x:c r="B102" s="97" t="str">
        <x:v>Henry Sherman</x:v>
      </x:c>
      <x:c r="C102" s="97" t="str">
        <x:v>M</x:v>
      </x:c>
      <x:c r="D102" s="97" t="str">
        <x:v>ABOUT 1512</x:v>
      </x:c>
      <x:c r="E102" s="97" t="str">
        <x:v>1589/90</x:v>
      </x:c>
      <x:c r="F102" s="97" t="str"/>
      <x:c r="G102" s="97" t="str"/>
      <x:c r="H102" s="97" t="str">
        <x:v>S7</x:v>
      </x:c>
      <x:c r="I102" s="97" t="str">
        <x:v>Confidence C (Provisional). Branch: Lee / New England. Oldest dated ancestor in the compiled Lee branch used here.</x:v>
      </x:c>
      <x:c r="J102" s="97" t="str"/>
      <x:c r="K102" s="97" t="str">
        <x:v>F055</x:v>
      </x:c>
    </x:row>
    <x:row r="103">
      <x:c r="A103" s="97" t="str">
        <x:v>I106</x:v>
      </x:c>
      <x:c r="B103" s="97" t="str">
        <x:v>Agnes</x:v>
      </x:c>
      <x:c r="C103" s="97" t="str">
        <x:v>F</x:v>
      </x:c>
      <x:c r="D103" s="97" t="str"/>
      <x:c r="E103" s="97" t="str">
        <x:v>BURIED 14 OCT 1580; Dedham, Essex, England</x:v>
      </x:c>
      <x:c r="F103" s="97" t="str"/>
      <x:c r="G103" s="97" t="str"/>
      <x:c r="H103" s="97" t="str">
        <x:v>S7</x:v>
      </x:c>
      <x:c r="I103" s="97" t="str">
        <x:v>Confidence C (Provisional). Branch: Lee / New England.</x:v>
      </x:c>
      <x:c r="J103" s="97" t="str"/>
      <x:c r="K103" s="97" t="str">
        <x:v>F055</x:v>
      </x:c>
    </x:row>
    <x:row r="104">
      <x:c r="A104" s="97" t="str">
        <x:v>I107</x:v>
      </x:c>
      <x:c r="B104" s="97" t="str">
        <x:v>William Pellett</x:v>
      </x:c>
      <x:c r="C104" s="97" t="str">
        <x:v>M</x:v>
      </x:c>
      <x:c r="D104" s="97" t="str"/>
      <x:c r="E104" s="97" t="str"/>
      <x:c r="F104" s="97" t="str"/>
      <x:c r="G104" s="97" t="str"/>
      <x:c r="H104" s="97" t="str">
        <x:v>S7</x:v>
      </x:c>
      <x:c r="I104" s="97" t="str">
        <x:v>Confidence C (Provisional). Branch: Lee / New England.</x:v>
      </x:c>
      <x:c r="J104" s="97" t="str"/>
      <x:c r="K104" s="97" t="str">
        <x:v>F056</x:v>
      </x:c>
    </x:row>
    <x:row r="105">
      <x:c r="A105" s="97" t="str">
        <x:v>I108</x:v>
      </x:c>
      <x:c r="B105" s="97" t="str">
        <x:v>John Makin</x:v>
      </x:c>
      <x:c r="C105" s="97" t="str">
        <x:v>M</x:v>
      </x:c>
      <x:c r="D105" s="97" t="str"/>
      <x:c r="E105" s="97" t="str">
        <x:v>AFTER 16 MAR 1562/63</x:v>
      </x:c>
      <x:c r="F105" s="97" t="str"/>
      <x:c r="G105" s="97" t="str"/>
      <x:c r="H105" s="97" t="str">
        <x:v>S7</x:v>
      </x:c>
      <x:c r="I105" s="97" t="str">
        <x:v>Confidence C (Provisional). Branch: Lee / New England.</x:v>
      </x:c>
      <x:c r="J105" s="97" t="str"/>
      <x:c r="K105" s="97" t="str">
        <x:v>F057</x:v>
      </x:c>
    </x:row>
    <x:row r="106">
      <x:c r="A106" s="97" t="str">
        <x:v>I109</x:v>
      </x:c>
      <x:c r="B106" s="97" t="str">
        <x:v>Agnes</x:v>
      </x:c>
      <x:c r="C106" s="97" t="str">
        <x:v>F</x:v>
      </x:c>
      <x:c r="D106" s="97" t="str"/>
      <x:c r="E106" s="97" t="str"/>
      <x:c r="F106" s="97" t="str"/>
      <x:c r="G106" s="97" t="str"/>
      <x:c r="H106" s="97" t="str">
        <x:v>S7</x:v>
      </x:c>
      <x:c r="I106" s="97" t="str">
        <x:v>Confidence C (Provisional). Branch: Lee / New England.</x:v>
      </x:c>
      <x:c r="J106" s="97" t="str"/>
      <x:c r="K106" s="97" t="str">
        <x:v>F057</x:v>
      </x:c>
    </x:row>
    <x:row r="107">
      <x:c r="A107" s="97" t="str">
        <x:v>I110</x:v>
      </x:c>
      <x:c r="B107" s="97" t="str">
        <x:v>Thomas Westbrome</x:v>
      </x:c>
      <x:c r="C107" s="97" t="str">
        <x:v>M</x:v>
      </x:c>
      <x:c r="D107" s="97" t="str"/>
      <x:c r="E107" s="97" t="str"/>
      <x:c r="F107" s="97" t="str"/>
      <x:c r="G107" s="97" t="str"/>
      <x:c r="H107" s="97" t="str">
        <x:v>S7</x:v>
      </x:c>
      <x:c r="I107" s="97" t="str">
        <x:v>Confidence C (Provisional). Branch: Lee / New England.</x:v>
      </x:c>
      <x:c r="J107" s="97" t="str"/>
      <x:c r="K107" s="97" t="str">
        <x:v>F058</x:v>
      </x:c>
    </x:row>
    <x:row r="108">
      <x:c r="A108" s="97" t="str">
        <x:v>I111</x:v>
      </x:c>
      <x:c r="B108" s="97" t="str">
        <x:v>Elizabeth</x:v>
      </x:c>
      <x:c r="C108" s="97" t="str">
        <x:v>F</x:v>
      </x:c>
      <x:c r="D108" s="97" t="str"/>
      <x:c r="E108" s="97" t="str"/>
      <x:c r="F108" s="97" t="str"/>
      <x:c r="G108" s="97" t="str"/>
      <x:c r="H108" s="97" t="str">
        <x:v>S7</x:v>
      </x:c>
      <x:c r="I108" s="97" t="str">
        <x:v>Confidence C (Provisional). Branch: Lee / New England.</x:v>
      </x:c>
      <x:c r="J108" s="97" t="str"/>
      <x:c r="K108" s="97" t="str">
        <x:v>F058</x:v>
      </x:c>
    </x:row>
    <x:row r="109">
      <x:c r="A109" s="97" t="str">
        <x:v>I112</x:v>
      </x:c>
      <x:c r="B109" s="97" t="str">
        <x:v>Simon Platt</x:v>
      </x:c>
      <x:c r="C109" s="97" t="str">
        <x:v>M</x:v>
      </x:c>
      <x:c r="D109" s="97" t="str">
        <x:v>ABOUT 1533</x:v>
      </x:c>
      <x:c r="E109" s="97" t="str">
        <x:v>BURIED 12 APR 1594; Ware, Hertfordshire, England</x:v>
      </x:c>
      <x:c r="F109" s="97" t="str"/>
      <x:c r="G109" s="97" t="str"/>
      <x:c r="H109" s="97" t="str">
        <x:v>S7</x:v>
      </x:c>
      <x:c r="I109" s="97" t="str">
        <x:v>Confidence C (Provisional). Branch: Lee / New England.</x:v>
      </x:c>
      <x:c r="J109" s="97" t="str"/>
      <x:c r="K109" s="97" t="str">
        <x:v>F059</x:v>
      </x:c>
    </x:row>
    <x:row r="110">
      <x:c r="A110" s="97" t="str">
        <x:v>I113</x:v>
      </x:c>
      <x:c r="B110" s="97" t="str">
        <x:v>Elizabeth</x:v>
      </x:c>
      <x:c r="C110" s="97" t="str">
        <x:v>F</x:v>
      </x:c>
      <x:c r="D110" s="97" t="str"/>
      <x:c r="E110" s="97" t="str">
        <x:v>BURIED 21 JUL 1598; Ware, Hertfordshire, England</x:v>
      </x:c>
      <x:c r="F110" s="97" t="str"/>
      <x:c r="G110" s="97" t="str"/>
      <x:c r="H110" s="97" t="str">
        <x:v>S7</x:v>
      </x:c>
      <x:c r="I110" s="97" t="str">
        <x:v>Confidence C (Provisional). Branch: Lee / New England.</x:v>
      </x:c>
      <x:c r="J110" s="97" t="str"/>
      <x:c r="K110" s="97" t="str">
        <x:v>F059</x:v>
      </x:c>
    </x:row>
    <x:row r="111">
      <x:c r="A111" s="97" t="str">
        <x:v>I114</x:v>
      </x:c>
      <x:c r="B111" s="97" t="str">
        <x:v>Charles Ellsworth McCormick I</x:v>
      </x:c>
      <x:c r="C111" s="97" t="str">
        <x:v>M</x:v>
      </x:c>
      <x:c r="D111" s="97" t="str">
        <x:v>26 FEB 1862; Shepherdsville, Bullitt County, Kentucky</x:v>
      </x:c>
      <x:c r="E111" s="97" t="str">
        <x:v>1911</x:v>
      </x:c>
      <x:c r="F111" s="97" t="str"/>
      <x:c r="G111" s="97" t="str">
        <x:v>CEMCCSR-1862</x:v>
      </x:c>
      <x:c r="H111" s="97" t="str">
        <x:v>S3;S14;S22;S27</x:v>
      </x:c>
      <x:c r="I111" s="97" t="str">
        <x:v>Confidence A (Confirmed). Branch: McCormick / O’Brien.</x:v>
      </x:c>
      <x:c r="J111" s="97" t="str">
        <x:v>F061</x:v>
      </x:c>
      <x:c r="K111" s="97" t="str">
        <x:v>F060</x:v>
      </x:c>
    </x:row>
    <x:row r="112">
      <x:c r="A112" s="97" t="str">
        <x:v>I115</x:v>
      </x:c>
      <x:c r="B112" s="97" t="str">
        <x:v>Mary Moore Brooks</x:v>
      </x:c>
      <x:c r="C112" s="97" t="str">
        <x:v>F</x:v>
      </x:c>
      <x:c r="D112" s="97" t="str">
        <x:v>1874</x:v>
      </x:c>
      <x:c r="E112" s="97" t="str">
        <x:v>1964</x:v>
      </x:c>
      <x:c r="F112" s="97" t="str"/>
      <x:c r="G112" s="97" t="str">
        <x:v>MMMCC-1874</x:v>
      </x:c>
      <x:c r="H112" s="97" t="str">
        <x:v>S3;S17;S27</x:v>
      </x:c>
      <x:c r="I112" s="97" t="str">
        <x:v>Confidence A (Confirmed). Branch: Brooks / Field. Known in family correspondence as Mama Mac; associated with Brookland in Bullitt County.</x:v>
      </x:c>
      <x:c r="J112" s="97" t="str">
        <x:v>F063</x:v>
      </x:c>
      <x:c r="K112" s="97" t="str">
        <x:v>F060</x:v>
      </x:c>
    </x:row>
    <x:row r="113">
      <x:c r="A113" s="97" t="str">
        <x:v>I116</x:v>
      </x:c>
      <x:c r="B113" s="97" t="str">
        <x:v>Edward H. McCormick</x:v>
      </x:c>
      <x:c r="C113" s="97" t="str">
        <x:v>M</x:v>
      </x:c>
      <x:c r="D113" s="97" t="str">
        <x:v>1838</x:v>
      </x:c>
      <x:c r="E113" s="97" t="str">
        <x:v>1871</x:v>
      </x:c>
      <x:c r="F113" s="97" t="str"/>
      <x:c r="G113" s="97" t="str"/>
      <x:c r="H113" s="97" t="str">
        <x:v>S14;S15;S16</x:v>
      </x:c>
      <x:c r="I113" s="97" t="str">
        <x:v>Confidence A (Confirmed). Branch: McCormick / O’Brien.</x:v>
      </x:c>
      <x:c r="J113" s="97" t="str">
        <x:v>F062</x:v>
      </x:c>
      <x:c r="K113" s="97" t="str">
        <x:v>F061</x:v>
      </x:c>
    </x:row>
    <x:row r="114">
      <x:c r="A114" s="97" t="str">
        <x:v>I117</x:v>
      </x:c>
      <x:c r="B114" s="97" t="str">
        <x:v>Martha Ann Annie O’Brien</x:v>
      </x:c>
      <x:c r="C114" s="97" t="str">
        <x:v>F</x:v>
      </x:c>
      <x:c r="D114" s="97" t="str">
        <x:v>1841</x:v>
      </x:c>
      <x:c r="E114" s="97" t="str">
        <x:v>1889</x:v>
      </x:c>
      <x:c r="F114" s="97" t="str"/>
      <x:c r="G114" s="97" t="str"/>
      <x:c r="H114" s="97" t="str">
        <x:v>S14;S16</x:v>
      </x:c>
      <x:c r="I114" s="97" t="str">
        <x:v>Confidence A (Confirmed). Branch: McCormick / O’Brien. Also recorded as Anna O’Brian/O’Brien.</x:v>
      </x:c>
      <x:c r="J114" s="97" t="str">
        <x:v>F065</x:v>
      </x:c>
      <x:c r="K114" s="97" t="str">
        <x:v>F061</x:v>
      </x:c>
    </x:row>
    <x:row r="115">
      <x:c r="A115" s="97" t="str">
        <x:v>I118</x:v>
      </x:c>
      <x:c r="B115" s="97" t="str">
        <x:v>Charles McCormick</x:v>
      </x:c>
      <x:c r="C115" s="97" t="str">
        <x:v>M</x:v>
      </x:c>
      <x:c r="D115" s="97" t="str">
        <x:v>ABOUT 1802; Kentucky or Virginia</x:v>
      </x:c>
      <x:c r="E115" s="97" t="str"/>
      <x:c r="F115" s="97" t="str"/>
      <x:c r="G115" s="97" t="str"/>
      <x:c r="H115" s="97" t="str">
        <x:v>S15</x:v>
      </x:c>
      <x:c r="I115" s="97" t="str">
        <x:v>Confidence B (Strong). Branch: McCormick / O’Brien. Age 48 and a forgeman in the 1850 Bullitt County census.</x:v>
      </x:c>
      <x:c r="J115" s="97" t="str"/>
      <x:c r="K115" s="97" t="str">
        <x:v>F062</x:v>
      </x:c>
    </x:row>
    <x:row r="116">
      <x:c r="A116" s="97" t="str">
        <x:v>I119</x:v>
      </x:c>
      <x:c r="B116" s="97" t="str">
        <x:v>Elizabeth McCormick</x:v>
      </x:c>
      <x:c r="C116" s="97" t="str">
        <x:v>F</x:v>
      </x:c>
      <x:c r="D116" s="97" t="str">
        <x:v>ABOUT 1808; Kentucky</x:v>
      </x:c>
      <x:c r="E116" s="97" t="str"/>
      <x:c r="F116" s="97" t="str"/>
      <x:c r="G116" s="97" t="str"/>
      <x:c r="H116" s="97" t="str">
        <x:v>S15</x:v>
      </x:c>
      <x:c r="I116" s="97" t="str">
        <x:v>Confidence B (Strong). Branch: McCormick / O’Brien. Age 42 in the 1850 Bullitt County census; maiden name remains unknown.</x:v>
      </x:c>
      <x:c r="J116" s="97" t="str"/>
      <x:c r="K116" s="97" t="str">
        <x:v>F062</x:v>
      </x:c>
    </x:row>
    <x:row r="117">
      <x:c r="A117" s="97" t="str">
        <x:v>I120</x:v>
      </x:c>
      <x:c r="B117" s="97" t="str">
        <x:v>Abram Field Brooks</x:v>
      </x:c>
      <x:c r="C117" s="97" t="str">
        <x:v>M</x:v>
      </x:c>
      <x:c r="D117" s="97" t="str">
        <x:v>1844</x:v>
      </x:c>
      <x:c r="E117" s="97" t="str">
        <x:v>1892</x:v>
      </x:c>
      <x:c r="F117" s="97" t="str"/>
      <x:c r="G117" s="97" t="str"/>
      <x:c r="H117" s="97" t="str">
        <x:v>S17</x:v>
      </x:c>
      <x:c r="I117" s="97" t="str">
        <x:v>Confidence B (Strong). Branch: Brooks / Field.</x:v>
      </x:c>
      <x:c r="J117" s="97" t="str">
        <x:v>F064</x:v>
      </x:c>
      <x:c r="K117" s="97" t="str">
        <x:v>F063</x:v>
      </x:c>
    </x:row>
    <x:row r="118">
      <x:c r="A118" s="97" t="str">
        <x:v>I121</x:v>
      </x:c>
      <x:c r="B118" s="97" t="str">
        <x:v>Mary P. Mollie Moore</x:v>
      </x:c>
      <x:c r="C118" s="97" t="str">
        <x:v>F</x:v>
      </x:c>
      <x:c r="D118" s="97" t="str">
        <x:v>1852</x:v>
      </x:c>
      <x:c r="E118" s="97" t="str">
        <x:v>1940</x:v>
      </x:c>
      <x:c r="F118" s="97" t="str"/>
      <x:c r="G118" s="97" t="str"/>
      <x:c r="H118" s="97" t="str">
        <x:v>S17</x:v>
      </x:c>
      <x:c r="I118" s="97" t="str">
        <x:v>Confidence B (Strong). Branch: Brooks / Field. Raised at Mound Grove near Arkansas Post. Her parents remain unresolved.</x:v>
      </x:c>
      <x:c r="J118" s="97" t="str"/>
      <x:c r="K118" s="97" t="str">
        <x:v>F063</x:v>
      </x:c>
    </x:row>
    <x:row r="119">
      <x:c r="A119" s="97" t="str">
        <x:v>I122</x:v>
      </x:c>
      <x:c r="B119" s="97" t="str">
        <x:v>Solomon Neal Brooks</x:v>
      </x:c>
      <x:c r="C119" s="97" t="str">
        <x:v>M</x:v>
      </x:c>
      <x:c r="D119" s="97" t="str">
        <x:v>18 MAR 1818</x:v>
      </x:c>
      <x:c r="E119" s="97" t="str">
        <x:v>1890</x:v>
      </x:c>
      <x:c r="F119" s="97" t="str"/>
      <x:c r="G119" s="97" t="str"/>
      <x:c r="H119" s="97" t="str">
        <x:v>S17;S18</x:v>
      </x:c>
      <x:c r="I119" s="97" t="str">
        <x:v>Confidence B (Strong). Branch: Brooks / Field. A county biography calls his mother “Miss Miles”; his father’s will names wife Rebecca, and other compiled material suggests Cordelia Standiford. Mother not assigned because</x:v>
      </x:c>
      <x:c r="J119" s="97" t="str">
        <x:v>F066</x:v>
      </x:c>
      <x:c r="K119" s="97" t="str">
        <x:v>F064</x:v>
      </x:c>
    </x:row>
    <x:row r="120">
      <x:c r="A120" s="97" t="str">
        <x:v>I123</x:v>
      </x:c>
      <x:c r="B120" s="97" t="str">
        <x:v>Elizabeth Field</x:v>
      </x:c>
      <x:c r="C120" s="97" t="str">
        <x:v>F</x:v>
      </x:c>
      <x:c r="D120" s="97" t="str">
        <x:v>ABOUT 1827</x:v>
      </x:c>
      <x:c r="E120" s="97" t="str">
        <x:v>1 MAY 1905</x:v>
      </x:c>
      <x:c r="F120" s="97" t="str"/>
      <x:c r="G120" s="97" t="str"/>
      <x:c r="H120" s="97" t="str">
        <x:v>S17</x:v>
      </x:c>
      <x:c r="I120" s="97" t="str">
        <x:v>Confidence B (Strong). Branch: Brooks / Field.</x:v>
      </x:c>
      <x:c r="J120" s="97" t="str">
        <x:v>F068</x:v>
      </x:c>
      <x:c r="K120" s="97" t="str">
        <x:v>F064</x:v>
      </x:c>
    </x:row>
    <x:row r="121">
      <x:c r="A121" s="97" t="str">
        <x:v>I124</x:v>
      </x:c>
      <x:c r="B121" s="97" t="str">
        <x:v>Christopher O’Brien</x:v>
      </x:c>
      <x:c r="C121" s="97" t="str">
        <x:v>M</x:v>
      </x:c>
      <x:c r="D121" s="97" t="str">
        <x:v>ABOUT 1815</x:v>
      </x:c>
      <x:c r="E121" s="97" t="str"/>
      <x:c r="F121" s="97" t="str"/>
      <x:c r="G121" s="97" t="str"/>
      <x:c r="H121" s="97" t="str">
        <x:v>S14</x:v>
      </x:c>
      <x:c r="I121" s="97" t="str">
        <x:v>Confidence B (Strong). Branch: McCormick / O’Brien.</x:v>
      </x:c>
      <x:c r="J121" s="97" t="str"/>
      <x:c r="K121" s="97" t="str">
        <x:v>F065</x:v>
      </x:c>
    </x:row>
    <x:row r="122">
      <x:c r="A122" s="97" t="str">
        <x:v>I125</x:v>
      </x:c>
      <x:c r="B122" s="97" t="str">
        <x:v>Sophronia Simmons</x:v>
      </x:c>
      <x:c r="C122" s="97" t="str">
        <x:v>F</x:v>
      </x:c>
      <x:c r="D122" s="97" t="str">
        <x:v>ABOUT 1824</x:v>
      </x:c>
      <x:c r="E122" s="97" t="str"/>
      <x:c r="F122" s="97" t="str"/>
      <x:c r="G122" s="97" t="str"/>
      <x:c r="H122" s="97" t="str">
        <x:v>S14</x:v>
      </x:c>
      <x:c r="I122" s="97" t="str">
        <x:v>Confidence B (Strong). Branch: McCormick / O’Brien. Adjacent Simmons households suggest possible parents, but the relationship was not proved and is omitted here.</x:v>
      </x:c>
      <x:c r="J122" s="97" t="str"/>
      <x:c r="K122" s="97" t="str">
        <x:v>F065</x:v>
      </x:c>
    </x:row>
    <x:row r="123">
      <x:c r="A123" s="97" t="str">
        <x:v>I126</x:v>
      </x:c>
      <x:c r="B123" s="97" t="str">
        <x:v>Joseph Anderson Brooks</x:v>
      </x:c>
      <x:c r="C123" s="97" t="str">
        <x:v>M</x:v>
      </x:c>
      <x:c r="D123" s="97" t="str"/>
      <x:c r="E123" s="97" t="str">
        <x:v>1845/46</x:v>
      </x:c>
      <x:c r="F123" s="97" t="str"/>
      <x:c r="G123" s="97" t="str"/>
      <x:c r="H123" s="97" t="str">
        <x:v>S18;S19</x:v>
      </x:c>
      <x:c r="I123" s="97" t="str">
        <x:v>Confidence B (Strong). Branch: Brooks / Field. His 1845 will names wife Rebecca and son Solomon N. Brooks; whether Rebecca was Solomon’s mother is unresolved.</x:v>
      </x:c>
      <x:c r="J123" s="97" t="str">
        <x:v>F067</x:v>
      </x:c>
      <x:c r="K123" s="97" t="str">
        <x:v>F066</x:v>
      </x:c>
    </x:row>
    <x:row r="124">
      <x:c r="A124" s="97" t="str">
        <x:v>I127</x:v>
      </x:c>
      <x:c r="B124" s="97" t="str">
        <x:v>Joseph Brooks</x:v>
      </x:c>
      <x:c r="C124" s="97" t="str">
        <x:v>M</x:v>
      </x:c>
      <x:c r="D124" s="97" t="str"/>
      <x:c r="E124" s="97" t="str">
        <x:v>1818</x:v>
      </x:c>
      <x:c r="F124" s="97" t="str"/>
      <x:c r="G124" s="97" t="str"/>
      <x:c r="H124" s="97" t="str">
        <x:v>S19</x:v>
      </x:c>
      <x:c r="I124" s="97" t="str">
        <x:v>Confidence B (Strong). Branch: Brooks / Field. His 1818 will names wife Nancy and son Joseph Anderson Brooks.</x:v>
      </x:c>
      <x:c r="J124" s="97" t="str"/>
      <x:c r="K124" s="97" t="str">
        <x:v>F067</x:v>
      </x:c>
    </x:row>
    <x:row r="125">
      <x:c r="A125" s="97" t="str">
        <x:v>I128</x:v>
      </x:c>
      <x:c r="B125" s="97" t="str">
        <x:v>Abram Field</x:v>
      </x:c>
      <x:c r="C125" s="97" t="str">
        <x:v>M</x:v>
      </x:c>
      <x:c r="D125" s="97" t="str"/>
      <x:c r="E125" s="97" t="str"/>
      <x:c r="F125" s="97" t="str"/>
      <x:c r="G125" s="97" t="str"/>
      <x:c r="H125" s="97" t="str">
        <x:v>S17</x:v>
      </x:c>
      <x:c r="I125" s="97" t="str">
        <x:v>Confidence B (Strong). Branch: Brooks / Field. Named as Elizabeth Field’s father in the county biography.</x:v>
      </x:c>
      <x:c r="J125" s="97" t="str"/>
      <x:c r="K125" s="97" t="str">
        <x:v>F068</x:v>
      </x:c>
    </x:row>
    <x:row r="126">
      <x:c r="A126" s="97" t="str">
        <x:v>I129</x:v>
      </x:c>
      <x:c r="B126" s="97" t="str">
        <x:v>Elizabeth Simmons</x:v>
      </x:c>
      <x:c r="C126" s="97" t="str">
        <x:v>F</x:v>
      </x:c>
      <x:c r="D126" s="97" t="str"/>
      <x:c r="E126" s="97" t="str"/>
      <x:c r="F126" s="97" t="str"/>
      <x:c r="G126" s="97" t="str"/>
      <x:c r="H126" s="97" t="str">
        <x:v>S17</x:v>
      </x:c>
      <x:c r="I126" s="97" t="str">
        <x:v>Confidence C (Provisional). Branch: Brooks / Field. Often identified as Elizabeth Field’s mother in cemetery/compiled material; original proof was not located in this pass.</x:v>
      </x:c>
      <x:c r="J126" s="97" t="str"/>
      <x:c r="K126" s="97" t="str">
        <x:v>F068</x:v>
      </x:c>
    </x:row>
    <x:row r="127">
      <x:c r="A127" s="97" t="str">
        <x:v>I130</x:v>
      </x:c>
      <x:c r="B127" s="97" t="str">
        <x:v>Isaac Bush Slaughter Sr.</x:v>
      </x:c>
      <x:c r="C127" s="97" t="str">
        <x:v>M</x:v>
      </x:c>
      <x:c r="D127" s="97" t="str">
        <x:v>28 FEB 1857; Perdue Hill, Monroe County, Alabama</x:v>
      </x:c>
      <x:c r="E127" s="97" t="str">
        <x:v>30 APR 1937; Edinburg, Texas</x:v>
      </x:c>
      <x:c r="F127" s="97" t="str"/>
      <x:c r="G127" s="97" t="str">
        <x:v>IBS-1858</x:v>
      </x:c>
      <x:c r="H127" s="97" t="str">
        <x:v>S4;S8;S23;S27</x:v>
      </x:c>
      <x:c r="I127" s="97" t="str">
        <x:v>Confidence A (Confirmed). Branch: Slaughter / Bush.</x:v>
      </x:c>
      <x:c r="J127" s="97" t="str">
        <x:v>F070</x:v>
      </x:c>
      <x:c r="K127" s="97" t="str">
        <x:v>F069</x:v>
      </x:c>
    </x:row>
    <x:row r="128">
      <x:c r="A128" s="97" t="str">
        <x:v>I131</x:v>
      </x:c>
      <x:c r="B128" s="97" t="str">
        <x:v>Lula Arnelia Rives</x:v>
      </x:c>
      <x:c r="C128" s="97" t="str">
        <x:v>F</x:v>
      </x:c>
      <x:c r="D128" s="97" t="str">
        <x:v>30/31 JAN 1872; Benton, Lowndes County, Alabama</x:v>
      </x:c>
      <x:c r="E128" s="97" t="str">
        <x:v>2 SEP 1957; Sparks, Maryland</x:v>
      </x:c>
      <x:c r="F128" s="97" t="str"/>
      <x:c r="G128" s="97" t="str">
        <x:v>LAR-1873</x:v>
      </x:c>
      <x:c r="H128" s="97" t="str">
        <x:v>S4;S8;S9;S27</x:v>
      </x:c>
      <x:c r="I128" s="97" t="str">
        <x:v>Confidence A (Confirmed). Branch: Rives / Harrison.</x:v>
      </x:c>
      <x:c r="J128" s="97" t="str">
        <x:v>F071</x:v>
      </x:c>
      <x:c r="K128" s="97" t="str">
        <x:v>F069</x:v>
      </x:c>
    </x:row>
    <x:row r="129">
      <x:c r="A129" s="97" t="str">
        <x:v>I132</x:v>
      </x:c>
      <x:c r="B129" s="97" t="str">
        <x:v>Nancy Brooks</x:v>
      </x:c>
      <x:c r="C129" s="97" t="str">
        <x:v>F</x:v>
      </x:c>
      <x:c r="D129" s="97" t="str"/>
      <x:c r="E129" s="97" t="str"/>
      <x:c r="F129" s="97" t="str"/>
      <x:c r="G129" s="97" t="str"/>
      <x:c r="H129" s="97" t="str">
        <x:v>S19</x:v>
      </x:c>
      <x:c r="I129" s="97" t="str">
        <x:v>Confidence B (Strong). Branch: Brooks / Field. Named as wife in pioneer Joseph Brooks’s 1818 will.</x:v>
      </x:c>
      <x:c r="J129" s="97" t="str"/>
      <x:c r="K129" s="97" t="str">
        <x:v>F067</x:v>
      </x:c>
    </x:row>
    <x:row r="130">
      <x:c r="A130" s="97" t="str">
        <x:v>I133</x:v>
      </x:c>
      <x:c r="B130" s="97" t="str">
        <x:v>John Wesley Slaughter</x:v>
      </x:c>
      <x:c r="C130" s="97" t="str">
        <x:v>M</x:v>
      </x:c>
      <x:c r="D130" s="97" t="str"/>
      <x:c r="E130" s="97" t="str"/>
      <x:c r="F130" s="97" t="str"/>
      <x:c r="G130" s="97" t="str"/>
      <x:c r="H130" s="97" t="str">
        <x:v>S23</x:v>
      </x:c>
      <x:c r="I130" s="97" t="str">
        <x:v>Confidence B (Strong). Branch: Slaughter / Bush.</x:v>
      </x:c>
      <x:c r="J130" s="97" t="str"/>
      <x:c r="K130" s="97" t="str">
        <x:v>F070</x:v>
      </x:c>
    </x:row>
    <x:row r="131">
      <x:c r="A131" s="97" t="str">
        <x:v>I134</x:v>
      </x:c>
      <x:c r="B131" s="97" t="str">
        <x:v>Sarah C. Bush</x:v>
      </x:c>
      <x:c r="C131" s="97" t="str">
        <x:v>F</x:v>
      </x:c>
      <x:c r="D131" s="97" t="str"/>
      <x:c r="E131" s="97" t="str"/>
      <x:c r="F131" s="97" t="str"/>
      <x:c r="G131" s="97" t="str"/>
      <x:c r="H131" s="97" t="str">
        <x:v>S23</x:v>
      </x:c>
      <x:c r="I131" s="97" t="str">
        <x:v>Confidence B (Strong). Branch: Slaughter / Bush.</x:v>
      </x:c>
      <x:c r="J131" s="97" t="str"/>
      <x:c r="K131" s="97" t="str">
        <x:v>F070</x:v>
      </x:c>
    </x:row>
    <x:row r="132">
      <x:c r="A132" s="97" t="str">
        <x:v>I135</x:v>
      </x:c>
      <x:c r="B132" s="97" t="str">
        <x:v>Robert Calhoun Rives</x:v>
      </x:c>
      <x:c r="C132" s="97" t="str">
        <x:v>M</x:v>
      </x:c>
      <x:c r="D132" s="97" t="str">
        <x:v>9 NOV 1842; Benton, Lowndes County, Alabama</x:v>
      </x:c>
      <x:c r="E132" s="97" t="str">
        <x:v>16 MAY 1885; Benton, Lowndes County, Alabama</x:v>
      </x:c>
      <x:c r="F132" s="97" t="str"/>
      <x:c r="G132" s="97" t="str"/>
      <x:c r="H132" s="97" t="str">
        <x:v>S4;S9</x:v>
      </x:c>
      <x:c r="I132" s="97" t="str">
        <x:v>Confidence A (Confirmed). Branch: Rives / Harrison. The DAR worksheet appears to type March; pension-derived research supports 16 May 1885.</x:v>
      </x:c>
      <x:c r="J132" s="97" t="str">
        <x:v>F072</x:v>
      </x:c>
      <x:c r="K132" s="97" t="str">
        <x:v>F071</x:v>
      </x:c>
    </x:row>
    <x:row r="133">
      <x:c r="A133" s="97" t="str">
        <x:v>I136</x:v>
      </x:c>
      <x:c r="B133" s="97" t="str">
        <x:v>Florence Estelle Agee</x:v>
      </x:c>
      <x:c r="C133" s="97" t="str">
        <x:v>F</x:v>
      </x:c>
      <x:c r="D133" s="97" t="str">
        <x:v>7 SEP 1844; Benton, Lowndes County, Alabama</x:v>
      </x:c>
      <x:c r="E133" s="97" t="str">
        <x:v>10 DEC 1878; Benton, Lowndes County, Alabama</x:v>
      </x:c>
      <x:c r="F133" s="97" t="str"/>
      <x:c r="G133" s="97" t="str"/>
      <x:c r="H133" s="97" t="str">
        <x:v>S4;S8;S9</x:v>
      </x:c>
      <x:c r="I133" s="97" t="str">
        <x:v>Confidence A (Confirmed). Branch: Agee / Ford / Bondurant.</x:v>
      </x:c>
      <x:c r="J133" s="97" t="str">
        <x:v>F081</x:v>
      </x:c>
      <x:c r="K133" s="97" t="str">
        <x:v>F071</x:v>
      </x:c>
    </x:row>
    <x:row r="134">
      <x:c r="A134" s="97" t="str">
        <x:v>I137</x:v>
      </x:c>
      <x:c r="B134" s="97" t="str">
        <x:v>Robert Rives</x:v>
      </x:c>
      <x:c r="C134" s="97" t="str">
        <x:v>M</x:v>
      </x:c>
      <x:c r="D134" s="97" t="str">
        <x:v>28 MAY/AUG 1801; South Carolina</x:v>
      </x:c>
      <x:c r="E134" s="97" t="str">
        <x:v>30 SEP 1877; Benton, Lowndes County, Alabama</x:v>
      </x:c>
      <x:c r="F134" s="97" t="str"/>
      <x:c r="G134" s="97" t="str"/>
      <x:c r="H134" s="97" t="str">
        <x:v>S4;S9;S10</x:v>
      </x:c>
      <x:c r="I134" s="97" t="str">
        <x:v>Confidence A (Confirmed). Branch: Rives / Harrison. Sources disagree whether the birth month/day is 28 May or 28 August.</x:v>
      </x:c>
      <x:c r="J134" s="97" t="str">
        <x:v>F073</x:v>
      </x:c>
      <x:c r="K134" s="97" t="str">
        <x:v>F072</x:v>
      </x:c>
    </x:row>
    <x:row r="135">
      <x:c r="A135" s="97" t="str">
        <x:v>I138</x:v>
      </x:c>
      <x:c r="B135" s="97" t="str">
        <x:v>Amelia Harrison</x:v>
      </x:c>
      <x:c r="C135" s="97" t="str">
        <x:v>F</x:v>
      </x:c>
      <x:c r="D135" s="97" t="str">
        <x:v>21 DEC 1804; Fairfield District, South Carolina</x:v>
      </x:c>
      <x:c r="E135" s="97" t="str">
        <x:v>13 MAR 1883; South Carolina</x:v>
      </x:c>
      <x:c r="F135" s="97" t="str"/>
      <x:c r="G135" s="97" t="str"/>
      <x:c r="H135" s="97" t="str">
        <x:v>S4;S20</x:v>
      </x:c>
      <x:c r="I135" s="97" t="str">
        <x:v>Confidence A (Confirmed). Branch: Rives / Harrison.</x:v>
      </x:c>
      <x:c r="J135" s="97" t="str">
        <x:v>F077</x:v>
      </x:c>
      <x:c r="K135" s="97" t="str">
        <x:v>F072</x:v>
      </x:c>
    </x:row>
    <x:row r="136">
      <x:c r="A136" s="97" t="str">
        <x:v>I139</x:v>
      </x:c>
      <x:c r="B136" s="97" t="str">
        <x:v>Green Rives</x:v>
      </x:c>
      <x:c r="C136" s="97" t="str">
        <x:v>M</x:v>
      </x:c>
      <x:c r="D136" s="97" t="str">
        <x:v>10 JAN 1763; Virginia</x:v>
      </x:c>
      <x:c r="E136" s="97" t="str">
        <x:v>26 OCT 1812; Columbia, South Carolina</x:v>
      </x:c>
      <x:c r="F136" s="97" t="str"/>
      <x:c r="G136" s="97" t="str"/>
      <x:c r="H136" s="97" t="str">
        <x:v>S4;S10</x:v>
      </x:c>
      <x:c r="I136" s="97" t="str">
        <x:v>Confidence A (Confirmed). Branch: Rives / Harrison. Revolutionary-era resident of Richland County, South Carolina.</x:v>
      </x:c>
      <x:c r="J136" s="97" t="str">
        <x:v>F074</x:v>
      </x:c>
      <x:c r="K136" s="97" t="str">
        <x:v>F073</x:v>
      </x:c>
    </x:row>
    <x:row r="137">
      <x:c r="A137" s="97" t="str">
        <x:v>I140</x:v>
      </x:c>
      <x:c r="B137" s="97" t="str">
        <x:v>Mary Ridley Jones</x:v>
      </x:c>
      <x:c r="C137" s="97" t="str">
        <x:v>F</x:v>
      </x:c>
      <x:c r="D137" s="97" t="str">
        <x:v>5 MAR 1769; South Carolina</x:v>
      </x:c>
      <x:c r="E137" s="97" t="str">
        <x:v>27 MAR 1843; Benton, Lowndes County, Alabama</x:v>
      </x:c>
      <x:c r="F137" s="97" t="str"/>
      <x:c r="G137" s="97" t="str"/>
      <x:c r="H137" s="97" t="str">
        <x:v>S4;S10</x:v>
      </x:c>
      <x:c r="I137" s="97" t="str">
        <x:v>Confidence B (Strong). Branch: Rives / Harrison.</x:v>
      </x:c>
      <x:c r="J137" s="97" t="str">
        <x:v>F076</x:v>
      </x:c>
      <x:c r="K137" s="97" t="str">
        <x:v>F073</x:v>
      </x:c>
    </x:row>
    <x:row r="138">
      <x:c r="A138" s="97" t="str">
        <x:v>I141</x:v>
      </x:c>
      <x:c r="B138" s="97" t="str">
        <x:v>William Rives</x:v>
      </x:c>
      <x:c r="C138" s="97" t="str">
        <x:v>M</x:v>
      </x:c>
      <x:c r="D138" s="97" t="str">
        <x:v>ABOUT 1737; Brunswick County, Virginia</x:v>
      </x:c>
      <x:c r="E138" s="97" t="str">
        <x:v>1783; Camden District, South Carolina</x:v>
      </x:c>
      <x:c r="F138" s="97" t="str"/>
      <x:c r="G138" s="97" t="str"/>
      <x:c r="H138" s="97" t="str">
        <x:v>S4;S10;S11</x:v>
      </x:c>
      <x:c r="I138" s="97" t="str">
        <x:v>Confidence B (Strong). Branch: Rives / Harrison.</x:v>
      </x:c>
      <x:c r="J138" s="97" t="str">
        <x:v>F075</x:v>
      </x:c>
      <x:c r="K138" s="97" t="str">
        <x:v>F074</x:v>
      </x:c>
    </x:row>
    <x:row r="139">
      <x:c r="A139" s="97" t="str">
        <x:v>I142</x:v>
      </x:c>
      <x:c r="B139" s="97" t="str">
        <x:v>Lucy Wyche</x:v>
      </x:c>
      <x:c r="C139" s="97" t="str">
        <x:v>F</x:v>
      </x:c>
      <x:c r="D139" s="97" t="str">
        <x:v>Brunswick County, Virginia</x:v>
      </x:c>
      <x:c r="E139" s="97" t="str"/>
      <x:c r="F139" s="97" t="str"/>
      <x:c r="G139" s="97" t="str"/>
      <x:c r="H139" s="97" t="str">
        <x:v>S4;S10;S11</x:v>
      </x:c>
      <x:c r="I139" s="97" t="str">
        <x:v>Confidence B (Strong). Branch: Rives / Harrison.</x:v>
      </x:c>
      <x:c r="J139" s="97" t="str">
        <x:v>F080</x:v>
      </x:c>
      <x:c r="K139" s="97" t="str">
        <x:v>F074</x:v>
      </x:c>
    </x:row>
    <x:row r="140">
      <x:c r="A140" s="97" t="str">
        <x:v>I143</x:v>
      </x:c>
      <x:c r="B140" s="97" t="str">
        <x:v>Timothy Rives</x:v>
      </x:c>
      <x:c r="C140" s="97" t="str">
        <x:v>M</x:v>
      </x:c>
      <x:c r="D140" s="97" t="str">
        <x:v>ABOUT 1710</x:v>
      </x:c>
      <x:c r="E140" s="97" t="str">
        <x:v>ABOUT 1772</x:v>
      </x:c>
      <x:c r="F140" s="97" t="str"/>
      <x:c r="G140" s="97" t="str"/>
      <x:c r="H140" s="97" t="str">
        <x:v>S4;S11;S12</x:v>
      </x:c>
      <x:c r="I140" s="97" t="str">
        <x:v>Confidence B (Strong). Branch: Rives / Harrison.</x:v>
      </x:c>
      <x:c r="J140" s="97" t="str">
        <x:v>F078</x:v>
      </x:c>
      <x:c r="K140" s="97" t="str">
        <x:v>F075</x:v>
      </x:c>
    </x:row>
    <x:row r="141">
      <x:c r="A141" s="97" t="str">
        <x:v>I144</x:v>
      </x:c>
      <x:c r="B141" s="97" t="str">
        <x:v>Hester Rives</x:v>
      </x:c>
      <x:c r="C141" s="97" t="str">
        <x:v>F</x:v>
      </x:c>
      <x:c r="D141" s="97" t="str"/>
      <x:c r="E141" s="97" t="str">
        <x:v>AFTER 23 AUG 1772</x:v>
      </x:c>
      <x:c r="F141" s="97" t="str"/>
      <x:c r="G141" s="97" t="str"/>
      <x:c r="H141" s="97" t="str">
        <x:v>S4;S12</x:v>
      </x:c>
      <x:c r="I141" s="97" t="str">
        <x:v>Confidence C (Provisional). Branch: Rives / Harrison. Given name is supported; Turner as surname remains uncertain.</x:v>
      </x:c>
      <x:c r="J141" s="97" t="str"/>
      <x:c r="K141" s="97" t="str">
        <x:v>F075</x:v>
      </x:c>
    </x:row>
    <x:row r="142">
      <x:c r="A142" s="97" t="str">
        <x:v>I145</x:v>
      </x:c>
      <x:c r="B142" s="97" t="str">
        <x:v>Darling Jones</x:v>
      </x:c>
      <x:c r="C142" s="97" t="str">
        <x:v>M</x:v>
      </x:c>
      <x:c r="D142" s="97" t="str"/>
      <x:c r="E142" s="97" t="str"/>
      <x:c r="F142" s="97" t="str"/>
      <x:c r="G142" s="97" t="str"/>
      <x:c r="H142" s="97" t="str">
        <x:v>S10</x:v>
      </x:c>
      <x:c r="I142" s="97" t="str">
        <x:v>Confidence B (Strong). Branch: Rives / Harrison.</x:v>
      </x:c>
      <x:c r="J142" s="97" t="str"/>
      <x:c r="K142" s="97" t="str">
        <x:v>F076</x:v>
      </x:c>
    </x:row>
    <x:row r="143">
      <x:c r="A143" s="97" t="str">
        <x:v>I146</x:v>
      </x:c>
      <x:c r="B143" s="97" t="str">
        <x:v>Susannah Jones</x:v>
      </x:c>
      <x:c r="C143" s="97" t="str">
        <x:v>F</x:v>
      </x:c>
      <x:c r="D143" s="97" t="str"/>
      <x:c r="E143" s="97" t="str"/>
      <x:c r="F143" s="97" t="str"/>
      <x:c r="G143" s="97" t="str"/>
      <x:c r="H143" s="97" t="str">
        <x:v>S10</x:v>
      </x:c>
      <x:c r="I143" s="97" t="str">
        <x:v>Confidence B (Strong). Branch: Rives / Harrison.</x:v>
      </x:c>
      <x:c r="J143" s="97" t="str"/>
      <x:c r="K143" s="97" t="str">
        <x:v>F076</x:v>
      </x:c>
    </x:row>
    <x:row r="144">
      <x:c r="A144" s="97" t="str">
        <x:v>I147</x:v>
      </x:c>
      <x:c r="B144" s="97" t="str">
        <x:v>William Harrison</x:v>
      </x:c>
      <x:c r="C144" s="97" t="str">
        <x:v>M</x:v>
      </x:c>
      <x:c r="D144" s="97" t="str"/>
      <x:c r="E144" s="97" t="str">
        <x:v>1836</x:v>
      </x:c>
      <x:c r="F144" s="97" t="str"/>
      <x:c r="G144" s="97" t="str"/>
      <x:c r="H144" s="97" t="str">
        <x:v>S20</x:v>
      </x:c>
      <x:c r="I144" s="97" t="str">
        <x:v>Confidence B (Strong). Branch: Rives / Harrison.</x:v>
      </x:c>
      <x:c r="J144" s="97" t="str">
        <x:v>F083</x:v>
      </x:c>
      <x:c r="K144" s="97" t="str">
        <x:v>F077</x:v>
      </x:c>
    </x:row>
    <x:row r="145">
      <x:c r="A145" s="97" t="str">
        <x:v>I148</x:v>
      </x:c>
      <x:c r="B145" s="97" t="str">
        <x:v>Ann Perry</x:v>
      </x:c>
      <x:c r="C145" s="97" t="str">
        <x:v>F</x:v>
      </x:c>
      <x:c r="D145" s="97" t="str"/>
      <x:c r="E145" s="97" t="str">
        <x:v>FALL 1816</x:v>
      </x:c>
      <x:c r="F145" s="97" t="str"/>
      <x:c r="G145" s="97" t="str"/>
      <x:c r="H145" s="97" t="str">
        <x:v>S20</x:v>
      </x:c>
      <x:c r="I145" s="97" t="str">
        <x:v>Confidence A (Confirmed). Branch: Rives / Harrison.</x:v>
      </x:c>
      <x:c r="J145" s="97" t="str">
        <x:v>F084</x:v>
      </x:c>
      <x:c r="K145" s="97" t="str">
        <x:v>F077</x:v>
      </x:c>
    </x:row>
    <x:row r="146">
      <x:c r="A146" s="97" t="str">
        <x:v>I149</x:v>
      </x:c>
      <x:c r="B146" s="97" t="str">
        <x:v>Col. William Rives</x:v>
      </x:c>
      <x:c r="C146" s="97" t="str">
        <x:v>M</x:v>
      </x:c>
      <x:c r="D146" s="97" t="str">
        <x:v>ABOUT 1683; Prince George County, Virginia</x:v>
      </x:c>
      <x:c r="E146" s="97" t="str">
        <x:v>BEFORE 1 MAR 1746</x:v>
      </x:c>
      <x:c r="F146" s="97" t="str"/>
      <x:c r="G146" s="97" t="str"/>
      <x:c r="H146" s="97" t="str">
        <x:v>S4;S12</x:v>
      </x:c>
      <x:c r="I146" s="97" t="str">
        <x:v>Confidence C (Provisional). Branch: Rives / Harrison.</x:v>
      </x:c>
      <x:c r="J146" s="97" t="str">
        <x:v>F079</x:v>
      </x:c>
      <x:c r="K146" s="97" t="str">
        <x:v>F078</x:v>
      </x:c>
    </x:row>
    <x:row r="147">
      <x:c r="A147" s="97" t="str">
        <x:v>I150</x:v>
      </x:c>
      <x:c r="B147" s="97" t="str">
        <x:v>Elizabeth Rives</x:v>
      </x:c>
      <x:c r="C147" s="97" t="str">
        <x:v>F</x:v>
      </x:c>
      <x:c r="D147" s="97" t="str"/>
      <x:c r="E147" s="97" t="str">
        <x:v>BEFORE 1759; Prince George County, Virginia</x:v>
      </x:c>
      <x:c r="F147" s="97" t="str"/>
      <x:c r="G147" s="97" t="str"/>
      <x:c r="H147" s="97" t="str">
        <x:v>S4;S12</x:v>
      </x:c>
      <x:c r="I147" s="97" t="str">
        <x:v>Confidence C (Provisional). Branch: Rives / Harrison. Foster is a possibility rather than a proved maiden surname.</x:v>
      </x:c>
      <x:c r="J147" s="97" t="str"/>
      <x:c r="K147" s="97" t="str">
        <x:v>F078</x:v>
      </x:c>
    </x:row>
    <x:row r="148">
      <x:c r="A148" s="97" t="str">
        <x:v>I151</x:v>
      </x:c>
      <x:c r="B148" s="97" t="str">
        <x:v>George Rives</x:v>
      </x:c>
      <x:c r="C148" s="97" t="str">
        <x:v>M</x:v>
      </x:c>
      <x:c r="D148" s="97" t="str">
        <x:v>ABOUT 1660; Prince George County, Virginia</x:v>
      </x:c>
      <x:c r="E148" s="97" t="str">
        <x:v>AFTER 8 SEP 1719</x:v>
      </x:c>
      <x:c r="F148" s="97" t="str"/>
      <x:c r="G148" s="97" t="str"/>
      <x:c r="H148" s="97" t="str">
        <x:v>S4;S13</x:v>
      </x:c>
      <x:c r="I148" s="97" t="str">
        <x:v>Confidence D (Traditional / disputed). Branch: Rives / Harrison. The link to immigrant William is inherited/traditional and should not be treated as proved.</x:v>
      </x:c>
      <x:c r="J148" s="97" t="str">
        <x:v>F082</x:v>
      </x:c>
      <x:c r="K148" s="97" t="str">
        <x:v>F079</x:v>
      </x:c>
    </x:row>
    <x:row r="149">
      <x:c r="A149" s="97" t="str">
        <x:v>I152</x:v>
      </x:c>
      <x:c r="B149" s="97" t="str">
        <x:v>Peter Wyche</x:v>
      </x:c>
      <x:c r="C149" s="97" t="str">
        <x:v>M</x:v>
      </x:c>
      <x:c r="D149" s="97" t="str"/>
      <x:c r="E149" s="97" t="str"/>
      <x:c r="F149" s="97" t="str"/>
      <x:c r="G149" s="97" t="str"/>
      <x:c r="H149" s="97" t="str">
        <x:v>S11</x:v>
      </x:c>
      <x:c r="I149" s="97" t="str">
        <x:v>Confidence B (Strong). Branch: Rives / Harrison.</x:v>
      </x:c>
      <x:c r="J149" s="97" t="str"/>
      <x:c r="K149" s="97" t="str">
        <x:v>F080</x:v>
      </x:c>
    </x:row>
    <x:row r="150">
      <x:c r="A150" s="97" t="str">
        <x:v>I153</x:v>
      </x:c>
      <x:c r="B150" s="97" t="str">
        <x:v>Alice Wyche</x:v>
      </x:c>
      <x:c r="C150" s="97" t="str">
        <x:v>F</x:v>
      </x:c>
      <x:c r="D150" s="97" t="str"/>
      <x:c r="E150" s="97" t="str"/>
      <x:c r="F150" s="97" t="str"/>
      <x:c r="G150" s="97" t="str"/>
      <x:c r="H150" s="97" t="str">
        <x:v>S11</x:v>
      </x:c>
      <x:c r="I150" s="97" t="str">
        <x:v>Confidence B (Strong). Branch: Rives / Harrison.</x:v>
      </x:c>
      <x:c r="J150" s="97" t="str"/>
      <x:c r="K150" s="97" t="str">
        <x:v>F080</x:v>
      </x:c>
    </x:row>
    <x:row r="151">
      <x:c r="A151" s="97" t="str">
        <x:v>I154</x:v>
      </x:c>
      <x:c r="B151" s="97" t="str">
        <x:v>William Raiford Agee</x:v>
      </x:c>
      <x:c r="C151" s="97" t="str">
        <x:v>M</x:v>
      </x:c>
      <x:c r="D151" s="97" t="str">
        <x:v>13 AUG 1806; Buckingham County, Virginia</x:v>
      </x:c>
      <x:c r="E151" s="97" t="str">
        <x:v>31 AUG 1870; Alabama</x:v>
      </x:c>
      <x:c r="F151" s="97" t="str"/>
      <x:c r="G151" s="97" t="str"/>
      <x:c r="H151" s="97" t="str">
        <x:v>S8</x:v>
      </x:c>
      <x:c r="I151" s="97" t="str">
        <x:v>Confidence B (Strong). Branch: Agee / Ford / Bondurant.</x:v>
      </x:c>
      <x:c r="J151" s="97" t="str">
        <x:v>F085</x:v>
      </x:c>
      <x:c r="K151" s="97" t="str">
        <x:v>F081</x:v>
      </x:c>
    </x:row>
    <x:row r="152">
      <x:c r="A152" s="97" t="str">
        <x:v>I155</x:v>
      </x:c>
      <x:c r="B152" s="97" t="str">
        <x:v>Elvina Hill</x:v>
      </x:c>
      <x:c r="C152" s="97" t="str">
        <x:v>F</x:v>
      </x:c>
      <x:c r="D152" s="97" t="str"/>
      <x:c r="E152" s="97" t="str"/>
      <x:c r="F152" s="97" t="str"/>
      <x:c r="G152" s="97" t="str"/>
      <x:c r="H152" s="97" t="str">
        <x:v>S8</x:v>
      </x:c>
      <x:c r="I152" s="97" t="str">
        <x:v>Confidence B (Strong). Branch: Agee / Ford / Bondurant.</x:v>
      </x:c>
      <x:c r="J152" s="97" t="str">
        <x:v>F086</x:v>
      </x:c>
      <x:c r="K152" s="97" t="str">
        <x:v>F081</x:v>
      </x:c>
    </x:row>
    <x:row r="153">
      <x:c r="A153" s="97" t="str">
        <x:v>I157</x:v>
      </x:c>
      <x:c r="B153" s="97" t="str">
        <x:v>William Rives</x:v>
      </x:c>
      <x:c r="C153" s="97" t="str">
        <x:v>M</x:v>
      </x:c>
      <x:c r="D153" s="97" t="str">
        <x:v>ABOUT 1636; Oxfordshire, England</x:v>
      </x:c>
      <x:c r="E153" s="97" t="str">
        <x:v>AFTER 1695; Surry County, Virginia</x:v>
      </x:c>
      <x:c r="F153" s="97" t="str"/>
      <x:c r="G153" s="97" t="str"/>
      <x:c r="H153" s="97" t="str">
        <x:v>S4;S13</x:v>
      </x:c>
      <x:c r="I153" s="97" t="str">
        <x:v>Confidence D (Traditional / disputed). Branch: Rives / Harrison. Traditionally said to have settled at Blandford, Virginia. Published researchers disagree about the earliest immigrant and the parent-child links.</x:v>
      </x:c>
      <x:c r="J153" s="97" t="str"/>
      <x:c r="K153" s="97" t="str">
        <x:v>F082</x:v>
      </x:c>
    </x:row>
    <x:row r="154">
      <x:c r="A154" s="97" t="str">
        <x:v>I158</x:v>
      </x:c>
      <x:c r="B154" s="97" t="str">
        <x:v>Reuben Harrison</x:v>
      </x:c>
      <x:c r="C154" s="97" t="str">
        <x:v>M</x:v>
      </x:c>
      <x:c r="D154" s="97" t="str"/>
      <x:c r="E154" s="97" t="str">
        <x:v>1835</x:v>
      </x:c>
      <x:c r="F154" s="97" t="str"/>
      <x:c r="G154" s="97" t="str"/>
      <x:c r="H154" s="97" t="str">
        <x:v>S20</x:v>
      </x:c>
      <x:c r="I154" s="97" t="str">
        <x:v>Confidence B (Strong). Branch: Rives / Harrison. Equity records identify William Harrison as his son.</x:v>
      </x:c>
      <x:c r="J154" s="97" t="str"/>
      <x:c r="K154" s="97" t="str">
        <x:v>F083</x:v>
      </x:c>
    </x:row>
    <x:row r="155">
      <x:c r="A155" s="97" t="str">
        <x:v>I159</x:v>
      </x:c>
      <x:c r="B155" s="97" t="str">
        <x:v>Nancy Harrison</x:v>
      </x:c>
      <x:c r="C155" s="97" t="str">
        <x:v>F</x:v>
      </x:c>
      <x:c r="D155" s="97" t="str"/>
      <x:c r="E155" s="97" t="str"/>
      <x:c r="F155" s="97" t="str"/>
      <x:c r="G155" s="97" t="str"/>
      <x:c r="H155" s="97" t="str">
        <x:v>S20</x:v>
      </x:c>
      <x:c r="I155" s="97" t="str">
        <x:v>Confidence C (Provisional). Branch: Rives / Harrison. Nancy is named as Reuben’s widow; the maiden name Kirkland comes from compiled family material and is not proved here.</x:v>
      </x:c>
      <x:c r="J155" s="97" t="str"/>
      <x:c r="K155" s="97" t="str">
        <x:v>F083</x:v>
      </x:c>
    </x:row>
    <x:row r="156">
      <x:c r="A156" s="97" t="str">
        <x:v>I160</x:v>
      </x:c>
      <x:c r="B156" s="97" t="str">
        <x:v>James Perry</x:v>
      </x:c>
      <x:c r="C156" s="97" t="str">
        <x:v>M</x:v>
      </x:c>
      <x:c r="D156" s="97" t="str"/>
      <x:c r="E156" s="97" t="str">
        <x:v>AFTER 14 APR 1806 / BEFORE 1825; Kershaw District, South Carolina</x:v>
      </x:c>
      <x:c r="F156" s="97" t="str"/>
      <x:c r="G156" s="97" t="str"/>
      <x:c r="H156" s="97" t="str">
        <x:v>S20</x:v>
      </x:c>
      <x:c r="I156" s="97" t="str">
        <x:v>Confidence A (Confirmed). Branch: Rives / Harrison. His will and later equity case identify Ann Perry as his daughter.</x:v>
      </x:c>
      <x:c r="J156" s="97" t="str"/>
      <x:c r="K156" s="97" t="str">
        <x:v>F084</x:v>
      </x:c>
    </x:row>
    <x:row r="157">
      <x:c r="A157" s="97" t="str">
        <x:v>I161</x:v>
      </x:c>
      <x:c r="B157" s="97" t="str">
        <x:v>Noah Agee</x:v>
      </x:c>
      <x:c r="C157" s="97" t="str">
        <x:v>M</x:v>
      </x:c>
      <x:c r="D157" s="97" t="str">
        <x:v>12 NOV 1750; Virginia</x:v>
      </x:c>
      <x:c r="E157" s="97" t="str">
        <x:v>9 APR 1823; Alabama</x:v>
      </x:c>
      <x:c r="F157" s="97" t="str"/>
      <x:c r="G157" s="97" t="str"/>
      <x:c r="H157" s="97" t="str">
        <x:v>S8</x:v>
      </x:c>
      <x:c r="I157" s="97" t="str">
        <x:v>Confidence B (Strong). Branch: Agee / Ford / Bondurant.</x:v>
      </x:c>
      <x:c r="J157" s="97" t="str">
        <x:v>F087</x:v>
      </x:c>
      <x:c r="K157" s="97" t="str">
        <x:v>F085</x:v>
      </x:c>
    </x:row>
    <x:row r="158">
      <x:c r="A158" s="97" t="str">
        <x:v>I162</x:v>
      </x:c>
      <x:c r="B158" s="97" t="str">
        <x:v>Martha Mask</x:v>
      </x:c>
      <x:c r="C158" s="97" t="str">
        <x:v>F</x:v>
      </x:c>
      <x:c r="D158" s="97" t="str">
        <x:v>27 DEC 1768</x:v>
      </x:c>
      <x:c r="E158" s="97" t="str"/>
      <x:c r="F158" s="97" t="str"/>
      <x:c r="G158" s="97" t="str"/>
      <x:c r="H158" s="97" t="str">
        <x:v>S8</x:v>
      </x:c>
      <x:c r="I158" s="97" t="str">
        <x:v>Confidence B (Strong). Branch: Agee / Ford / Bondurant. Her parentage was not sufficiently proved in this research pass.</x:v>
      </x:c>
      <x:c r="J158" s="97" t="str"/>
      <x:c r="K158" s="97" t="str">
        <x:v>F085</x:v>
      </x:c>
    </x:row>
    <x:row r="159">
      <x:c r="A159" s="97" t="str">
        <x:v>I163</x:v>
      </x:c>
      <x:c r="B159" s="97" t="str">
        <x:v>William Hill</x:v>
      </x:c>
      <x:c r="C159" s="97" t="str">
        <x:v>M</x:v>
      </x:c>
      <x:c r="D159" s="97" t="str"/>
      <x:c r="E159" s="97" t="str"/>
      <x:c r="F159" s="97" t="str"/>
      <x:c r="G159" s="97" t="str"/>
      <x:c r="H159" s="97" t="str">
        <x:v>S8</x:v>
      </x:c>
      <x:c r="I159" s="97" t="str">
        <x:v>Confidence B (Strong). Branch: Agee / Ford / Bondurant. Named as Elvina Hill’s father; her mother is unidentified.</x:v>
      </x:c>
      <x:c r="J159" s="97" t="str"/>
      <x:c r="K159" s="97" t="str">
        <x:v>F086</x:v>
      </x:c>
    </x:row>
    <x:row r="160">
      <x:c r="A160" s="97" t="str">
        <x:v>I164</x:v>
      </x:c>
      <x:c r="B160" s="97" t="str">
        <x:v>James Agee</x:v>
      </x:c>
      <x:c r="C160" s="97" t="str">
        <x:v>M</x:v>
      </x:c>
      <x:c r="D160" s="97" t="str">
        <x:v>ABOUT 1725; Virginia</x:v>
      </x:c>
      <x:c r="E160" s="97" t="str">
        <x:v>1821</x:v>
      </x:c>
      <x:c r="F160" s="97" t="str"/>
      <x:c r="G160" s="97" t="str"/>
      <x:c r="H160" s="97" t="str">
        <x:v>S8</x:v>
      </x:c>
      <x:c r="I160" s="97" t="str">
        <x:v>Confidence B (Strong). Branch: Agee / Ford / Bondurant.</x:v>
      </x:c>
      <x:c r="J160" s="97" t="str">
        <x:v>F088</x:v>
      </x:c>
      <x:c r="K160" s="97" t="str">
        <x:v>F087</x:v>
      </x:c>
    </x:row>
    <x:row r="161">
      <x:c r="A161" s="97" t="str">
        <x:v>I165</x:v>
      </x:c>
      <x:c r="B161" s="97" t="str">
        <x:v>Mary Ford</x:v>
      </x:c>
      <x:c r="C161" s="97" t="str">
        <x:v>F</x:v>
      </x:c>
      <x:c r="D161" s="97" t="str">
        <x:v>BET 1729 AND 1730; Virginia</x:v>
      </x:c>
      <x:c r="E161" s="97" t="str">
        <x:v>1821</x:v>
      </x:c>
      <x:c r="F161" s="97" t="str"/>
      <x:c r="G161" s="97" t="str"/>
      <x:c r="H161" s="97" t="str">
        <x:v>S8;S46</x:v>
      </x:c>
      <x:c r="I161" s="97" t="str">
        <x:v>Confidence B (Strong). Branch: Agee / Ford / Bondurant. A will reportedly proves the surname Ford; the family history discusses uncertainty over whether her given name was Mary or Elizabeth. | Vital-date research VD-010 (provisional confidence): The compilation reports Mary (possibly Elizabeth) Ford born in Virginia in 1729-30 and died in 1821. | Vital-date conflict: The given-name uncertainty and compiled nature of the source are retained; these dates are provisional.</x:v>
      </x:c>
      <x:c r="J161" s="97" t="str">
        <x:v>F089</x:v>
      </x:c>
      <x:c r="K161" s="97" t="str">
        <x:v>F087</x:v>
      </x:c>
    </x:row>
    <x:row r="162">
      <x:c r="A162" s="97" t="str">
        <x:v>I166</x:v>
      </x:c>
      <x:c r="B162" s="97" t="str">
        <x:v>Mathieu Agee</x:v>
      </x:c>
      <x:c r="C162" s="97" t="str">
        <x:v>M</x:v>
      </x:c>
      <x:c r="D162" s="97" t="str">
        <x:v>ABOUT 1670; near Nantes, France</x:v>
      </x:c>
      <x:c r="E162" s="97" t="str">
        <x:v>Virginia</x:v>
      </x:c>
      <x:c r="F162" s="97" t="str"/>
      <x:c r="G162" s="97" t="str"/>
      <x:c r="H162" s="97" t="str">
        <x:v>S8</x:v>
      </x:c>
      <x:c r="I162" s="97" t="str">
        <x:v>Confidence C (Provisional). Branch: Agee / Ford / Bondurant. Huguenot immigrant traditionally said to have arrived in Virginia in 1690. Parentage is substantially less secure than his American family.</x:v>
      </x:c>
      <x:c r="J162" s="97" t="str">
        <x:v>F091</x:v>
      </x:c>
      <x:c r="K162" s="97" t="str">
        <x:v>F088</x:v>
      </x:c>
    </x:row>
    <x:row r="163">
      <x:c r="A163" s="97" t="str">
        <x:v>I167</x:v>
      </x:c>
      <x:c r="B163" s="97" t="str">
        <x:v>Ann Godwin</x:v>
      </x:c>
      <x:c r="C163" s="97" t="str">
        <x:v>F</x:v>
      </x:c>
      <x:c r="D163" s="97" t="str"/>
      <x:c r="E163" s="97" t="str"/>
      <x:c r="F163" s="97" t="str"/>
      <x:c r="G163" s="97" t="str"/>
      <x:c r="H163" s="97" t="str">
        <x:v>S8</x:v>
      </x:c>
      <x:c r="I163" s="97" t="str">
        <x:v>Confidence C (Provisional). Branch: Agee / Ford / Bondurant.</x:v>
      </x:c>
      <x:c r="J163" s="97" t="str">
        <x:v>F090</x:v>
      </x:c>
      <x:c r="K163" s="97" t="str">
        <x:v>F088</x:v>
      </x:c>
    </x:row>
    <x:row r="164">
      <x:c r="A164" s="97" t="str">
        <x:v>I168</x:v>
      </x:c>
      <x:c r="B164" s="97" t="str">
        <x:v>James Ford</x:v>
      </x:c>
      <x:c r="C164" s="97" t="str">
        <x:v>M</x:v>
      </x:c>
      <x:c r="D164" s="97" t="str"/>
      <x:c r="E164" s="97" t="str"/>
      <x:c r="F164" s="97" t="str"/>
      <x:c r="G164" s="97" t="str"/>
      <x:c r="H164" s="97" t="str">
        <x:v>S8</x:v>
      </x:c>
      <x:c r="I164" s="97" t="str">
        <x:v>Confidence B (Strong). Branch: Agee / Ford / Bondurant.</x:v>
      </x:c>
      <x:c r="J164" s="97" t="str"/>
      <x:c r="K164" s="97" t="str">
        <x:v>F089</x:v>
      </x:c>
    </x:row>
    <x:row r="165">
      <x:c r="A165" s="97" t="str">
        <x:v>I169</x:v>
      </x:c>
      <x:c r="B165" s="97" t="str">
        <x:v>Ann Bondurant</x:v>
      </x:c>
      <x:c r="C165" s="97" t="str">
        <x:v>F</x:v>
      </x:c>
      <x:c r="D165" s="97" t="str"/>
      <x:c r="E165" s="97" t="str"/>
      <x:c r="F165" s="97" t="str"/>
      <x:c r="G165" s="97" t="str"/>
      <x:c r="H165" s="97" t="str">
        <x:v>S8</x:v>
      </x:c>
      <x:c r="I165" s="97" t="str">
        <x:v>Confidence B (Strong). Branch: Agee / Ford / Bondurant.</x:v>
      </x:c>
      <x:c r="J165" s="97" t="str">
        <x:v>F092</x:v>
      </x:c>
      <x:c r="K165" s="97" t="str">
        <x:v>F089</x:v>
      </x:c>
    </x:row>
    <x:row r="166">
      <x:c r="A166" s="97" t="str">
        <x:v>I170</x:v>
      </x:c>
      <x:c r="B166" s="97" t="str">
        <x:v>Isaac Godwin</x:v>
      </x:c>
      <x:c r="C166" s="97" t="str">
        <x:v>M</x:v>
      </x:c>
      <x:c r="D166" s="97" t="str"/>
      <x:c r="E166" s="97" t="str"/>
      <x:c r="F166" s="97" t="str"/>
      <x:c r="G166" s="97" t="str"/>
      <x:c r="H166" s="97" t="str">
        <x:v>S8</x:v>
      </x:c>
      <x:c r="I166" s="97" t="str">
        <x:v>Confidence C (Provisional). Branch: Agee / Ford / Bondurant.</x:v>
      </x:c>
      <x:c r="J166" s="97" t="str"/>
      <x:c r="K166" s="97" t="str">
        <x:v>F090</x:v>
      </x:c>
    </x:row>
    <x:row r="167">
      <x:c r="A167" s="97" t="str">
        <x:v>I171</x:v>
      </x:c>
      <x:c r="B167" s="97" t="str">
        <x:v>Ann Godwin</x:v>
      </x:c>
      <x:c r="C167" s="97" t="str">
        <x:v>F</x:v>
      </x:c>
      <x:c r="D167" s="97" t="str"/>
      <x:c r="E167" s="97" t="str"/>
      <x:c r="F167" s="97" t="str"/>
      <x:c r="G167" s="97" t="str"/>
      <x:c r="H167" s="97" t="str">
        <x:v>S8</x:v>
      </x:c>
      <x:c r="I167" s="97" t="str">
        <x:v>Confidence C (Provisional). Branch: Agee / Ford / Bondurant.</x:v>
      </x:c>
      <x:c r="J167" s="97" t="str"/>
      <x:c r="K167" s="97" t="str">
        <x:v>F090</x:v>
      </x:c>
    </x:row>
    <x:row r="168">
      <x:c r="A168" s="97" t="str">
        <x:v>I172</x:v>
      </x:c>
      <x:c r="B168" s="97" t="str">
        <x:v>Anthony Agee</x:v>
      </x:c>
      <x:c r="C168" s="97" t="str">
        <x:v>M</x:v>
      </x:c>
      <x:c r="D168" s="97" t="str"/>
      <x:c r="E168" s="97" t="str"/>
      <x:c r="F168" s="97" t="str"/>
      <x:c r="G168" s="97" t="str"/>
      <x:c r="H168" s="97" t="str">
        <x:v>S8</x:v>
      </x:c>
      <x:c r="I168" s="97" t="str">
        <x:v>Confidence D (Traditional / disputed). Branch: Agee / Ford / Bondurant. The claim that Anthony Agee and Judith Chastain were Mathieu’s parents appears in later addenda/tradition and needs independent French records.</x:v>
      </x:c>
      <x:c r="J168" s="97" t="str"/>
      <x:c r="K168" s="97" t="str">
        <x:v>F091</x:v>
      </x:c>
    </x:row>
    <x:row r="169">
      <x:c r="A169" s="97" t="str">
        <x:v>I173</x:v>
      </x:c>
      <x:c r="B169" s="97" t="str">
        <x:v>Judith Chastain</x:v>
      </x:c>
      <x:c r="C169" s="97" t="str">
        <x:v>F</x:v>
      </x:c>
      <x:c r="D169" s="97" t="str"/>
      <x:c r="E169" s="97" t="str"/>
      <x:c r="F169" s="97" t="str"/>
      <x:c r="G169" s="97" t="str"/>
      <x:c r="H169" s="97" t="str">
        <x:v>S8</x:v>
      </x:c>
      <x:c r="I169" s="97" t="str">
        <x:v>Confidence D (Traditional / disputed). Branch: Agee / Ford / Bondurant. Traditional mother of Mathieu Agee; not treated as proved.</x:v>
      </x:c>
      <x:c r="J169" s="97" t="str"/>
      <x:c r="K169" s="97" t="str">
        <x:v>F091</x:v>
      </x:c>
    </x:row>
    <x:row r="170">
      <x:c r="A170" s="97" t="str">
        <x:v>I174</x:v>
      </x:c>
      <x:c r="B170" s="97" t="str">
        <x:v>Jean Pierre John Peter Bondurant</x:v>
      </x:c>
      <x:c r="C170" s="97" t="str">
        <x:v>M</x:v>
      </x:c>
      <x:c r="D170" s="97" t="str">
        <x:v>near Lyon, France</x:v>
      </x:c>
      <x:c r="E170" s="97" t="str">
        <x:v>Virginia</x:v>
      </x:c>
      <x:c r="F170" s="97" t="str"/>
      <x:c r="G170" s="97" t="str"/>
      <x:c r="H170" s="97" t="str">
        <x:v>S8</x:v>
      </x:c>
      <x:c r="I170" s="97" t="str">
        <x:v>Confidence C (Provisional). Branch: Agee / Ford / Bondurant. The Agee family history identifies him as Ann Bondurant’s father and describes his Huguenot migration.</x:v>
      </x:c>
      <x:c r="J170" s="97" t="str"/>
      <x:c r="K170" s="97" t="str">
        <x:v>F092</x:v>
      </x:c>
    </x:row>
    <x:row r="171">
      <x:c r="A171" s="97" t="str">
        <x:v>I175</x:v>
      </x:c>
      <x:c r="B171" s="97" t="str">
        <x:v>Arianna Lynn Annie Vollmer</x:v>
      </x:c>
      <x:c r="C171" s="97" t="str">
        <x:v>F</x:v>
      </x:c>
      <x:c r="D171" s="97" t="str"/>
      <x:c r="E171" s="97" t="str"/>
      <x:c r="F171" s="97" t="str"/>
      <x:c r="G171" s="97" t="str"/>
      <x:c r="H171" s="97" t="str"/>
      <x:c r="I171" s="97" t="str">
        <x:v>Relationship to Fredric: Sister. | Confidence: A - Confirmed.</x:v>
      </x:c>
      <x:c r="J171" s="97" t="str">
        <x:v>F095</x:v>
      </x:c>
      <x:c r="K171" s="97" t="str"/>
    </x:row>
    <x:row r="172">
      <x:c r="A172" s="97" t="str">
        <x:v>I176</x:v>
      </x:c>
      <x:c r="B172" s="97" t="str">
        <x:v>Henry Richard Vollmer</x:v>
      </x:c>
      <x:c r="C172" s="97" t="str">
        <x:v>M</x:v>
      </x:c>
      <x:c r="D172" s="97" t="str">
        <x:v>24 SEP 1934; Long Island, New York</x:v>
      </x:c>
      <x:c r="E172" s="97" t="str">
        <x:v>4 JUL 2023</x:v>
      </x:c>
      <x:c r="F172" s="97" t="str"/>
      <x:c r="G172" s="97" t="str">
        <x:v>EXISTING-HENRY-RICHARD-VOLLMER</x:v>
      </x:c>
      <x:c r="H172" s="97" t="str">
        <x:v>S28;S46;S31;S47</x:v>
      </x:c>
      <x:c r="I172" s="97" t="str">
        <x:v>Relationship to Fredric: Father. | Confidence: A - Confirmed. | Henry is Fredric's father and Jan's spouse in this tree. | Owner-confirmed: Mary Alice Thoren was Henry's first wife, before Jan Muller Vollmer. | Owner-confirmed: Henry is Chris Vollmer's biological father; Chris is Fredric's paternal half-brother. | Vital-date research VD-001 (high confidence): The direct-ancestor input row already supplied both dates; they were dropped when the person was reused during consolidation.</x:v>
      </x:c>
      <x:c r="J172" s="97" t="str">
        <x:v>F105</x:v>
      </x:c>
      <x:c r="K172" s="97" t="str">
        <x:v>F095;F144;F155</x:v>
      </x:c>
    </x:row>
    <x:row r="173">
      <x:c r="A173" s="97" t="str">
        <x:v>I177</x:v>
      </x:c>
      <x:c r="B173" s="97" t="str">
        <x:v>Bruce Eric Muller</x:v>
      </x:c>
      <x:c r="C173" s="97" t="str">
        <x:v>M</x:v>
      </x:c>
      <x:c r="D173" s="97" t="str">
        <x:v>15 JUN 1958; Michigan</x:v>
      </x:c>
      <x:c r="E173" s="97" t="str">
        <x:v>4 JUN 1972; Vancouver, Clark, Washington</x:v>
      </x:c>
      <x:c r="F173" s="97" t="str"/>
      <x:c r="G173" s="97" t="str">
        <x:v>BRUCE-MULLER</x:v>
      </x:c>
      <x:c r="H173" s="97" t="str">
        <x:v>S27;S46;S47</x:v>
      </x:c>
      <x:c r="I173" s="97" t="str">
        <x:v>Relationship to Fredric: Maternal uncle. | Confidence: A - Confirmed. | Vital-date research VD-014 (moderate confidence): Ancestry's hint for the existing Bruce Muller profile identifies Bruce Eric Muller, son of Arthur John Muller, with exact dates; the owner confirms that Bruce died in a Vancouver hospital and was remembered as age 14. | Vital-date conflict: The two calendar dates calculate to 13 years 354 days, while family testimony remembers age 14. Both are retained explicitly; the calendar dates remain moderate-confidence pending an original record.</x:v>
      </x:c>
      <x:c r="J173" s="97" t="str">
        <x:v>F001</x:v>
      </x:c>
      <x:c r="K173" s="97" t="str"/>
    </x:row>
    <x:row r="174">
      <x:c r="A174" s="97" t="str">
        <x:v>I178</x:v>
      </x:c>
      <x:c r="B174" s="97" t="str">
        <x:v>Mary Gene Muller Chaffee</x:v>
      </x:c>
      <x:c r="C174" s="97" t="str">
        <x:v>F</x:v>
      </x:c>
      <x:c r="D174" s="97" t="str">
        <x:v>13 APR 1920; Detroit, Wayne, Michigan</x:v>
      </x:c>
      <x:c r="E174" s="97" t="str">
        <x:v>18 AUG 1995</x:v>
      </x:c>
      <x:c r="F174" s="97" t="str">
        <x:v>Stenographer (1940; Detroit, Wayne, Michigan)</x:v>
      </x:c>
      <x:c r="G174" s="97" t="str">
        <x:v>MGMCH-1920</x:v>
      </x:c>
      <x:c r="H174" s="97" t="str">
        <x:v>S27;S48</x:v>
      </x:c>
      <x:c r="I174" s="97" t="str">
        <x:v>Relationship to Fredric: Maternal great-aunt. | Confidence: A - Confirmed. | Historical marriage and draft records identify her husband as Elmer James Chaffee Jr.</x:v>
      </x:c>
      <x:c r="J174" s="97" t="str">
        <x:v>F002</x:v>
      </x:c>
      <x:c r="K174" s="97" t="str">
        <x:v>F093</x:v>
      </x:c>
    </x:row>
    <x:row r="175">
      <x:c r="A175" s="97" t="str">
        <x:v>I179</x:v>
      </x:c>
      <x:c r="B175" s="97" t="str">
        <x:v>Elmer James Chaffee Jr</x:v>
      </x:c>
      <x:c r="C175" s="97" t="str">
        <x:v>M</x:v>
      </x:c>
      <x:c r="D175" s="97" t="str">
        <x:v>1 OCT 1918; Wayne County, Michigan</x:v>
      </x:c>
      <x:c r="E175" s="97" t="str"/>
      <x:c r="F175" s="97" t="str"/>
      <x:c r="G175" s="97" t="str"/>
      <x:c r="H175" s="97" t="str">
        <x:v>S27</x:v>
      </x:c>
      <x:c r="I175" s="97" t="str">
        <x:v>Relationship to Fredric: Maternal great-uncle by marriage. | Confidence: A - Confirmed. | The 1998 family chart used James; historical records give the fuller name Elmer James Chaffee Jr.</x:v>
      </x:c>
      <x:c r="J175" s="97" t="str"/>
      <x:c r="K175" s="97" t="str">
        <x:v>F093</x:v>
      </x:c>
    </x:row>
    <x:row r="176">
      <x:c r="A176" s="97" t="str">
        <x:v>I180</x:v>
      </x:c>
      <x:c r="B176" s="97" t="str">
        <x:v>Linda Chaffee</x:v>
      </x:c>
      <x:c r="C176" s="97" t="str">
        <x:v>F</x:v>
      </x:c>
      <x:c r="D176" s="97" t="str"/>
      <x:c r="E176" s="97" t="str"/>
      <x:c r="F176" s="97" t="str"/>
      <x:c r="G176" s="97" t="str"/>
      <x:c r="H176" s="97" t="str"/>
      <x:c r="I176" s="97" t="str">
        <x:v>Relationship to Fredric: First cousin once removed. | Confidence: A - Confirmed.</x:v>
      </x:c>
      <x:c r="J176" s="97" t="str">
        <x:v>F093</x:v>
      </x:c>
      <x:c r="K176" s="97" t="str"/>
    </x:row>
    <x:row r="177">
      <x:c r="A177" s="97" t="str">
        <x:v>I181</x:v>
      </x:c>
      <x:c r="B177" s="97" t="str">
        <x:v>Lori Chaffee Mettler</x:v>
      </x:c>
      <x:c r="C177" s="97" t="str">
        <x:v>F</x:v>
      </x:c>
      <x:c r="D177" s="97" t="str"/>
      <x:c r="E177" s="97" t="str"/>
      <x:c r="F177" s="97" t="str"/>
      <x:c r="G177" s="97" t="str"/>
      <x:c r="H177" s="97" t="str"/>
      <x:c r="I177" s="97" t="str">
        <x:v>Relationship to Fredric: First cousin once removed. | Confidence: A - Confirmed.</x:v>
      </x:c>
      <x:c r="J177" s="97" t="str">
        <x:v>F093</x:v>
      </x:c>
      <x:c r="K177" s="97" t="str"/>
    </x:row>
    <x:row r="178">
      <x:c r="A178" s="97" t="str">
        <x:v>I182</x:v>
      </x:c>
      <x:c r="B178" s="97" t="str">
        <x:v>James Chaffee</x:v>
      </x:c>
      <x:c r="C178" s="97" t="str">
        <x:v>M</x:v>
      </x:c>
      <x:c r="D178" s="97" t="str"/>
      <x:c r="E178" s="97" t="str"/>
      <x:c r="F178" s="97" t="str"/>
      <x:c r="G178" s="97" t="str"/>
      <x:c r="H178" s="97" t="str">
        <x:v>S29</x:v>
      </x:c>
      <x:c r="I178" s="97" t="str">
        <x:v>Relationship to Fredric: First cousin once removed. | Confidence: A - Confirmed. | The son's name is James; an earlier mistranscription has been removed.</x:v>
      </x:c>
      <x:c r="J178" s="97" t="str">
        <x:v>F093</x:v>
      </x:c>
      <x:c r="K178" s="97" t="str"/>
    </x:row>
    <x:row r="179">
      <x:c r="A179" s="97" t="str">
        <x:v>I183</x:v>
      </x:c>
      <x:c r="B179" s="97" t="str">
        <x:v>Jane Lee Muller Swick</x:v>
      </x:c>
      <x:c r="C179" s="97" t="str">
        <x:v>F</x:v>
      </x:c>
      <x:c r="D179" s="97" t="str">
        <x:v>7 NOV 1932; Detroit, Wayne, Michigan</x:v>
      </x:c>
      <x:c r="E179" s="97" t="str">
        <x:v>7 NOV 2010; North Bend, Coos, Oregon</x:v>
      </x:c>
      <x:c r="F179" s="97" t="str"/>
      <x:c r="G179" s="97" t="str">
        <x:v>JLMS-1932</x:v>
      </x:c>
      <x:c r="H179" s="97" t="str">
        <x:v>S27</x:v>
      </x:c>
      <x:c r="I179" s="97" t="str">
        <x:v>Relationship to Fredric: Maternal great-aunt. | Confidence: A - Confirmed.</x:v>
      </x:c>
      <x:c r="J179" s="97" t="str">
        <x:v>F002</x:v>
      </x:c>
      <x:c r="K179" s="97" t="str">
        <x:v>F094</x:v>
      </x:c>
    </x:row>
    <x:row r="180">
      <x:c r="A180" s="97" t="str">
        <x:v>I184</x:v>
      </x:c>
      <x:c r="B180" s="97" t="str">
        <x:v>Howard Swick</x:v>
      </x:c>
      <x:c r="C180" s="97" t="str">
        <x:v>M</x:v>
      </x:c>
      <x:c r="D180" s="97" t="str"/>
      <x:c r="E180" s="97" t="str"/>
      <x:c r="F180" s="97" t="str"/>
      <x:c r="G180" s="97" t="str"/>
      <x:c r="H180" s="97" t="str"/>
      <x:c r="I180" s="97" t="str">
        <x:v>Relationship to Fredric: Maternal great-uncle by marriage. | Confidence: A - Confirmed.</x:v>
      </x:c>
      <x:c r="J180" s="97" t="str"/>
      <x:c r="K180" s="97" t="str">
        <x:v>F094</x:v>
      </x:c>
    </x:row>
    <x:row r="181">
      <x:c r="A181" s="97" t="str">
        <x:v>I185</x:v>
      </x:c>
      <x:c r="B181" s="97" t="str">
        <x:v>Kathy Swick Werblo</x:v>
      </x:c>
      <x:c r="C181" s="97" t="str">
        <x:v>F</x:v>
      </x:c>
      <x:c r="D181" s="97" t="str"/>
      <x:c r="E181" s="97" t="str"/>
      <x:c r="F181" s="97" t="str"/>
      <x:c r="G181" s="97" t="str"/>
      <x:c r="H181" s="97" t="str"/>
      <x:c r="I181" s="97" t="str">
        <x:v>Relationship to Fredric: First cousin once removed. | Confidence: A - Confirmed.</x:v>
      </x:c>
      <x:c r="J181" s="97" t="str">
        <x:v>F094</x:v>
      </x:c>
      <x:c r="K181" s="97" t="str">
        <x:v>F098</x:v>
      </x:c>
    </x:row>
    <x:row r="182">
      <x:c r="A182" s="97" t="str">
        <x:v>I186</x:v>
      </x:c>
      <x:c r="B182" s="97" t="str">
        <x:v>Dave Werblo</x:v>
      </x:c>
      <x:c r="C182" s="97" t="str">
        <x:v>M</x:v>
      </x:c>
      <x:c r="D182" s="97" t="str"/>
      <x:c r="E182" s="97" t="str"/>
      <x:c r="F182" s="97" t="str"/>
      <x:c r="G182" s="97" t="str"/>
      <x:c r="H182" s="97" t="str"/>
      <x:c r="I182" s="97" t="str">
        <x:v>Relationship to Fredric: Cousin-in-law (1C1R spouse). | Confidence: A - Confirmed.</x:v>
      </x:c>
      <x:c r="J182" s="97" t="str"/>
      <x:c r="K182" s="97" t="str">
        <x:v>F098</x:v>
      </x:c>
    </x:row>
    <x:row r="183">
      <x:c r="A183" s="97" t="str">
        <x:v>I187</x:v>
      </x:c>
      <x:c r="B183" s="97" t="str">
        <x:v>John Swick</x:v>
      </x:c>
      <x:c r="C183" s="97" t="str">
        <x:v>M</x:v>
      </x:c>
      <x:c r="D183" s="97" t="str"/>
      <x:c r="E183" s="97" t="str"/>
      <x:c r="F183" s="97" t="str"/>
      <x:c r="G183" s="97" t="str"/>
      <x:c r="H183" s="97" t="str"/>
      <x:c r="I183" s="97" t="str">
        <x:v>Relationship to Fredric: First cousin once removed. | Confidence: A - Confirmed.</x:v>
      </x:c>
      <x:c r="J183" s="97" t="str">
        <x:v>F094</x:v>
      </x:c>
      <x:c r="K183" s="97" t="str">
        <x:v>F099</x:v>
      </x:c>
    </x:row>
    <x:row r="184">
      <x:c r="A184" s="97" t="str">
        <x:v>I188</x:v>
      </x:c>
      <x:c r="B184" s="97" t="str">
        <x:v>Celeste</x:v>
      </x:c>
      <x:c r="C184" s="97" t="str">
        <x:v>F</x:v>
      </x:c>
      <x:c r="D184" s="97" t="str"/>
      <x:c r="E184" s="97" t="str"/>
      <x:c r="F184" s="97" t="str"/>
      <x:c r="G184" s="97" t="str"/>
      <x:c r="H184" s="97" t="str"/>
      <x:c r="I184" s="97" t="str">
        <x:v>Relationship to Fredric: Cousin-in-law (1C1R spouse). | Confidence: C - Provisional.</x:v>
      </x:c>
      <x:c r="J184" s="97" t="str"/>
      <x:c r="K184" s="97" t="str">
        <x:v>F099</x:v>
      </x:c>
    </x:row>
    <x:row r="185">
      <x:c r="A185" s="97" t="str">
        <x:v>I189</x:v>
      </x:c>
      <x:c r="B185" s="97" t="str">
        <x:v>Susan Sue Swick Galbraith</x:v>
      </x:c>
      <x:c r="C185" s="97" t="str">
        <x:v>F</x:v>
      </x:c>
      <x:c r="D185" s="97" t="str"/>
      <x:c r="E185" s="97" t="str"/>
      <x:c r="F185" s="97" t="str"/>
      <x:c r="G185" s="97" t="str"/>
      <x:c r="H185" s="97" t="str"/>
      <x:c r="I185" s="97" t="str">
        <x:v>Relationship to Fredric: First cousin once removed. | Confidence: A - Confirmed.</x:v>
      </x:c>
      <x:c r="J185" s="97" t="str">
        <x:v>F094</x:v>
      </x:c>
      <x:c r="K185" s="97" t="str">
        <x:v>F100</x:v>
      </x:c>
    </x:row>
    <x:row r="186">
      <x:c r="A186" s="97" t="str">
        <x:v>I190</x:v>
      </x:c>
      <x:c r="B186" s="97" t="str">
        <x:v>Gordon Galbraith</x:v>
      </x:c>
      <x:c r="C186" s="97" t="str">
        <x:v>M</x:v>
      </x:c>
      <x:c r="D186" s="97" t="str"/>
      <x:c r="E186" s="97" t="str"/>
      <x:c r="F186" s="97" t="str"/>
      <x:c r="G186" s="97" t="str"/>
      <x:c r="H186" s="97" t="str"/>
      <x:c r="I186" s="97" t="str">
        <x:v>Relationship to Fredric: Cousin-in-law (1C1R spouse). | Confidence: A - Confirmed.</x:v>
      </x:c>
      <x:c r="J186" s="97" t="str"/>
      <x:c r="K186" s="97" t="str">
        <x:v>F100</x:v>
      </x:c>
    </x:row>
    <x:row r="187">
      <x:c r="A187" s="97" t="str">
        <x:v>I191</x:v>
      </x:c>
      <x:c r="B187" s="97" t="str">
        <x:v>Patti Swick</x:v>
      </x:c>
      <x:c r="C187" s="97" t="str">
        <x:v>F</x:v>
      </x:c>
      <x:c r="D187" s="97" t="str"/>
      <x:c r="E187" s="97" t="str"/>
      <x:c r="F187" s="97" t="str"/>
      <x:c r="G187" s="97" t="str"/>
      <x:c r="H187" s="97" t="str"/>
      <x:c r="I187" s="97" t="str">
        <x:v>Relationship to Fredric: First cousin once removed. | Confidence: A - Confirmed.</x:v>
      </x:c>
      <x:c r="J187" s="97" t="str">
        <x:v>F094</x:v>
      </x:c>
      <x:c r="K187" s="97" t="str">
        <x:v>F101</x:v>
      </x:c>
    </x:row>
    <x:row r="188">
      <x:c r="A188" s="97" t="str">
        <x:v>I192</x:v>
      </x:c>
      <x:c r="B188" s="97" t="str">
        <x:v>Rick Lilly</x:v>
      </x:c>
      <x:c r="C188" s="97" t="str">
        <x:v>M</x:v>
      </x:c>
      <x:c r="D188" s="97" t="str"/>
      <x:c r="E188" s="97" t="str"/>
      <x:c r="F188" s="97" t="str"/>
      <x:c r="G188" s="97" t="str"/>
      <x:c r="H188" s="97" t="str"/>
      <x:c r="I188" s="97" t="str">
        <x:v>Relationship to Fredric: Cousin-in-law (historical). | Confidence: B - Strong.</x:v>
      </x:c>
      <x:c r="J188" s="97" t="str"/>
      <x:c r="K188" s="97" t="str">
        <x:v>F101</x:v>
      </x:c>
    </x:row>
    <x:row r="189">
      <x:c r="A189" s="97" t="str">
        <x:v>I193</x:v>
      </x:c>
      <x:c r="B189" s="97" t="str">
        <x:v>Philip Brooks McCormick</x:v>
      </x:c>
      <x:c r="C189" s="97" t="str">
        <x:v>M</x:v>
      </x:c>
      <x:c r="D189" s="97" t="str">
        <x:v>10 APR 1930; Royal Oak, Oakland, Michigan</x:v>
      </x:c>
      <x:c r="E189" s="97" t="str">
        <x:v>20 FEB 2021; Newport Beach, Orange, California</x:v>
      </x:c>
      <x:c r="F189" s="97" t="str"/>
      <x:c r="G189" s="97" t="str">
        <x:v>PMCC-1930</x:v>
      </x:c>
      <x:c r="H189" s="97" t="str">
        <x:v>S27;S46</x:v>
      </x:c>
      <x:c r="I189" s="97" t="str">
        <x:v>Relationship to Fredric: Maternal great-uncle. | Confidence: A - Confirmed. | Vital-date research VD-003 (high confidence): The obituary supplies the full name, exact dates, and places and matches the already-proved Charles Ellsworth McCormick household. | Vital-date conflict: The 1940 census estimate of about 1929-1930 is superseded by the obituary's exact date.</x:v>
      </x:c>
      <x:c r="J189" s="97" t="str">
        <x:v>F003</x:v>
      </x:c>
      <x:c r="K189" s="97" t="str">
        <x:v>F096</x:v>
      </x:c>
    </x:row>
    <x:row r="190">
      <x:c r="A190" s="97" t="str">
        <x:v>I194</x:v>
      </x:c>
      <x:c r="B190" s="97" t="str">
        <x:v>Elizabeth Betsy Ross McCormick</x:v>
      </x:c>
      <x:c r="C190" s="97" t="str">
        <x:v>F</x:v>
      </x:c>
      <x:c r="D190" s="97" t="str"/>
      <x:c r="E190" s="97" t="str"/>
      <x:c r="F190" s="97" t="str"/>
      <x:c r="G190" s="97" t="str"/>
      <x:c r="H190" s="97" t="str"/>
      <x:c r="I190" s="97" t="str">
        <x:v>Relationship to Fredric: Maternal great-aunt by marriage. | Confidence: B - Strong.</x:v>
      </x:c>
      <x:c r="J190" s="97" t="str"/>
      <x:c r="K190" s="97" t="str">
        <x:v>F096</x:v>
      </x:c>
    </x:row>
    <x:row r="191">
      <x:c r="A191" s="97" t="str">
        <x:v>I195</x:v>
      </x:c>
      <x:c r="B191" s="97" t="str">
        <x:v>Sandy McCormick Hill</x:v>
      </x:c>
      <x:c r="C191" s="97" t="str">
        <x:v>F</x:v>
      </x:c>
      <x:c r="D191" s="97" t="str"/>
      <x:c r="E191" s="97" t="str"/>
      <x:c r="F191" s="97" t="str"/>
      <x:c r="G191" s="97" t="str"/>
      <x:c r="H191" s="97" t="str"/>
      <x:c r="I191" s="97" t="str">
        <x:v>Relationship to Fredric: First cousin once removed. | Confidence: A - Confirmed.</x:v>
      </x:c>
      <x:c r="J191" s="97" t="str">
        <x:v>F096</x:v>
      </x:c>
      <x:c r="K191" s="97" t="str">
        <x:v>F102</x:v>
      </x:c>
    </x:row>
    <x:row r="192">
      <x:c r="A192" s="97" t="str">
        <x:v>I196</x:v>
      </x:c>
      <x:c r="B192" s="97" t="str">
        <x:v>John Hill</x:v>
      </x:c>
      <x:c r="C192" s="97" t="str">
        <x:v>M</x:v>
      </x:c>
      <x:c r="D192" s="97" t="str"/>
      <x:c r="E192" s="97" t="str"/>
      <x:c r="F192" s="97" t="str"/>
      <x:c r="G192" s="97" t="str"/>
      <x:c r="H192" s="97" t="str"/>
      <x:c r="I192" s="97" t="str">
        <x:v>Relationship to Fredric: Cousin-in-law (1C1R spouse). | Confidence: A - Confirmed.</x:v>
      </x:c>
      <x:c r="J192" s="97" t="str"/>
      <x:c r="K192" s="97" t="str">
        <x:v>F102</x:v>
      </x:c>
    </x:row>
    <x:row r="193">
      <x:c r="A193" s="97" t="str">
        <x:v>I197</x:v>
      </x:c>
      <x:c r="B193" s="97" t="str">
        <x:v>Ross McCormick</x:v>
      </x:c>
      <x:c r="C193" s="97" t="str">
        <x:v>M</x:v>
      </x:c>
      <x:c r="D193" s="97" t="str"/>
      <x:c r="E193" s="97" t="str"/>
      <x:c r="F193" s="97" t="str"/>
      <x:c r="G193" s="97" t="str"/>
      <x:c r="H193" s="97" t="str"/>
      <x:c r="I193" s="97" t="str">
        <x:v>Relationship to Fredric: First cousin once removed. | Confidence: A - Confirmed.</x:v>
      </x:c>
      <x:c r="J193" s="97" t="str">
        <x:v>F096</x:v>
      </x:c>
      <x:c r="K193" s="97" t="str">
        <x:v>F103</x:v>
      </x:c>
    </x:row>
    <x:row r="194">
      <x:c r="A194" s="97" t="str">
        <x:v>I198</x:v>
      </x:c>
      <x:c r="B194" s="97" t="str">
        <x:v>Carrie McCormick</x:v>
      </x:c>
      <x:c r="C194" s="97" t="str">
        <x:v>F</x:v>
      </x:c>
      <x:c r="D194" s="97" t="str"/>
      <x:c r="E194" s="97" t="str"/>
      <x:c r="F194" s="97" t="str"/>
      <x:c r="G194" s="97" t="str"/>
      <x:c r="H194" s="97" t="str"/>
      <x:c r="I194" s="97" t="str">
        <x:v>Relationship to Fredric: Cousin-in-law (1C1R spouse). | Confidence: A - Confirmed.</x:v>
      </x:c>
      <x:c r="J194" s="97" t="str"/>
      <x:c r="K194" s="97" t="str">
        <x:v>F103</x:v>
      </x:c>
    </x:row>
    <x:row r="195">
      <x:c r="A195" s="97" t="str">
        <x:v>I199</x:v>
      </x:c>
      <x:c r="B195" s="97" t="str">
        <x:v>Tina McCormick</x:v>
      </x:c>
      <x:c r="C195" s="97" t="str">
        <x:v>F</x:v>
      </x:c>
      <x:c r="D195" s="97" t="str"/>
      <x:c r="E195" s="97" t="str"/>
      <x:c r="F195" s="97" t="str"/>
      <x:c r="G195" s="97" t="str"/>
      <x:c r="H195" s="97" t="str"/>
      <x:c r="I195" s="97" t="str">
        <x:v>Relationship to Fredric: First cousin once removed. | Confidence: A - Confirmed.</x:v>
      </x:c>
      <x:c r="J195" s="97" t="str">
        <x:v>F096</x:v>
      </x:c>
      <x:c r="K195" s="97" t="str"/>
    </x:row>
    <x:row r="196">
      <x:c r="A196" s="97" t="str">
        <x:v>I200</x:v>
      </x:c>
      <x:c r="B196" s="97" t="str">
        <x:v>Charles McCormick</x:v>
      </x:c>
      <x:c r="C196" s="97" t="str">
        <x:v>M</x:v>
      </x:c>
      <x:c r="D196" s="97" t="str"/>
      <x:c r="E196" s="97" t="str"/>
      <x:c r="F196" s="97" t="str"/>
      <x:c r="G196" s="97" t="str">
        <x:v>CEMCCJR-1939</x:v>
      </x:c>
      <x:c r="H196" s="97" t="str">
        <x:v>S27</x:v>
      </x:c>
      <x:c r="I196" s="97" t="str">
        <x:v>Relationship to Fredric: Maternal great-uncle. | Confidence: A - Confirmed.</x:v>
      </x:c>
      <x:c r="J196" s="97" t="str">
        <x:v>F003</x:v>
      </x:c>
      <x:c r="K196" s="97" t="str">
        <x:v>F104</x:v>
      </x:c>
    </x:row>
    <x:row r="197">
      <x:c r="A197" s="97" t="str">
        <x:v>I201</x:v>
      </x:c>
      <x:c r="B197" s="97" t="str">
        <x:v>Judy McCormick</x:v>
      </x:c>
      <x:c r="C197" s="97" t="str">
        <x:v>F</x:v>
      </x:c>
      <x:c r="D197" s="97" t="str"/>
      <x:c r="E197" s="97" t="str"/>
      <x:c r="F197" s="97" t="str"/>
      <x:c r="G197" s="97" t="str"/>
      <x:c r="H197" s="97" t="str"/>
      <x:c r="I197" s="97" t="str">
        <x:v>Relationship to Fredric: Maternal great-aunt by marriage. | Confidence: A - Confirmed.</x:v>
      </x:c>
      <x:c r="J197" s="97" t="str"/>
      <x:c r="K197" s="97" t="str">
        <x:v>F104</x:v>
      </x:c>
    </x:row>
    <x:row r="198">
      <x:c r="A198" s="97" t="str">
        <x:v>I202</x:v>
      </x:c>
      <x:c r="B198" s="97" t="str">
        <x:v>Gwendolyn Gwen McCormick Hull</x:v>
      </x:c>
      <x:c r="C198" s="97" t="str">
        <x:v>F</x:v>
      </x:c>
      <x:c r="D198" s="97" t="str"/>
      <x:c r="E198" s="97" t="str"/>
      <x:c r="F198" s="97" t="str"/>
      <x:c r="G198" s="97" t="str">
        <x:v>GIMCC-1941</x:v>
      </x:c>
      <x:c r="H198" s="97" t="str">
        <x:v>S27</x:v>
      </x:c>
      <x:c r="I198" s="97" t="str">
        <x:v>Relationship to Fredric: Maternal great-aunt. | Confidence: A - Confirmed.</x:v>
      </x:c>
      <x:c r="J198" s="97" t="str">
        <x:v>F003</x:v>
      </x:c>
      <x:c r="K198" s="97" t="str">
        <x:v>F097</x:v>
      </x:c>
    </x:row>
    <x:row r="199">
      <x:c r="A199" s="97" t="str">
        <x:v>I203</x:v>
      </x:c>
      <x:c r="B199" s="97" t="str">
        <x:v>Jim Hull</x:v>
      </x:c>
      <x:c r="C199" s="97" t="str">
        <x:v>M</x:v>
      </x:c>
      <x:c r="D199" s="97" t="str"/>
      <x:c r="E199" s="97" t="str"/>
      <x:c r="F199" s="97" t="str"/>
      <x:c r="G199" s="97" t="str"/>
      <x:c r="H199" s="97" t="str"/>
      <x:c r="I199" s="97" t="str">
        <x:v>Relationship to Fredric: Maternal great-uncle by marriage. | Confidence: A - Confirmed.</x:v>
      </x:c>
      <x:c r="J199" s="97" t="str"/>
      <x:c r="K199" s="97" t="str">
        <x:v>F097</x:v>
      </x:c>
    </x:row>
    <x:row r="200">
      <x:c r="A200" s="97" t="str">
        <x:v>I204</x:v>
      </x:c>
      <x:c r="B200" s="97" t="str">
        <x:v>Carey Zaura</x:v>
      </x:c>
      <x:c r="C200" s="97" t="str">
        <x:v>F</x:v>
      </x:c>
      <x:c r="D200" s="97" t="str"/>
      <x:c r="E200" s="97" t="str"/>
      <x:c r="F200" s="97" t="str"/>
      <x:c r="G200" s="97" t="str"/>
      <x:c r="H200" s="97" t="str"/>
      <x:c r="I200" s="97" t="str">
        <x:v>Relationship to Fredric: First cousin once removed. | Confidence: A - Confirmed.</x:v>
      </x:c>
      <x:c r="J200" s="97" t="str">
        <x:v>F097</x:v>
      </x:c>
      <x:c r="K200" s="97" t="str"/>
    </x:row>
    <x:row r="201">
      <x:c r="A201" s="97" t="str">
        <x:v>I205</x:v>
      </x:c>
      <x:c r="B201" s="97" t="str">
        <x:v>Mark Hull</x:v>
      </x:c>
      <x:c r="C201" s="97" t="str">
        <x:v>M</x:v>
      </x:c>
      <x:c r="D201" s="97" t="str"/>
      <x:c r="E201" s="97" t="str"/>
      <x:c r="F201" s="97" t="str"/>
      <x:c r="G201" s="97" t="str"/>
      <x:c r="H201" s="97" t="str"/>
      <x:c r="I201" s="97" t="str">
        <x:v>Relationship to Fredric: First cousin once removed. | Confidence: A - Confirmed.</x:v>
      </x:c>
      <x:c r="J201" s="97" t="str">
        <x:v>F097</x:v>
      </x:c>
      <x:c r="K201" s="97" t="str"/>
    </x:row>
    <x:row r="202">
      <x:c r="A202" s="97" t="str">
        <x:v>I207</x:v>
      </x:c>
      <x:c r="B202" s="97" t="str">
        <x:v>Charles Frederic Vollmer</x:v>
      </x:c>
      <x:c r="C202" s="97" t="str">
        <x:v>M</x:v>
      </x:c>
      <x:c r="D202" s="97" t="str">
        <x:v>6 FEB 1906; Freeport, Nassau, New York</x:v>
      </x:c>
      <x:c r="E202" s="97" t="str">
        <x:v>11 MAR 1972; Seattle, King, Washington</x:v>
      </x:c>
      <x:c r="F202" s="97" t="str">
        <x:v>Salesman (1940; Van Wert, Van Wert, Ohio; private employer) | Salesman (1950; Seattle, King, Washington; wholesale glue company)</x:v>
      </x:c>
      <x:c r="G202" s="97" t="str">
        <x:v>CFV-1906</x:v>
      </x:c>
      <x:c r="H202" s="97" t="str">
        <x:v>S26;S30;S48</x:v>
      </x:c>
      <x:c r="I202" s="97" t="str">
        <x:v>Confidence: high. | Direct ancestor; Metha Peper confirmed by family knowledge and strongly supported by the original 1905 parental marriage certificate | Owner-confirmed spelling: Frederic is Charles's middle name; Frederick is retained only as a record/index variant.</x:v>
      </x:c>
      <x:c r="J202" s="97" t="str">
        <x:v>F106</x:v>
      </x:c>
      <x:c r="K202" s="97" t="str">
        <x:v>F105</x:v>
      </x:c>
    </x:row>
    <x:row r="203">
      <x:c r="A203" s="97" t="str">
        <x:v>I208</x:v>
      </x:c>
      <x:c r="B203" s="97" t="str">
        <x:v>Henry John Joseph Vollmer</x:v>
      </x:c>
      <x:c r="C203" s="97" t="str">
        <x:v>M</x:v>
      </x:c>
      <x:c r="D203" s="97" t="str">
        <x:v>10 MAY 1878; Bremen, Germany</x:v>
      </x:c>
      <x:c r="E203" s="97" t="str">
        <x:v>26 FEB 1934; Hempstead, Nassau, New York</x:v>
      </x:c>
      <x:c r="F203" s="97" t="str">
        <x:v>Mason and plasterer (1910; Hempstead District 5, Nassau, New York; own account) | Mason (1920; Hempstead, Nassau, New York; house industry) | Builder (1930; Freeport, Nassau, New York; contracting)</x:v>
      </x:c>
      <x:c r="G203" s="97" t="str">
        <x:v>HJJ-VOLLMER-1878</x:v>
      </x:c>
      <x:c r="H203" s="97" t="str">
        <x:v>S26;S48</x:v>
      </x:c>
      <x:c r="I203" s="97" t="str">
        <x:v>Confidence: high. | Direct Vollmer ancestor</x:v>
      </x:c>
      <x:c r="J203" s="97" t="str">
        <x:v>F107</x:v>
      </x:c>
      <x:c r="K203" s="97" t="str">
        <x:v>F106</x:v>
      </x:c>
    </x:row>
    <x:row r="204">
      <x:c r="A204" s="97" t="str">
        <x:v>I209</x:v>
      </x:c>
      <x:c r="B204" s="97" t="str">
        <x:v>Frederick Gottlieb Vollmer</x:v>
      </x:c>
      <x:c r="C204" s="97" t="str">
        <x:v>M</x:v>
      </x:c>
      <x:c r="D204" s="97" t="str">
        <x:v>As reported: Germany; date unknown</x:v>
      </x:c>
      <x:c r="E204" s="97" t="str"/>
      <x:c r="F204" s="97" t="str"/>
      <x:c r="G204" s="97" t="str">
        <x:v>FG-VOLLMER</x:v>
      </x:c>
      <x:c r="H204" s="97" t="str">
        <x:v>S26</x:v>
      </x:c>
      <x:c r="I204" s="97" t="str">
        <x:v>Confidence: high for name and relationship; low for dates. | Named on son's original 1905 marriage certificate; a 1917 original death certificate for another son independently gives father Frederick Vollmer</x:v>
      </x:c>
      <x:c r="J204" s="97" t="str"/>
      <x:c r="K204" s="97" t="str">
        <x:v>F107</x:v>
      </x:c>
    </x:row>
    <x:row r="205">
      <x:c r="A205" s="97" t="str">
        <x:v>I210</x:v>
      </x:c>
      <x:c r="B205" s="97" t="str">
        <x:v>Mary Kalwiet</x:v>
      </x:c>
      <x:c r="C205" s="97" t="str">
        <x:v>F</x:v>
      </x:c>
      <x:c r="D205" s="97" t="str">
        <x:v>As reported: Germany; date unknown</x:v>
      </x:c>
      <x:c r="E205" s="97" t="str"/>
      <x:c r="F205" s="97" t="str"/>
      <x:c r="G205" s="97" t="str">
        <x:v>MARY-KALWIET</x:v>
      </x:c>
      <x:c r="H205" s="97" t="str">
        <x:v>S26</x:v>
      </x:c>
      <x:c r="I205" s="97" t="str">
        <x:v>Confidence: high for name and relationship; low for dates. | Named on son's original 1905 marriage certificate; a 1917 original death certificate independently gives the spelling Mary Kalweit; identity in the 1882 passenger list remains probable, not proved</x:v>
      </x:c>
      <x:c r="J205" s="97" t="str"/>
      <x:c r="K205" s="97" t="str">
        <x:v>F107</x:v>
      </x:c>
    </x:row>
    <x:row r="206">
      <x:c r="A206" s="97" t="str">
        <x:v>I211</x:v>
      </x:c>
      <x:c r="B206" s="97" t="str">
        <x:v>Metha Peper Vollmer</x:v>
      </x:c>
      <x:c r="C206" s="97" t="str">
        <x:v>F</x:v>
      </x:c>
      <x:c r="D206" s="97" t="str">
        <x:v>14 MAR 1884; Manhattan, New York (strongly supported identification of an unnamed female birth)</x:v>
      </x:c>
      <x:c r="E206" s="97" t="str"/>
      <x:c r="F206" s="97" t="str"/>
      <x:c r="G206" s="97" t="str">
        <x:v>METHA-PEPER-1884</x:v>
      </x:c>
      <x:c r="H206" s="97" t="str">
        <x:v>S26</x:v>
      </x:c>
      <x:c r="I206" s="97" t="str">
        <x:v>Confidence: high for identity and parentage; moderate-high for exact birth identification. | Direct ancestor; 1905 marriage names her parents; 1884 unnamed female birth matches both parents, place, age, and later census evidence</x:v>
      </x:c>
      <x:c r="J206" s="97" t="str">
        <x:v>F108</x:v>
      </x:c>
      <x:c r="K206" s="97" t="str">
        <x:v>F106</x:v>
      </x:c>
    </x:row>
    <x:row r="207">
      <x:c r="A207" s="97" t="str">
        <x:v>I212</x:v>
      </x:c>
      <x:c r="B207" s="97" t="str">
        <x:v>George Peper</x:v>
      </x:c>
      <x:c r="C207" s="97" t="str">
        <x:v>M</x:v>
      </x:c>
      <x:c r="D207" s="97" t="str">
        <x:v>As reported: about 1860-1861; Harsefeld, Province of Hanover, Germany</x:v>
      </x:c>
      <x:c r="E207" s="97" t="str"/>
      <x:c r="F207" s="97" t="str">
        <x:v>Teamster (14 MAR 1884; 501 West 51st Street, Manhattan, New York)</x:v>
      </x:c>
      <x:c r="G207" s="97" t="str">
        <x:v>GEORGE-PEPER</x:v>
      </x:c>
      <x:c r="H207" s="97" t="str">
        <x:v>S26;S48</x:v>
      </x:c>
      <x:c r="I207" s="97" t="str">
        <x:v>Confidence: high for relationship; moderate for name equivalence and birth details. | Direct ancestor; recorded as George on daughter's records and as Themes on his original 1883 marriage; same 501 West 51st Street address and wife establish that the records concern the same couple</x:v>
      </x:c>
      <x:c r="J207" s="97" t="str">
        <x:v>F109</x:v>
      </x:c>
      <x:c r="K207" s="97" t="str">
        <x:v>F108</x:v>
      </x:c>
    </x:row>
    <x:row r="208">
      <x:c r="A208" s="97" t="str">
        <x:v>I213</x:v>
      </x:c>
      <x:c r="B208" s="97" t="str">
        <x:v>Anna Sophie Stelling Peper</x:v>
      </x:c>
      <x:c r="C208" s="97" t="str">
        <x:v>F</x:v>
      </x:c>
      <x:c r="D208" s="97" t="str">
        <x:v>As reported: about 1862-1863; Lintig, Lehe, Province of Hanover, Germany</x:v>
      </x:c>
      <x:c r="E208" s="97" t="str"/>
      <x:c r="F208" s="97" t="str"/>
      <x:c r="G208" s="97" t="str">
        <x:v>ANNA-STILLING</x:v>
      </x:c>
      <x:c r="H208" s="97" t="str">
        <x:v>S26</x:v>
      </x:c>
      <x:c r="I208" s="97" t="str">
        <x:v>Confidence: high for relationship; moderate-high for birth details. | Direct ancestor; original 1883 marriage return names birthplace and parents</x:v>
      </x:c>
      <x:c r="J208" s="97" t="str">
        <x:v>F110</x:v>
      </x:c>
      <x:c r="K208" s="97" t="str">
        <x:v>F108</x:v>
      </x:c>
    </x:row>
    <x:row r="209">
      <x:c r="A209" s="97" t="str">
        <x:v>I214</x:v>
      </x:c>
      <x:c r="B209" s="97" t="str">
        <x:v>Peter Peper</x:v>
      </x:c>
      <x:c r="C209" s="97" t="str">
        <x:v>M</x:v>
      </x:c>
      <x:c r="D209" s="97" t="str">
        <x:v>As reported: Germany; date unknown</x:v>
      </x:c>
      <x:c r="E209" s="97" t="str"/>
      <x:c r="F209" s="97" t="str"/>
      <x:c r="G209" s="97" t="str">
        <x:v>PETER-PEPER</x:v>
      </x:c>
      <x:c r="H209" s="97" t="str">
        <x:v>S26</x:v>
      </x:c>
      <x:c r="I209" s="97" t="str">
        <x:v>Confidence: high for relationship; low for dates. | Direct ancestor named as George/Themes Peper's father on the original 1883 marriage return</x:v>
      </x:c>
      <x:c r="J209" s="97" t="str"/>
      <x:c r="K209" s="97" t="str">
        <x:v>F109</x:v>
      </x:c>
    </x:row>
    <x:row r="210">
      <x:c r="A210" s="97" t="str">
        <x:v>I215</x:v>
      </x:c>
      <x:c r="B210" s="97" t="str">
        <x:v>Meta Francke</x:v>
      </x:c>
      <x:c r="C210" s="97" t="str">
        <x:v>F</x:v>
      </x:c>
      <x:c r="D210" s="97" t="str">
        <x:v>As reported: Germany; date unknown</x:v>
      </x:c>
      <x:c r="E210" s="97" t="str"/>
      <x:c r="F210" s="97" t="str"/>
      <x:c r="G210" s="97" t="str">
        <x:v>META-FRANCKE</x:v>
      </x:c>
      <x:c r="H210" s="97" t="str">
        <x:v>S26</x:v>
      </x:c>
      <x:c r="I210" s="97" t="str">
        <x:v>Confidence: high for relationship; low for dates. | Direct ancestor named as George/Themes Peper's mother on the original 1883 marriage return</x:v>
      </x:c>
      <x:c r="J210" s="97" t="str"/>
      <x:c r="K210" s="97" t="str">
        <x:v>F109</x:v>
      </x:c>
    </x:row>
    <x:row r="211">
      <x:c r="A211" s="97" t="str">
        <x:v>I216</x:v>
      </x:c>
      <x:c r="B211" s="97" t="str">
        <x:v>Charles Stelling</x:v>
      </x:c>
      <x:c r="C211" s="97" t="str">
        <x:v>M</x:v>
      </x:c>
      <x:c r="D211" s="97" t="str">
        <x:v>As reported: Germany; date unknown</x:v>
      </x:c>
      <x:c r="E211" s="97" t="str"/>
      <x:c r="F211" s="97" t="str"/>
      <x:c r="G211" s="97" t="str">
        <x:v>CHARLES-STELLING</x:v>
      </x:c>
      <x:c r="H211" s="97" t="str">
        <x:v>S26</x:v>
      </x:c>
      <x:c r="I211" s="97" t="str">
        <x:v>Confidence: high for relationship; low for dates. | Direct ancestor named as Anna Sophie Stelling's father on the original 1883 marriage return; handwriting supports Charles, with Carl retained as a German-form variant</x:v>
      </x:c>
      <x:c r="J211" s="97" t="str"/>
      <x:c r="K211" s="97" t="str">
        <x:v>F110</x:v>
      </x:c>
    </x:row>
    <x:row r="212">
      <x:c r="A212" s="97" t="str">
        <x:v>I217</x:v>
      </x:c>
      <x:c r="B212" s="97" t="str">
        <x:v>Catharine Ahrens</x:v>
      </x:c>
      <x:c r="C212" s="97" t="str">
        <x:v>F</x:v>
      </x:c>
      <x:c r="D212" s="97" t="str">
        <x:v>As reported: Germany; date unknown</x:v>
      </x:c>
      <x:c r="E212" s="97" t="str"/>
      <x:c r="F212" s="97" t="str"/>
      <x:c r="G212" s="97" t="str">
        <x:v>CATHARINE-AHRENS</x:v>
      </x:c>
      <x:c r="H212" s="97" t="str">
        <x:v>S26</x:v>
      </x:c>
      <x:c r="I212" s="97" t="str">
        <x:v>Confidence: high for relationship; low for dates. | Direct ancestor named as Anna Sophie Stelling's mother on the original 1883 marriage return</x:v>
      </x:c>
      <x:c r="J212" s="97" t="str"/>
      <x:c r="K212" s="97" t="str">
        <x:v>F110</x:v>
      </x:c>
    </x:row>
    <x:row r="213">
      <x:c r="A213" s="97" t="str">
        <x:v>I218</x:v>
      </x:c>
      <x:c r="B213" s="97" t="str">
        <x:v>Doris Josephine Marsh Vollmer</x:v>
      </x:c>
      <x:c r="C213" s="97" t="str">
        <x:v>F</x:v>
      </x:c>
      <x:c r="D213" s="97" t="str">
        <x:v>5 MAY 1900; New York</x:v>
      </x:c>
      <x:c r="E213" s="97" t="str">
        <x:v>2 JAN 1983; Camas, Clark, Washington</x:v>
      </x:c>
      <x:c r="F213" s="97" t="str">
        <x:v>Keeping house (1950; Seattle, King, Washington)</x:v>
      </x:c>
      <x:c r="G213" s="97" t="str">
        <x:v>DJM-1900</x:v>
      </x:c>
      <x:c r="H213" s="97" t="str">
        <x:v>S26;S48</x:v>
      </x:c>
      <x:c r="I213" s="97" t="str">
        <x:v>Confidence: high. | Direct ancestor</x:v>
      </x:c>
      <x:c r="J213" s="97" t="str">
        <x:v>F111</x:v>
      </x:c>
      <x:c r="K213" s="97" t="str">
        <x:v>F105</x:v>
      </x:c>
    </x:row>
    <x:row r="214">
      <x:c r="A214" s="97" t="str">
        <x:v>I219</x:v>
      </x:c>
      <x:c r="B214" s="97" t="str">
        <x:v>Frederick Heath Marsh</x:v>
      </x:c>
      <x:c r="C214" s="97" t="str">
        <x:v>M</x:v>
      </x:c>
      <x:c r="D214" s="97" t="str">
        <x:v>DEC 1867; New York</x:v>
      </x:c>
      <x:c r="E214" s="97" t="str">
        <x:v>ABT 22 AUG 1949; Rochester, Monroe, New York</x:v>
      </x:c>
      <x:c r="F214" s="97" t="str">
        <x:v>Butcher (1910; Leicester, Livingston, New York; meat market; employer)</x:v>
      </x:c>
      <x:c r="G214" s="97" t="str">
        <x:v>FHM-1867</x:v>
      </x:c>
      <x:c r="H214" s="97" t="str">
        <x:v>S26;S48</x:v>
      </x:c>
      <x:c r="I214" s="97" t="str">
        <x:v>Confidence: high for relationships; moderate for exact birth/death dates. | Direct ancestor</x:v>
      </x:c>
      <x:c r="J214" s="97" t="str">
        <x:v>F112</x:v>
      </x:c>
      <x:c r="K214" s="97" t="str">
        <x:v>F111</x:v>
      </x:c>
    </x:row>
    <x:row r="215">
      <x:c r="A215" s="97" t="str">
        <x:v>I220</x:v>
      </x:c>
      <x:c r="B215" s="97" t="str">
        <x:v>Andrew J Marsh</x:v>
      </x:c>
      <x:c r="C215" s="97" t="str">
        <x:v>M</x:v>
      </x:c>
      <x:c r="D215" s="97" t="str">
        <x:v>ABT 1829; New York</x:v>
      </x:c>
      <x:c r="E215" s="97" t="str">
        <x:v>13 JUN 1917; Perry, Wyoming, New York</x:v>
      </x:c>
      <x:c r="F215" s="97" t="str">
        <x:v>Wagon maker (1870; Pavilion, Genesee, New York) | Sexton (1910; Leicester, Livingston, New York; cemetery)</x:v>
      </x:c>
      <x:c r="G215" s="97" t="str">
        <x:v>AJM-1829</x:v>
      </x:c>
      <x:c r="H215" s="97" t="str">
        <x:v>S26;S48</x:v>
      </x:c>
      <x:c r="I215" s="97" t="str">
        <x:v>Confidence: high for parentage; high for indexed death. | Direct ancestor; official New York death index supplies exact death date/place</x:v>
      </x:c>
      <x:c r="J215" s="97" t="str">
        <x:v>F113</x:v>
      </x:c>
      <x:c r="K215" s="97" t="str">
        <x:v>F112</x:v>
      </x:c>
    </x:row>
    <x:row r="216">
      <x:c r="A216" s="97" t="str">
        <x:v>I221</x:v>
      </x:c>
      <x:c r="B216" s="97" t="str">
        <x:v>Malachi Marsh</x:v>
      </x:c>
      <x:c r="C216" s="97" t="str">
        <x:v>M</x:v>
      </x:c>
      <x:c r="D216" s="97" t="str">
        <x:v>As reported: about 1807-1808; New York</x:v>
      </x:c>
      <x:c r="E216" s="97" t="str"/>
      <x:c r="F216" s="97" t="str">
        <x:v>Farmer (1850; Franklinville, Cattaraugus, New York)</x:v>
      </x:c>
      <x:c r="G216" s="97" t="str">
        <x:v>MM-1808</x:v>
      </x:c>
      <x:c r="H216" s="97" t="str">
        <x:v>S26;S48</x:v>
      </x:c>
      <x:c r="I216" s="97" t="str">
        <x:v>Confidence: high for relationship; moderate for birth year. | Direct ancestor; his parents remain undocumented</x:v>
      </x:c>
      <x:c r="J216" s="97" t="str"/>
      <x:c r="K216" s="97" t="str">
        <x:v>F113</x:v>
      </x:c>
    </x:row>
    <x:row r="217">
      <x:c r="A217" s="97" t="str">
        <x:v>I222</x:v>
      </x:c>
      <x:c r="B217" s="97" t="str">
        <x:v>Mary Lane Marsh</x:v>
      </x:c>
      <x:c r="C217" s="97" t="str">
        <x:v>F</x:v>
      </x:c>
      <x:c r="D217" s="97" t="str">
        <x:v>3 FEB 1807; Stewartstown, Coos, New Hampshire</x:v>
      </x:c>
      <x:c r="E217" s="97" t="str">
        <x:v>AFT 1860; exact death unproved</x:v>
      </x:c>
      <x:c r="F217" s="97" t="str"/>
      <x:c r="G217" s="97" t="str">
        <x:v>MARY-MARSH-1807</x:v>
      </x:c>
      <x:c r="H217" s="97" t="str">
        <x:v>S26</x:v>
      </x:c>
      <x:c r="I217" s="97" t="str">
        <x:v>Confidence: high for maiden identity and exact birth; moderate-high for parents. | Direct ancestor; a near-contemporary county biography identifies Malachi's wife as Mary Lane, and the exact New Hampshire birth plus the Lane genealogy's matching son Andrew support Stephen Lane and Lois Currier as her parents</x:v>
      </x:c>
      <x:c r="J217" s="97" t="str">
        <x:v>F114</x:v>
      </x:c>
      <x:c r="K217" s="97" t="str">
        <x:v>F113</x:v>
      </x:c>
    </x:row>
    <x:row r="218">
      <x:c r="A218" s="97" t="str">
        <x:v>I223</x:v>
      </x:c>
      <x:c r="B218" s="97" t="str">
        <x:v>Stephen Lane</x:v>
      </x:c>
      <x:c r="C218" s="97" t="str">
        <x:v>M</x:v>
      </x:c>
      <x:c r="D218" s="97" t="str">
        <x:v>8 DEC 1771; Stratham, New Hampshire</x:v>
      </x:c>
      <x:c r="E218" s="97" t="str">
        <x:v>6 DEC 1840; Moscow (now Leicester), Livingston, New York (compiled genealogy)</x:v>
      </x:c>
      <x:c r="F218" s="97" t="str"/>
      <x:c r="G218" s="97" t="str">
        <x:v>STEPHEN-LANE-1771</x:v>
      </x:c>
      <x:c r="H218" s="97" t="str">
        <x:v>S26</x:v>
      </x:c>
      <x:c r="I218" s="97" t="str">
        <x:v>Confidence: high for birth and parents; moderate-high for death. | Direct ancestor; original birth names Joshua and Hannah; original probate names wife Lois and son George but does not itself name daughter Mary</x:v>
      </x:c>
      <x:c r="J218" s="97" t="str">
        <x:v>F115</x:v>
      </x:c>
      <x:c r="K218" s="97" t="str">
        <x:v>F114</x:v>
      </x:c>
    </x:row>
    <x:row r="219">
      <x:c r="A219" s="97" t="str">
        <x:v>I224</x:v>
      </x:c>
      <x:c r="B219" s="97" t="str">
        <x:v>Lois Currier Lane</x:v>
      </x:c>
      <x:c r="C219" s="97" t="str">
        <x:v>F</x:v>
      </x:c>
      <x:c r="D219" s="97" t="str">
        <x:v>As reported: date and place unknown</x:v>
      </x:c>
      <x:c r="E219" s="97" t="str">
        <x:v>21 AUG 1859</x:v>
      </x:c>
      <x:c r="F219" s="97" t="str"/>
      <x:c r="G219" s="97" t="str">
        <x:v>LOIS-CURRIER</x:v>
      </x:c>
      <x:c r="H219" s="97" t="str">
        <x:v>S26</x:v>
      </x:c>
      <x:c r="I219" s="97" t="str">
        <x:v>Confidence: high for married identity; moderate-high as Mary's mother; low for vital details. | Direct ancestor; original 1797 marriage and Stephen's probate establish the couple; Mary parentage rests on the exact-match 1891 Lane genealogy</x:v>
      </x:c>
      <x:c r="J219" s="97" t="str"/>
      <x:c r="K219" s="97" t="str">
        <x:v>F114</x:v>
      </x:c>
    </x:row>
    <x:row r="220">
      <x:c r="A220" s="97" t="str">
        <x:v>I225</x:v>
      </x:c>
      <x:c r="B220" s="97" t="str">
        <x:v>Joshua Lane</x:v>
      </x:c>
      <x:c r="C220" s="97" t="str">
        <x:v>M</x:v>
      </x:c>
      <x:c r="D220" s="97" t="str">
        <x:v>9 FEB 1748; Stratham, New Hampshire</x:v>
      </x:c>
      <x:c r="E220" s="97" t="str">
        <x:v>28 OCT 1813; Stratham, New Hampshire (compiled genealogy)</x:v>
      </x:c>
      <x:c r="F220" s="97" t="str"/>
      <x:c r="G220" s="97" t="str">
        <x:v>JOSHUA-LANE-1748</x:v>
      </x:c>
      <x:c r="H220" s="97" t="str">
        <x:v>S26</x:v>
      </x:c>
      <x:c r="I220" s="97" t="str">
        <x:v>Confidence: high for birth and parents; moderate-high for death. | Direct ancestor; original birth names Samuel and Mary, and the parents' original marriage supplies Mary's James surname</x:v>
      </x:c>
      <x:c r="J220" s="97" t="str">
        <x:v>F116</x:v>
      </x:c>
      <x:c r="K220" s="97" t="str">
        <x:v>F115</x:v>
      </x:c>
    </x:row>
    <x:row r="221">
      <x:c r="A221" s="97" t="str">
        <x:v>I226</x:v>
      </x:c>
      <x:c r="B221" s="97" t="str">
        <x:v>Hannah Tilton Lane</x:v>
      </x:c>
      <x:c r="C221" s="97" t="str">
        <x:v>F</x:v>
      </x:c>
      <x:c r="D221" s="97" t="str">
        <x:v>28 JAN 1750; New Hampshire (compiled genealogy)</x:v>
      </x:c>
      <x:c r="E221" s="97" t="str">
        <x:v>31 DEC 1841; New Hampshire (compiled genealogy)</x:v>
      </x:c>
      <x:c r="F221" s="97" t="str"/>
      <x:c r="G221" s="97" t="str">
        <x:v>HANNAH-TILTON</x:v>
      </x:c>
      <x:c r="H221" s="97" t="str">
        <x:v>S26</x:v>
      </x:c>
      <x:c r="I221" s="97" t="str">
        <x:v>Confidence: high for married identity and as Stephen's mother; moderate for vital details. | Direct ancestor; original 1769 marriage to Joshua and Stephen's original birth establish the relationship</x:v>
      </x:c>
      <x:c r="J221" s="97" t="str"/>
      <x:c r="K221" s="97" t="str">
        <x:v>F115</x:v>
      </x:c>
    </x:row>
    <x:row r="222">
      <x:c r="A222" s="97" t="str">
        <x:v>I227</x:v>
      </x:c>
      <x:c r="B222" s="97" t="str">
        <x:v>Samuel Lane</x:v>
      </x:c>
      <x:c r="C222" s="97" t="str">
        <x:v>M</x:v>
      </x:c>
      <x:c r="D222" s="97" t="str">
        <x:v>6 OCT 1718; Hampton, New Hampshire</x:v>
      </x:c>
      <x:c r="E222" s="97" t="str">
        <x:v>29 DEC 1806; Stratham, New Hampshire (compiled genealogy)</x:v>
      </x:c>
      <x:c r="F222" s="97" t="str"/>
      <x:c r="G222" s="97" t="str">
        <x:v>SAMUEL-LANE-1718</x:v>
      </x:c>
      <x:c r="H222" s="97" t="str">
        <x:v>S26</x:v>
      </x:c>
      <x:c r="I222" s="97" t="str">
        <x:v>Confidence: high for birth and parents; moderate-high for death. | Direct ancestor; certified New Hampshire birth transcript names Joshua Lane and Bathsheba; original marriage identifies Bathsheba as Bathshabah Robie</x:v>
      </x:c>
      <x:c r="J222" s="97" t="str">
        <x:v>F117</x:v>
      </x:c>
      <x:c r="K222" s="97" t="str">
        <x:v>F116</x:v>
      </x:c>
    </x:row>
    <x:row r="223">
      <x:c r="A223" s="97" t="str">
        <x:v>I228</x:v>
      </x:c>
      <x:c r="B223" s="97" t="str">
        <x:v>Mary James Lane</x:v>
      </x:c>
      <x:c r="C223" s="97" t="str">
        <x:v>F</x:v>
      </x:c>
      <x:c r="D223" s="97" t="str">
        <x:v>3 MAR 1722; Hampton, New Hampshire</x:v>
      </x:c>
      <x:c r="E223" s="97" t="str">
        <x:v>30 JAN 1769; Stratham, New Hampshire (compiled genealogy)</x:v>
      </x:c>
      <x:c r="F223" s="97" t="str"/>
      <x:c r="G223" s="97" t="str">
        <x:v>MARY-JAMES</x:v>
      </x:c>
      <x:c r="H223" s="97" t="str">
        <x:v>S26</x:v>
      </x:c>
      <x:c r="I223" s="97" t="str">
        <x:v>Confidence: high for birth and parents; moderate-high for death. | Direct ancestor; certified New Hampshire birth transcript names Benjamin James and Susanna; the mother's maiden surname is not supplied</x:v>
      </x:c>
      <x:c r="J223" s="97" t="str">
        <x:v>F118</x:v>
      </x:c>
      <x:c r="K223" s="97" t="str">
        <x:v>F116</x:v>
      </x:c>
    </x:row>
    <x:row r="224">
      <x:c r="A224" s="97" t="str">
        <x:v>I229</x:v>
      </x:c>
      <x:c r="B224" s="97" t="str">
        <x:v>Joshua Lane</x:v>
      </x:c>
      <x:c r="C224" s="97" t="str">
        <x:v>M</x:v>
      </x:c>
      <x:c r="D224" s="97" t="str">
        <x:v>6 JUN 1696; New Hampshire</x:v>
      </x:c>
      <x:c r="E224" s="97" t="str">
        <x:v>1766</x:v>
      </x:c>
      <x:c r="F224" s="97" t="str"/>
      <x:c r="G224" s="97" t="str">
        <x:v>JOSHUA-LANE-1696</x:v>
      </x:c>
      <x:c r="H224" s="97" t="str">
        <x:v>S26</x:v>
      </x:c>
      <x:c r="I224" s="97" t="str">
        <x:v>Confidence: high for birth and parents; moderate for death. | Direct ancestor; certified New Hampshire birth transcript names William Lane and Sarah</x:v>
      </x:c>
      <x:c r="J224" s="97" t="str">
        <x:v>F119</x:v>
      </x:c>
      <x:c r="K224" s="97" t="str">
        <x:v>F117</x:v>
      </x:c>
    </x:row>
    <x:row r="225">
      <x:c r="A225" s="97" t="str">
        <x:v>I230</x:v>
      </x:c>
      <x:c r="B225" s="97" t="str">
        <x:v>Bathsheba Robie Lane</x:v>
      </x:c>
      <x:c r="C225" s="97" t="str">
        <x:v>F</x:v>
      </x:c>
      <x:c r="D225" s="97" t="str">
        <x:v>2 AUG 1696; Hampton, Rockingham, New Hampshire</x:v>
      </x:c>
      <x:c r="E225" s="97" t="str">
        <x:v>13 APR 1765; Hampton, Rockingham, New Hampshire</x:v>
      </x:c>
      <x:c r="F225" s="97" t="str"/>
      <x:c r="G225" s="97" t="str">
        <x:v>BATHSHEBA-ROBIE</x:v>
      </x:c>
      <x:c r="H225" s="97" t="str">
        <x:v>S26;S46</x:v>
      </x:c>
      <x:c r="I225" s="97" t="str">
        <x:v>Confidence: high for maiden identity and relationship; low for vital details. | Direct ancestor; Samuel Lane's birth names mother Bathsheba and the original 1717 marriage record identifies Joshua Lane's bride as Bathshabah Robie | Vital-date research VD-004 (moderate-high confidence): The birth is transcribed from Hampton vital records; the death is repeated in the Hampton town history and on a later family monument. | Vital-date conflict: An Ancestry member-tree compilation reports 1785; that date is rejected because the cited town history and monument agree on 1765.</x:v>
      </x:c>
      <x:c r="J225" s="97" t="str"/>
      <x:c r="K225" s="97" t="str">
        <x:v>F117</x:v>
      </x:c>
    </x:row>
    <x:row r="226">
      <x:c r="A226" s="97" t="str">
        <x:v>I231</x:v>
      </x:c>
      <x:c r="B226" s="97" t="str">
        <x:v>Benjamin James</x:v>
      </x:c>
      <x:c r="C226" s="97" t="str">
        <x:v>M</x:v>
      </x:c>
      <x:c r="D226" s="97" t="str">
        <x:v>As reported: date and place unknown</x:v>
      </x:c>
      <x:c r="E226" s="97" t="str"/>
      <x:c r="F226" s="97" t="str"/>
      <x:c r="G226" s="97" t="str">
        <x:v>BENJAMIN-JAMES</x:v>
      </x:c>
      <x:c r="H226" s="97" t="str">
        <x:v>S26</x:v>
      </x:c>
      <x:c r="I226" s="97" t="str">
        <x:v>Confidence: high for relationship; low for vital details. | Direct ancestor named as Mary James's father in her certified New Hampshire birth transcript</x:v>
      </x:c>
      <x:c r="J226" s="97" t="str"/>
      <x:c r="K226" s="97" t="str">
        <x:v>F118</x:v>
      </x:c>
    </x:row>
    <x:row r="227">
      <x:c r="A227" s="97" t="str">
        <x:v>I232</x:v>
      </x:c>
      <x:c r="B227" s="97" t="str">
        <x:v>Susanna James</x:v>
      </x:c>
      <x:c r="C227" s="97" t="str">
        <x:v>F</x:v>
      </x:c>
      <x:c r="D227" s="97" t="str">
        <x:v>As reported: date and place unknown</x:v>
      </x:c>
      <x:c r="E227" s="97" t="str"/>
      <x:c r="F227" s="97" t="str"/>
      <x:c r="G227" s="97" t="str">
        <x:v>SUSANNA-JAMES</x:v>
      </x:c>
      <x:c r="H227" s="97" t="str">
        <x:v>S26</x:v>
      </x:c>
      <x:c r="I227" s="97" t="str">
        <x:v>Confidence: high for relationship; low for identity details. | Direct ancestor named only as Susanna in Mary James's certified New Hampshire birth transcript; maiden surname remains unknown</x:v>
      </x:c>
      <x:c r="J227" s="97" t="str"/>
      <x:c r="K227" s="97" t="str">
        <x:v>F118</x:v>
      </x:c>
    </x:row>
    <x:row r="228">
      <x:c r="A228" s="97" t="str">
        <x:v>I233</x:v>
      </x:c>
      <x:c r="B228" s="97" t="str">
        <x:v>William Lane</x:v>
      </x:c>
      <x:c r="C228" s="97" t="str">
        <x:v>M</x:v>
      </x:c>
      <x:c r="D228" s="97" t="str">
        <x:v>As reported: date and place unknown</x:v>
      </x:c>
      <x:c r="E228" s="97" t="str"/>
      <x:c r="F228" s="97" t="str"/>
      <x:c r="G228" s="97" t="str">
        <x:v>WILLIAM-LANE</x:v>
      </x:c>
      <x:c r="H228" s="97" t="str">
        <x:v>S26</x:v>
      </x:c>
      <x:c r="I228" s="97" t="str">
        <x:v>Confidence: high for relationship; low for identity details. | Direct ancestor named as Joshua Lane's father in Joshua's certified New Hampshire birth transcript; the uncorroborated 1659 candidate was not adopted</x:v>
      </x:c>
      <x:c r="J228" s="97" t="str"/>
      <x:c r="K228" s="97" t="str">
        <x:v>F119</x:v>
      </x:c>
    </x:row>
    <x:row r="229">
      <x:c r="A229" s="97" t="str">
        <x:v>I234</x:v>
      </x:c>
      <x:c r="B229" s="97" t="str">
        <x:v>Sarah Lane</x:v>
      </x:c>
      <x:c r="C229" s="97" t="str">
        <x:v>F</x:v>
      </x:c>
      <x:c r="D229" s="97" t="str">
        <x:v>As reported: date and place unknown</x:v>
      </x:c>
      <x:c r="E229" s="97" t="str"/>
      <x:c r="F229" s="97" t="str"/>
      <x:c r="G229" s="97" t="str">
        <x:v>SARAH-LANE</x:v>
      </x:c>
      <x:c r="H229" s="97" t="str">
        <x:v>S26</x:v>
      </x:c>
      <x:c r="I229" s="97" t="str">
        <x:v>Confidence: high for relationship; low for identity details. | Direct ancestor named only as Sarah in Joshua Lane's certified New Hampshire birth transcript; maiden surname and parents remain unknown</x:v>
      </x:c>
      <x:c r="J229" s="97" t="str"/>
      <x:c r="K229" s="97" t="str">
        <x:v>F119</x:v>
      </x:c>
    </x:row>
    <x:row r="230">
      <x:c r="A230" s="97" t="str">
        <x:v>I235</x:v>
      </x:c>
      <x:c r="B230" s="97" t="str">
        <x:v>Amelia Whitney Marsh</x:v>
      </x:c>
      <x:c r="C230" s="97" t="str">
        <x:v>F</x:v>
      </x:c>
      <x:c r="D230" s="97" t="str">
        <x:v>ABT 1845; New York</x:v>
      </x:c>
      <x:c r="E230" s="97" t="str">
        <x:v>1894</x:v>
      </x:c>
      <x:c r="F230" s="97" t="str"/>
      <x:c r="G230" s="97" t="str">
        <x:v>AW-1845</x:v>
      </x:c>
      <x:c r="H230" s="97" t="str">
        <x:v>S26</x:v>
      </x:c>
      <x:c r="I230" s="97" t="str">
        <x:v>Confidence: high for parentage and married identity; moderate for death. | Direct ancestor</x:v>
      </x:c>
      <x:c r="J230" s="97" t="str">
        <x:v>F120</x:v>
      </x:c>
      <x:c r="K230" s="97" t="str">
        <x:v>F112</x:v>
      </x:c>
    </x:row>
    <x:row r="231">
      <x:c r="A231" s="97" t="str">
        <x:v>I236</x:v>
      </x:c>
      <x:c r="B231" s="97" t="str">
        <x:v>Alvin L Whitney</x:v>
      </x:c>
      <x:c r="C231" s="97" t="str">
        <x:v>M</x:v>
      </x:c>
      <x:c r="D231" s="97" t="str">
        <x:v>14 SEP 1803; Granville, Washington, New York (compiled genealogy)</x:v>
      </x:c>
      <x:c r="E231" s="97" t="str">
        <x:v>5 FEB 1883; Pavilion, Genesee, New York</x:v>
      </x:c>
      <x:c r="F231" s="97" t="str">
        <x:v>Carpenter and joiner (1850; Pavilion, Genesee, New York; construction)</x:v>
      </x:c>
      <x:c r="G231" s="97" t="str">
        <x:v>ALW-1804</x:v>
      </x:c>
      <x:c r="H231" s="97" t="str">
        <x:v>S26;S48</x:v>
      </x:c>
      <x:c r="I231" s="97" t="str">
        <x:v>Confidence: high for relationship to Amelia; moderate for exact dates and father. | Direct ancestor; 1880 census says both parents born Connecticut; published Whitney genealogy identifies father James, but no original parent-link record was found</x:v>
      </x:c>
      <x:c r="J231" s="97" t="str">
        <x:v>F121</x:v>
      </x:c>
      <x:c r="K231" s="97" t="str">
        <x:v>F120</x:v>
      </x:c>
    </x:row>
    <x:row r="232">
      <x:c r="A232" s="97" t="str">
        <x:v>I237</x:v>
      </x:c>
      <x:c r="B232" s="97" t="str">
        <x:v>James Whitney</x:v>
      </x:c>
      <x:c r="C232" s="97" t="str">
        <x:v>M</x:v>
      </x:c>
      <x:c r="D232" s="97" t="str">
        <x:v>27 AUG 1779; Killingly, Windham, Connecticut (compiled genealogy)</x:v>
      </x:c>
      <x:c r="E232" s="97" t="str">
        <x:v>MAR 1817</x:v>
      </x:c>
      <x:c r="F232" s="97" t="str"/>
      <x:c r="G232" s="97" t="str">
        <x:v>JAMES-WHITNEY-1779</x:v>
      </x:c>
      <x:c r="H232" s="97" t="str">
        <x:v>S26</x:v>
      </x:c>
      <x:c r="I232" s="97" t="str">
        <x:v>Confidence: moderate/provisional. | Direct ancestor candidate adopted only as Alvin's moderate-certainty father; wife is Betsey Law in the Whitney genealogy but Betsey Evarts on a cemetery memorial, so Alvin's mother and James's parents remain unassigned</x:v>
      </x:c>
      <x:c r="J232" s="97" t="str"/>
      <x:c r="K232" s="97" t="str">
        <x:v>F121</x:v>
      </x:c>
    </x:row>
    <x:row r="233">
      <x:c r="A233" s="97" t="str">
        <x:v>I238</x:v>
      </x:c>
      <x:c r="B233" s="97" t="str">
        <x:v>Betsey Cook Whitney</x:v>
      </x:c>
      <x:c r="C233" s="97" t="str">
        <x:v>F</x:v>
      </x:c>
      <x:c r="D233" s="97" t="str">
        <x:v>29 JUN 1809; New York</x:v>
      </x:c>
      <x:c r="E233" s="97" t="str">
        <x:v>4 SEP 1889</x:v>
      </x:c>
      <x:c r="F233" s="97" t="str"/>
      <x:c r="G233" s="97" t="str">
        <x:v>BC-1809</x:v>
      </x:c>
      <x:c r="H233" s="97" t="str">
        <x:v>S26</x:v>
      </x:c>
      <x:c r="I233" s="97" t="str">
        <x:v>Confidence: high for identity and father; moderate-high for mother; moderate for dates. | Levi Cook's original will names daughter Betsey Whitney; Levi's 1794 marriage to Betsey Brown and later lineage evidence support the mother link</x:v>
      </x:c>
      <x:c r="J233" s="97" t="str">
        <x:v>F122</x:v>
      </x:c>
      <x:c r="K233" s="97" t="str">
        <x:v>F120</x:v>
      </x:c>
    </x:row>
    <x:row r="234">
      <x:c r="A234" s="97" t="str">
        <x:v>I239</x:v>
      </x:c>
      <x:c r="B234" s="97" t="str">
        <x:v>Levi Cook</x:v>
      </x:c>
      <x:c r="C234" s="97" t="str">
        <x:v>M</x:v>
      </x:c>
      <x:c r="D234" s="97" t="str">
        <x:v>26 FEB 1774; New Marlborough, Berkshire, Massachusetts</x:v>
      </x:c>
      <x:c r="E234" s="97" t="str">
        <x:v>1 FEB 1848; Pavilion, Genesee, New York (derivative lineage record)</x:v>
      </x:c>
      <x:c r="F234" s="97" t="str"/>
      <x:c r="G234" s="97" t="str">
        <x:v>LEVI-COOK-1774</x:v>
      </x:c>
      <x:c r="H234" s="97" t="str">
        <x:v>S26</x:v>
      </x:c>
      <x:c r="I234" s="97" t="str">
        <x:v>Confidence: high for birth and parents; moderate-high for death. | Direct ancestor; original birth register names Hezekiah and Lydia; original will names daughter Betsey Whitney</x:v>
      </x:c>
      <x:c r="J234" s="97" t="str">
        <x:v>F123</x:v>
      </x:c>
      <x:c r="K234" s="97" t="str">
        <x:v>F122</x:v>
      </x:c>
    </x:row>
    <x:row r="235">
      <x:c r="A235" s="97" t="str">
        <x:v>I240</x:v>
      </x:c>
      <x:c r="B235" s="97" t="str">
        <x:v>Betsey Brown Cook</x:v>
      </x:c>
      <x:c r="C235" s="97" t="str">
        <x:v>F</x:v>
      </x:c>
      <x:c r="D235" s="97" t="str">
        <x:v>7 JAN 1779; New Marlborough, Berkshire, Massachusetts</x:v>
      </x:c>
      <x:c r="E235" s="97" t="str">
        <x:v>25 MAR 1843; Pavilion, Genesee, New York (derivative lineage record)</x:v>
      </x:c>
      <x:c r="F235" s="97" t="str"/>
      <x:c r="G235" s="97" t="str">
        <x:v>BETSEY-BROWN-1779</x:v>
      </x:c>
      <x:c r="H235" s="97" t="str">
        <x:v>S26</x:v>
      </x:c>
      <x:c r="I235" s="97" t="str">
        <x:v>Confidence: high for birth and parents; moderate-high for married identity; moderate for death. | Direct ancestor; original birth names Perez/Peres and Betty; original marriage to Levi Cook</x:v>
      </x:c>
      <x:c r="J235" s="97" t="str">
        <x:v>F124</x:v>
      </x:c>
      <x:c r="K235" s="97" t="str">
        <x:v>F122</x:v>
      </x:c>
    </x:row>
    <x:row r="236">
      <x:c r="A236" s="97" t="str">
        <x:v>I241</x:v>
      </x:c>
      <x:c r="B236" s="97" t="str">
        <x:v>Hezekiah Cook</x:v>
      </x:c>
      <x:c r="C236" s="97" t="str">
        <x:v>M</x:v>
      </x:c>
      <x:c r="D236" s="97" t="str">
        <x:v>ABT 1728</x:v>
      </x:c>
      <x:c r="E236" s="97" t="str">
        <x:v>APR 1793; New Marlborough, Berkshire, Massachusetts</x:v>
      </x:c>
      <x:c r="F236" s="97" t="str"/>
      <x:c r="G236" s="97" t="str">
        <x:v>HEZEKIAH-COOK</x:v>
      </x:c>
      <x:c r="H236" s="97" t="str">
        <x:v>S26</x:v>
      </x:c>
      <x:c r="I236" s="97" t="str">
        <x:v>Confidence: moderate-high for parentage; high for son Levi. | Direct ancestor; Joshua/Patience parentage rests on a scholarly NEHGR reconstruction; original register proves son Levi</x:v>
      </x:c>
      <x:c r="J236" s="97" t="str">
        <x:v>F125</x:v>
      </x:c>
      <x:c r="K236" s="97" t="str">
        <x:v>F123</x:v>
      </x:c>
    </x:row>
    <x:row r="237">
      <x:c r="A237" s="97" t="str">
        <x:v>I242</x:v>
      </x:c>
      <x:c r="B237" s="97" t="str">
        <x:v>Lydia Cook</x:v>
      </x:c>
      <x:c r="C237" s="97" t="str">
        <x:v>F</x:v>
      </x:c>
      <x:c r="D237" s="97" t="str">
        <x:v>As reported: date and place unknown</x:v>
      </x:c>
      <x:c r="E237" s="97" t="str"/>
      <x:c r="F237" s="97" t="str"/>
      <x:c r="G237" s="97" t="str">
        <x:v>LYDIA-COOK</x:v>
      </x:c>
      <x:c r="H237" s="97" t="str">
        <x:v>S26</x:v>
      </x:c>
      <x:c r="I237" s="97" t="str">
        <x:v>Confidence: high for relationship; low for identity details. | Direct ancestor named as Levi Cook's mother in his original birth register; maiden name and parents unknown</x:v>
      </x:c>
      <x:c r="J237" s="97" t="str"/>
      <x:c r="K237" s="97" t="str">
        <x:v>F123</x:v>
      </x:c>
    </x:row>
    <x:row r="238">
      <x:c r="A238" s="97" t="str">
        <x:v>I243</x:v>
      </x:c>
      <x:c r="B238" s="97" t="str">
        <x:v>Perez Brown</x:v>
      </x:c>
      <x:c r="C238" s="97" t="str">
        <x:v>M</x:v>
      </x:c>
      <x:c r="D238" s="97" t="str">
        <x:v>As reported: date and place unknown</x:v>
      </x:c>
      <x:c r="E238" s="97" t="str"/>
      <x:c r="F238" s="97" t="str"/>
      <x:c r="G238" s="97" t="str">
        <x:v>PEREZ-BROWN</x:v>
      </x:c>
      <x:c r="H238" s="97" t="str">
        <x:v>S26</x:v>
      </x:c>
      <x:c r="I238" s="97" t="str">
        <x:v>Confidence: high for relationship; low for dates. | Direct ancestor named as Betsey Brown's father in her original birth register; member-tree dates were not adopted</x:v>
      </x:c>
      <x:c r="J238" s="97" t="str"/>
      <x:c r="K238" s="97" t="str">
        <x:v>F124</x:v>
      </x:c>
    </x:row>
    <x:row r="239">
      <x:c r="A239" s="97" t="str">
        <x:v>I244</x:v>
      </x:c>
      <x:c r="B239" s="97" t="str">
        <x:v>Betty Brown</x:v>
      </x:c>
      <x:c r="C239" s="97" t="str">
        <x:v>F</x:v>
      </x:c>
      <x:c r="D239" s="97" t="str">
        <x:v>As reported: date and place unknown</x:v>
      </x:c>
      <x:c r="E239" s="97" t="str"/>
      <x:c r="F239" s="97" t="str"/>
      <x:c r="G239" s="97" t="str">
        <x:v>BETTY-BROWN</x:v>
      </x:c>
      <x:c r="H239" s="97" t="str">
        <x:v>S26</x:v>
      </x:c>
      <x:c r="I239" s="97" t="str">
        <x:v>Confidence: high for relationship; low for identity details. | Direct ancestor named as Betsey Brown's mother in her original birth register; Church maiden-name claim remains unproved</x:v>
      </x:c>
      <x:c r="J239" s="97" t="str"/>
      <x:c r="K239" s="97" t="str">
        <x:v>F124</x:v>
      </x:c>
    </x:row>
    <x:row r="240">
      <x:c r="A240" s="97" t="str">
        <x:v>I245</x:v>
      </x:c>
      <x:c r="B240" s="97" t="str">
        <x:v>Joshua Cooke</x:v>
      </x:c>
      <x:c r="C240" s="97" t="str">
        <x:v>M</x:v>
      </x:c>
      <x:c r="D240" s="97" t="str">
        <x:v>4 FEB 1682/83; Eastham, Barnstable, Massachusetts</x:v>
      </x:c>
      <x:c r="E240" s="97" t="str">
        <x:v>BET 31 JUL 1737 AND 28 SEP 1746; probably Eastham, Barnstable, Massachusetts</x:v>
      </x:c>
      <x:c r="F240" s="97" t="str"/>
      <x:c r="G240" s="97" t="str">
        <x:v>JOSHUA-COOKE-1682</x:v>
      </x:c>
      <x:c r="H240" s="97" t="str">
        <x:v>S26;S46</x:v>
      </x:c>
      <x:c r="I240" s="97" t="str">
        <x:v>Confidence: high for birth and parents. | Direct ancestor; original town birth names Josiah and Deborah; original marriage names Patience Doane | Vital-date research VD-005 (moderate-high confidence): He was still living when his son was called Joshua Jr. on 31 July 1737 and was deceased when Patience was called a widow on 28 September 1746.</x:v>
      </x:c>
      <x:c r="J240" s="97" t="str">
        <x:v>F126</x:v>
      </x:c>
      <x:c r="K240" s="97" t="str">
        <x:v>F125</x:v>
      </x:c>
    </x:row>
    <x:row r="241">
      <x:c r="A241" s="97" t="str">
        <x:v>I246</x:v>
      </x:c>
      <x:c r="B241" s="97" t="str">
        <x:v>Patience Doane</x:v>
      </x:c>
      <x:c r="C241" s="97" t="str">
        <x:v>F</x:v>
      </x:c>
      <x:c r="D241" s="97" t="str">
        <x:v>APR 1682; Eastham, Barnstable, Massachusetts</x:v>
      </x:c>
      <x:c r="E241" s="97" t="str">
        <x:v>AFT 28 SEP 1746; probably Middlesex County, Connecticut</x:v>
      </x:c>
      <x:c r="F241" s="97" t="str"/>
      <x:c r="G241" s="97" t="str">
        <x:v>PATIENCE-DOANE-1682</x:v>
      </x:c>
      <x:c r="H241" s="97" t="str">
        <x:v>S26;S46</x:v>
      </x:c>
      <x:c r="I241" s="97" t="str">
        <x:v>Confidence: high for birth and parents. | Direct ancestor; original town birth names Ephraim and Mary | Vital-date research VD-006 (moderate-high confidence): Patience was admitted to the Haddam Neck congregation as a widow on 28 September 1746 and therefore died after that date.</x:v>
      </x:c>
      <x:c r="J241" s="97" t="str">
        <x:v>F127</x:v>
      </x:c>
      <x:c r="K241" s="97" t="str">
        <x:v>F125</x:v>
      </x:c>
    </x:row>
    <x:row r="242">
      <x:c r="A242" s="97" t="str">
        <x:v>I247</x:v>
      </x:c>
      <x:c r="B242" s="97" t="str">
        <x:v>Josiah Cooke</x:v>
      </x:c>
      <x:c r="C242" s="97" t="str">
        <x:v>M</x:v>
      </x:c>
      <x:c r="D242" s="97" t="str">
        <x:v>ABT 1645; Plymouth or Eastham, Massachusetts (scholarly reconstruction)</x:v>
      </x:c>
      <x:c r="E242" s="97" t="str">
        <x:v>31 JAN 1731/32; Eastham, Barnstable, Massachusetts</x:v>
      </x:c>
      <x:c r="F242" s="97" t="str"/>
      <x:c r="G242" s="97" t="str">
        <x:v>JOSIAH-COOKE</x:v>
      </x:c>
      <x:c r="H242" s="97" t="str">
        <x:v>S26</x:v>
      </x:c>
      <x:c r="I242" s="97" t="str">
        <x:v>Confidence: high for father and married identity; moderate-high for mother; moderate for birth. | Direct ancestor; original marriage and son Joshua's birth establish his family; elder Josiah's probate and scholarly reconstruction establish the parents</x:v>
      </x:c>
      <x:c r="J242" s="97" t="str">
        <x:v>F128</x:v>
      </x:c>
      <x:c r="K242" s="97" t="str">
        <x:v>F126</x:v>
      </x:c>
    </x:row>
    <x:row r="243">
      <x:c r="A243" s="97" t="str">
        <x:v>I248</x:v>
      </x:c>
      <x:c r="B243" s="97" t="str">
        <x:v>Deborah Hopkins Cooke</x:v>
      </x:c>
      <x:c r="C243" s="97" t="str">
        <x:v>F</x:v>
      </x:c>
      <x:c r="D243" s="97" t="str">
        <x:v>15 JUN 1648; Eastham, Barnstable, Massachusetts</x:v>
      </x:c>
      <x:c r="E243" s="97" t="str">
        <x:v>BEF 7 DEC 1727; probably Eastham, Barnstable, Massachusetts</x:v>
      </x:c>
      <x:c r="F243" s="97" t="str"/>
      <x:c r="G243" s="97" t="str">
        <x:v>DEBORAH-HOPKINS-1648</x:v>
      </x:c>
      <x:c r="H243" s="97" t="str">
        <x:v>S26;S46</x:v>
      </x:c>
      <x:c r="I243" s="97" t="str">
        <x:v>Confidence: high. | Direct ancestor; original birth names Giles; GSMD/Pilgrim Hall evidence establishes Catherine Whelden as mother | Vital-date research VD-007 (moderate-high confidence): The lineage summary reports 7 December 1727; the conservative event is recorded as before that date because other Mayflower-derived compilations describe it as a limiting date rather than a proved death day. | Vital-date conflict: Some derivative sites state exactly 7 December 1727; the canonical tree uses the more conservative before-date.</x:v>
      </x:c>
      <x:c r="J243" s="97" t="str">
        <x:v>F129</x:v>
      </x:c>
      <x:c r="K243" s="97" t="str">
        <x:v>F126</x:v>
      </x:c>
    </x:row>
    <x:row r="244">
      <x:c r="A244" s="97" t="str">
        <x:v>I249</x:v>
      </x:c>
      <x:c r="B244" s="97" t="str">
        <x:v>Ephraim Doane</x:v>
      </x:c>
      <x:c r="C244" s="97" t="str">
        <x:v>M</x:v>
      </x:c>
      <x:c r="D244" s="97" t="str">
        <x:v>As reported: about 1642-1645; Plymouth Colony</x:v>
      </x:c>
      <x:c r="E244" s="97" t="str">
        <x:v>BEF 19 APR 1700; Eastham, Barnstable, Massachusetts</x:v>
      </x:c>
      <x:c r="F244" s="97" t="str"/>
      <x:c r="G244" s="97" t="str">
        <x:v>EPHRAIM-DOANE</x:v>
      </x:c>
      <x:c r="H244" s="97" t="str">
        <x:v>S26</x:v>
      </x:c>
      <x:c r="I244" s="97" t="str">
        <x:v>Confidence: high for father; moderate-high for mother and dates. | Direct ancestor; John Doane's will explicitly names son Ephraim; Great Migration reconstruction identifies mother Ann</x:v>
      </x:c>
      <x:c r="J244" s="97" t="str">
        <x:v>F130</x:v>
      </x:c>
      <x:c r="K244" s="97" t="str">
        <x:v>F127</x:v>
      </x:c>
    </x:row>
    <x:row r="245">
      <x:c r="A245" s="97" t="str">
        <x:v>I250</x:v>
      </x:c>
      <x:c r="B245" s="97" t="str">
        <x:v>Mary Knowles Doane</x:v>
      </x:c>
      <x:c r="C245" s="97" t="str">
        <x:v>F</x:v>
      </x:c>
      <x:c r="D245" s="97" t="str">
        <x:v>ABT 1644; Plymouth Colony</x:v>
      </x:c>
      <x:c r="E245" s="97" t="str"/>
      <x:c r="F245" s="97" t="str"/>
      <x:c r="G245" s="97" t="str">
        <x:v>MARY-DOANE</x:v>
      </x:c>
      <x:c r="H245" s="97" t="str">
        <x:v>S26</x:v>
      </x:c>
      <x:c r="I245" s="97" t="str">
        <x:v>Confidence: high for maiden and married identity; moderate-high for parents. | Direct ancestor; original marriage transcription gives Mary Knowles and an Eastham record equates Mary Knowles with Ephraim Doane's wife</x:v>
      </x:c>
      <x:c r="J245" s="97" t="str">
        <x:v>F131</x:v>
      </x:c>
      <x:c r="K245" s="97" t="str">
        <x:v>F127</x:v>
      </x:c>
    </x:row>
    <x:row r="246">
      <x:c r="A246" s="97" t="str">
        <x:v>I251</x:v>
      </x:c>
      <x:c r="B246" s="97" t="str">
        <x:v>Giles Hopkins</x:v>
      </x:c>
      <x:c r="C246" s="97" t="str">
        <x:v>M</x:v>
      </x:c>
      <x:c r="D246" s="97" t="str">
        <x:v>baptized 30 JAN 1607/08; Hursley, Hampshire, England</x:v>
      </x:c>
      <x:c r="E246" s="97" t="str">
        <x:v>BET 5 MAR 1688/89 and 16 APR 1690; Eastham, Massachusetts</x:v>
      </x:c>
      <x:c r="F246" s="97" t="str"/>
      <x:c r="G246" s="97" t="str">
        <x:v>GILES-HOPKINS</x:v>
      </x:c>
      <x:c r="H246" s="97" t="str">
        <x:v>S26</x:v>
      </x:c>
      <x:c r="I246" s="97" t="str">
        <x:v>Confidence: high for father; moderate-high for mother and baptism details. | Direct ancestor and Mayflower passenger; Stephen's original will names son Giles; specialist synthesis gives baptism to Stephen and Mary</x:v>
      </x:c>
      <x:c r="J246" s="97" t="str">
        <x:v>F132</x:v>
      </x:c>
      <x:c r="K246" s="97" t="str">
        <x:v>F129</x:v>
      </x:c>
    </x:row>
    <x:row r="247">
      <x:c r="A247" s="97" t="str">
        <x:v>I252</x:v>
      </x:c>
      <x:c r="B247" s="97" t="str">
        <x:v>Josiah Cooke Sr.</x:v>
      </x:c>
      <x:c r="C247" s="97" t="str">
        <x:v>M</x:v>
      </x:c>
      <x:c r="D247" s="97" t="str">
        <x:v>ABT 1610; England</x:v>
      </x:c>
      <x:c r="E247" s="97" t="str">
        <x:v>17 OCT 1673; Eastham, Barnstable, Massachusetts</x:v>
      </x:c>
      <x:c r="F247" s="97" t="str"/>
      <x:c r="G247" s="97" t="str">
        <x:v>JOSIAH-COOKE-SR</x:v>
      </x:c>
      <x:c r="H247" s="97" t="str">
        <x:v>S26</x:v>
      </x:c>
      <x:c r="I247" s="97" t="str">
        <x:v>Confidence: high for relationship to son; moderate for dates. | Direct ancestor; 1673 will names wife Elizabeth and son Josias; no proved relationship to Mayflower passenger Francis Cooke</x:v>
      </x:c>
      <x:c r="J247" s="97" t="str"/>
      <x:c r="K247" s="97" t="str">
        <x:v>F128</x:v>
      </x:c>
    </x:row>
    <x:row r="248">
      <x:c r="A248" s="97" t="str">
        <x:v>I253</x:v>
      </x:c>
      <x:c r="B248" s="97" t="str">
        <x:v>Elizabeth Ring Cooke</x:v>
      </x:c>
      <x:c r="C248" s="97" t="str">
        <x:v>F</x:v>
      </x:c>
      <x:c r="D248" s="97" t="str">
        <x:v>As reported: about 1602-1603; England</x:v>
      </x:c>
      <x:c r="E248" s="97" t="str">
        <x:v>BEF 3 MAY 1687; Eastham, Barnstable, Massachusetts</x:v>
      </x:c>
      <x:c r="F248" s="97" t="str"/>
      <x:c r="G248" s="97" t="str">
        <x:v>ELIZABETH-RING</x:v>
      </x:c>
      <x:c r="H248" s="97" t="str">
        <x:v>S26</x:v>
      </x:c>
      <x:c r="I248" s="97" t="str">
        <x:v>Confidence: moderate-high. | Direct ancestor; widow of Stephen Deane before marriage to Josiah Cooke Sr.; English parentage not extended here</x:v>
      </x:c>
      <x:c r="J248" s="97" t="str"/>
      <x:c r="K248" s="97" t="str">
        <x:v>F128</x:v>
      </x:c>
    </x:row>
    <x:row r="249">
      <x:c r="A249" s="97" t="str">
        <x:v>I254</x:v>
      </x:c>
      <x:c r="B249" s="97" t="str">
        <x:v>Catherine Whelden Hopkins</x:v>
      </x:c>
      <x:c r="C249" s="97" t="str">
        <x:v>F</x:v>
      </x:c>
      <x:c r="D249" s="97" t="str">
        <x:v>baptized 6 MAR 1616/17; Basford, Nottinghamshire, England</x:v>
      </x:c>
      <x:c r="E249" s="97" t="str">
        <x:v>AFT 5 MAR 1688/89</x:v>
      </x:c>
      <x:c r="F249" s="97" t="str"/>
      <x:c r="G249" s="97" t="str">
        <x:v>CATHERINE-WHELDEN</x:v>
      </x:c>
      <x:c r="H249" s="97" t="str">
        <x:v>S26</x:v>
      </x:c>
      <x:c r="I249" s="97" t="str">
        <x:v>Confidence: high for wife/mother; moderate-high for father and baptism. | Direct ancestor; original Plymouth Colony marriage to Giles; GSMD family treatment identifies her as Deborah's mother</x:v>
      </x:c>
      <x:c r="J249" s="97" t="str">
        <x:v>F133</x:v>
      </x:c>
      <x:c r="K249" s="97" t="str">
        <x:v>F129</x:v>
      </x:c>
    </x:row>
    <x:row r="250">
      <x:c r="A250" s="97" t="str">
        <x:v>I255</x:v>
      </x:c>
      <x:c r="B250" s="97" t="str">
        <x:v>Stephen Hopkins</x:v>
      </x:c>
      <x:c r="C250" s="97" t="str">
        <x:v>M</x:v>
      </x:c>
      <x:c r="D250" s="97" t="str">
        <x:v>ABT 1581; Hampshire, England</x:v>
      </x:c>
      <x:c r="E250" s="97" t="str">
        <x:v>1644; Plymouth Colony</x:v>
      </x:c>
      <x:c r="F250" s="97" t="str"/>
      <x:c r="G250" s="97" t="str">
        <x:v>STEPHEN-HOPKINS</x:v>
      </x:c>
      <x:c r="H250" s="97" t="str">
        <x:v>S26</x:v>
      </x:c>
      <x:c r="I250" s="97" t="str">
        <x:v>Confidence: high for relationship; moderate for dates. | Direct ancestor and Mayflower passenger; original will explicitly names son Giles</x:v>
      </x:c>
      <x:c r="J250" s="97" t="str"/>
      <x:c r="K250" s="97" t="str">
        <x:v>F132</x:v>
      </x:c>
    </x:row>
    <x:row r="251">
      <x:c r="A251" s="97" t="str">
        <x:v>I256</x:v>
      </x:c>
      <x:c r="B251" s="97" t="str">
        <x:v>Mary Hopkins</x:v>
      </x:c>
      <x:c r="C251" s="97" t="str">
        <x:v>F</x:v>
      </x:c>
      <x:c r="D251" s="97" t="str">
        <x:v>As reported: date and place unknown</x:v>
      </x:c>
      <x:c r="E251" s="97" t="str">
        <x:v>BEF 9 MAY 1613; Hursley, Hampshire, England</x:v>
      </x:c>
      <x:c r="F251" s="97" t="str"/>
      <x:c r="G251" s="97" t="str">
        <x:v>MARY-HOPKINS</x:v>
      </x:c>
      <x:c r="H251" s="97" t="str">
        <x:v>S26;S46</x:v>
      </x:c>
      <x:c r="I251" s="97" t="str">
        <x:v>Confidence: moderate-high for relationship; low for identity details. | Direct ancestor named as Giles's mother in the Hursley baptism evidence; proposed Kent surname remains unproved | Vital-date research VD-008 (high confidence): Mary, first wife of Stephen Hopkins, was buried at Hursley on 9 May 1613; death is therefore recorded as before the burial date. | Vital-date conflict: No unsupported maiden surname is adopted.</x:v>
      </x:c>
      <x:c r="J251" s="97" t="str"/>
      <x:c r="K251" s="97" t="str">
        <x:v>F132</x:v>
      </x:c>
    </x:row>
    <x:row r="252">
      <x:c r="A252" s="97" t="str">
        <x:v>I257</x:v>
      </x:c>
      <x:c r="B252" s="97" t="str">
        <x:v>Gabriel Whelden</x:v>
      </x:c>
      <x:c r="C252" s="97" t="str">
        <x:v>M</x:v>
      </x:c>
      <x:c r="D252" s="97" t="str">
        <x:v>As reported: date and place unknown</x:v>
      </x:c>
      <x:c r="E252" s="97" t="str">
        <x:v>BET 11 FEB 1653/54 AND 4 APR 1654; Malden, Middlesex, Massachusetts</x:v>
      </x:c>
      <x:c r="F252" s="97" t="str"/>
      <x:c r="G252" s="97" t="str">
        <x:v>GABRIEL-WHELDEN</x:v>
      </x:c>
      <x:c r="H252" s="97" t="str">
        <x:v>S26;S46</x:v>
      </x:c>
      <x:c r="I252" s="97" t="str">
        <x:v>Confidence: moderate-high for relationship; low for dates. | Direct ancestor identified as Catherine's father in cited English parish research; original baptism image not yet inspected | Vital-date research VD-009 (high confidence): His will was dated 11 February 1653/54 and proved 4 April 1654, establishing the death interval. | Vital-date conflict: The frequently copied 4 April 1655 date is rejected; 4 April 1654 was the probate date, not a death date.</x:v>
      </x:c>
      <x:c r="J252" s="97" t="str"/>
      <x:c r="K252" s="97" t="str">
        <x:v>F133</x:v>
      </x:c>
    </x:row>
    <x:row r="253">
      <x:c r="A253" s="97" t="str">
        <x:v>I258</x:v>
      </x:c>
      <x:c r="B253" s="97" t="str">
        <x:v>John Doane</x:v>
      </x:c>
      <x:c r="C253" s="97" t="str">
        <x:v>M</x:v>
      </x:c>
      <x:c r="D253" s="97" t="str">
        <x:v>ABT 1590; England</x:v>
      </x:c>
      <x:c r="E253" s="97" t="str">
        <x:v>21 FEB 1685/86; Eastham, Barnstable, Massachusetts</x:v>
      </x:c>
      <x:c r="F253" s="97" t="str"/>
      <x:c r="G253" s="97" t="str">
        <x:v>JOHN-DOANE</x:v>
      </x:c>
      <x:c r="H253" s="97" t="str">
        <x:v>S26</x:v>
      </x:c>
      <x:c r="I253" s="97" t="str">
        <x:v>Confidence: high for relationship; moderate for dates. | Direct ancestor; original will names son Ephraim</x:v>
      </x:c>
      <x:c r="J253" s="97" t="str"/>
      <x:c r="K253" s="97" t="str">
        <x:v>F130</x:v>
      </x:c>
    </x:row>
    <x:row r="254">
      <x:c r="A254" s="97" t="str">
        <x:v>I259</x:v>
      </x:c>
      <x:c r="B254" s="97" t="str">
        <x:v>Ann Doane</x:v>
      </x:c>
      <x:c r="C254" s="97" t="str">
        <x:v>F</x:v>
      </x:c>
      <x:c r="D254" s="97" t="str">
        <x:v>As reported: date and place unknown</x:v>
      </x:c>
      <x:c r="E254" s="97" t="str">
        <x:v>1 JUN 1654</x:v>
      </x:c>
      <x:c r="F254" s="97" t="str"/>
      <x:c r="G254" s="97" t="str">
        <x:v>ANN-DOANE</x:v>
      </x:c>
      <x:c r="H254" s="97" t="str">
        <x:v>S26</x:v>
      </x:c>
      <x:c r="I254" s="97" t="str">
        <x:v>Confidence: moderate-high for relationship; low for identity details. | Direct ancestor identified as John Doane's wife and Ephraim's mother in Great Migration reconstruction; maiden name unknown</x:v>
      </x:c>
      <x:c r="J254" s="97" t="str"/>
      <x:c r="K254" s="97" t="str">
        <x:v>F130</x:v>
      </x:c>
    </x:row>
    <x:row r="255">
      <x:c r="A255" s="97" t="str">
        <x:v>I260</x:v>
      </x:c>
      <x:c r="B255" s="97" t="str">
        <x:v>Richard Knowles</x:v>
      </x:c>
      <x:c r="C255" s="97" t="str">
        <x:v>M</x:v>
      </x:c>
      <x:c r="D255" s="97" t="str">
        <x:v>ABT 1615; England</x:v>
      </x:c>
      <x:c r="E255" s="97" t="str">
        <x:v>BET 1670 and 1675; Eastham, Barnstable, Massachusetts</x:v>
      </x:c>
      <x:c r="F255" s="97" t="str"/>
      <x:c r="G255" s="97" t="str">
        <x:v>RICHARD-KNOWLES</x:v>
      </x:c>
      <x:c r="H255" s="97" t="str">
        <x:v>S26</x:v>
      </x:c>
      <x:c r="I255" s="97" t="str">
        <x:v>Confidence: moderate-high for relationship; high for 1639 marriage; moderate for dates. | Direct ancestor; scholarly Knowles reconstruction identifies daughter Mary/Mercy; his own parentage remains unresolved</x:v>
      </x:c>
      <x:c r="J255" s="97" t="str"/>
      <x:c r="K255" s="97" t="str">
        <x:v>F131</x:v>
      </x:c>
    </x:row>
    <x:row r="256">
      <x:c r="A256" s="97" t="str">
        <x:v>I261</x:v>
      </x:c>
      <x:c r="B256" s="97" t="str">
        <x:v>Ruth Bower Knowles</x:v>
      </x:c>
      <x:c r="C256" s="97" t="str">
        <x:v>F</x:v>
      </x:c>
      <x:c r="D256" s="97" t="str">
        <x:v>As reported: England; date unknown</x:v>
      </x:c>
      <x:c r="E256" s="97" t="str">
        <x:v>ABT 1687; Massachusetts</x:v>
      </x:c>
      <x:c r="F256" s="97" t="str"/>
      <x:c r="G256" s="97" t="str">
        <x:v>RUTH-BOWER</x:v>
      </x:c>
      <x:c r="H256" s="97" t="str">
        <x:v>S26</x:v>
      </x:c>
      <x:c r="I256" s="97" t="str">
        <x:v>Confidence: moderate-high for parentage; high for marriage. | Direct ancestor; original Plymouth Colony record documents marriage to Richard Knowles; scholarly reconstruction names parents</x:v>
      </x:c>
      <x:c r="J256" s="97" t="str">
        <x:v>F134</x:v>
      </x:c>
      <x:c r="K256" s="97" t="str">
        <x:v>F131</x:v>
      </x:c>
    </x:row>
    <x:row r="257">
      <x:c r="A257" s="97" t="str">
        <x:v>I262</x:v>
      </x:c>
      <x:c r="B257" s="97" t="str">
        <x:v>George Bower</x:v>
      </x:c>
      <x:c r="C257" s="97" t="str">
        <x:v>M</x:v>
      </x:c>
      <x:c r="D257" s="97" t="str">
        <x:v>As reported: England; date unknown</x:v>
      </x:c>
      <x:c r="E257" s="97" t="str">
        <x:v>1656; Massachusetts (secondary)</x:v>
      </x:c>
      <x:c r="F257" s="97" t="str"/>
      <x:c r="G257" s="97" t="str">
        <x:v>GEORGE-BOWER</x:v>
      </x:c>
      <x:c r="H257" s="97" t="str">
        <x:v>S26</x:v>
      </x:c>
      <x:c r="I257" s="97" t="str">
        <x:v>Confidence: moderate-high for relationship; moderate for dates. | Direct ancestor identified as Ruth Bower's father in scholarly Knowles/Bower research</x:v>
      </x:c>
      <x:c r="J257" s="97" t="str"/>
      <x:c r="K257" s="97" t="str">
        <x:v>F134</x:v>
      </x:c>
    </x:row>
    <x:row r="258">
      <x:c r="A258" s="97" t="str">
        <x:v>I263</x:v>
      </x:c>
      <x:c r="B258" s="97" t="str">
        <x:v>Barbara Bower</x:v>
      </x:c>
      <x:c r="C258" s="97" t="str">
        <x:v>F</x:v>
      </x:c>
      <x:c r="D258" s="97" t="str">
        <x:v>As reported: England; date unknown</x:v>
      </x:c>
      <x:c r="E258" s="97" t="str">
        <x:v>25 MAR 1644; Cambridge, Massachusetts (secondary)</x:v>
      </x:c>
      <x:c r="F258" s="97" t="str"/>
      <x:c r="G258" s="97" t="str">
        <x:v>BARBARA-BOWER</x:v>
      </x:c>
      <x:c r="H258" s="97" t="str">
        <x:v>S26</x:v>
      </x:c>
      <x:c r="I258" s="97" t="str">
        <x:v>Confidence: moderate-high for relationship; moderate for Smyth surname and dates. | Direct ancestor identified as Ruth Bower's mother; original English marriage image not yet inspected</x:v>
      </x:c>
      <x:c r="J258" s="97" t="str"/>
      <x:c r="K258" s="97" t="str">
        <x:v>F134</x:v>
      </x:c>
    </x:row>
    <x:row r="259">
      <x:c r="A259" s="97" t="str">
        <x:v>I264</x:v>
      </x:c>
      <x:c r="B259" s="97" t="str">
        <x:v>Carrie E McNaughton Marsh</x:v>
      </x:c>
      <x:c r="C259" s="97" t="str">
        <x:v>F</x:v>
      </x:c>
      <x:c r="D259" s="97" t="str">
        <x:v>APR 1870; Caledonia, Livingston, New York</x:v>
      </x:c>
      <x:c r="E259" s="97" t="str">
        <x:v>9 JUL 1918; Perry, Wyoming, New York</x:v>
      </x:c>
      <x:c r="F259" s="97" t="str"/>
      <x:c r="G259" s="97" t="str">
        <x:v>CEM-1870</x:v>
      </x:c>
      <x:c r="H259" s="97" t="str">
        <x:v>S26</x:v>
      </x:c>
      <x:c r="I259" s="97" t="str">
        <x:v>Confidence: high. | Direct ancestor</x:v>
      </x:c>
      <x:c r="J259" s="97" t="str">
        <x:v>F135</x:v>
      </x:c>
      <x:c r="K259" s="97" t="str">
        <x:v>F111</x:v>
      </x:c>
    </x:row>
    <x:row r="260">
      <x:c r="A260" s="97" t="str">
        <x:v>I265</x:v>
      </x:c>
      <x:c r="B260" s="97" t="str">
        <x:v>Peter William McNaughton</x:v>
      </x:c>
      <x:c r="C260" s="97" t="str">
        <x:v>M</x:v>
      </x:c>
      <x:c r="D260" s="97" t="str">
        <x:v>14 OCT 1834; Caledonia, Livingston, New York</x:v>
      </x:c>
      <x:c r="E260" s="97" t="str">
        <x:v>22 JAN 1895; York, Livingston, New York</x:v>
      </x:c>
      <x:c r="F260" s="97" t="str">
        <x:v>Laborer (1850; Caledonia, Livingston, New York) | Corporal (1862; 6th Independent Company, New York State Sharpshooters) | Carpenter (1870; Caledonia, Livingston, New York)</x:v>
      </x:c>
      <x:c r="G260" s="97" t="str">
        <x:v>PWM-1834</x:v>
      </x:c>
      <x:c r="H260" s="97" t="str">
        <x:v>S26;S48</x:v>
      </x:c>
      <x:c r="I260" s="97" t="str">
        <x:v>Confidence: high. | Direct ancestor; original military register preferred over cemetery index's 1835 birth year</x:v>
      </x:c>
      <x:c r="J260" s="97" t="str">
        <x:v>F136</x:v>
      </x:c>
      <x:c r="K260" s="97" t="str">
        <x:v>F135</x:v>
      </x:c>
    </x:row>
    <x:row r="261">
      <x:c r="A261" s="97" t="str">
        <x:v>I266</x:v>
      </x:c>
      <x:c r="B261" s="97" t="str">
        <x:v>William McNaughton</x:v>
      </x:c>
      <x:c r="C261" s="97" t="str">
        <x:v>M</x:v>
      </x:c>
      <x:c r="D261" s="97" t="str">
        <x:v>ABT 1804; New York</x:v>
      </x:c>
      <x:c r="E261" s="97" t="str">
        <x:v>BEF 1855</x:v>
      </x:c>
      <x:c r="F261" s="97" t="str">
        <x:v>Wagon maker (1850; Caledonia, Livingston, New York; transportation equipment)</x:v>
      </x:c>
      <x:c r="G261" s="97" t="str">
        <x:v>WM-1804</x:v>
      </x:c>
      <x:c r="H261" s="97" t="str">
        <x:v>S26;S48</x:v>
      </x:c>
      <x:c r="I261" s="97" t="str">
        <x:v>Confidence: high for relationship; moderate for dates. | Direct ancestor; documentary trail stops here</x:v>
      </x:c>
      <x:c r="J261" s="97" t="str"/>
      <x:c r="K261" s="97" t="str">
        <x:v>F136</x:v>
      </x:c>
    </x:row>
    <x:row r="262">
      <x:c r="A262" s="97" t="str">
        <x:v>I267</x:v>
      </x:c>
      <x:c r="B262" s="97" t="str">
        <x:v>Relief Gibbs McNaughton</x:v>
      </x:c>
      <x:c r="C262" s="97" t="str">
        <x:v>F</x:v>
      </x:c>
      <x:c r="D262" s="97" t="str">
        <x:v>As reported: about 1805-1806; New York</x:v>
      </x:c>
      <x:c r="E262" s="97" t="str"/>
      <x:c r="F262" s="97" t="str"/>
      <x:c r="G262" s="97" t="str">
        <x:v>RG-1805</x:v>
      </x:c>
      <x:c r="H262" s="97" t="str">
        <x:v>S26</x:v>
      </x:c>
      <x:c r="I262" s="97" t="str">
        <x:v>Confidence: high for identity and maiden name; moderate for dates. | Direct ancestor; maiden name stated on Peter's original Civil War town register</x:v>
      </x:c>
      <x:c r="J262" s="97" t="str"/>
      <x:c r="K262" s="97" t="str">
        <x:v>F136</x:v>
      </x:c>
    </x:row>
    <x:row r="263">
      <x:c r="A263" s="97" t="str">
        <x:v>I268</x:v>
      </x:c>
      <x:c r="B263" s="97" t="str">
        <x:v>Mary A McNaughton</x:v>
      </x:c>
      <x:c r="C263" s="97" t="str">
        <x:v>F</x:v>
      </x:c>
      <x:c r="D263" s="97" t="str">
        <x:v>As reported: about 1841-1846; New York</x:v>
      </x:c>
      <x:c r="E263" s="97" t="str">
        <x:v>17 DEC 1919; Caledonia, Livingston, New York</x:v>
      </x:c>
      <x:c r="F263" s="97" t="str"/>
      <x:c r="G263" s="97" t="str">
        <x:v>MA-MCN-1843</x:v>
      </x:c>
      <x:c r="H263" s="97" t="str">
        <x:v>S26</x:v>
      </x:c>
      <x:c r="I263" s="97" t="str">
        <x:v>Confidence: high for relationship and indexed death; low for maiden name and birth year. | Direct ancestor; official death index supplies exact death date/place and certificate 70627, but maiden name and parents remain unknown</x:v>
      </x:c>
      <x:c r="J263" s="97" t="str"/>
      <x:c r="K263" s="97" t="str">
        <x:v>F135</x:v>
      </x:c>
    </x:row>
    <x:row r="264">
      <x:c r="A264" s="97" t="str">
        <x:v>I269</x:v>
      </x:c>
      <x:c r="B264" s="97" t="str">
        <x:v>Doris Ann Vollmer</x:v>
      </x:c>
      <x:c r="C264" s="97" t="str">
        <x:v>U</x:v>
      </x:c>
      <x:c r="D264" s="97" t="str">
        <x:v>ABT 1938; Ohio</x:v>
      </x:c>
      <x:c r="E264" s="97" t="str"/>
      <x:c r="F264" s="97" t="str"/>
      <x:c r="G264" s="97" t="str">
        <x:v>DAV-1938</x:v>
      </x:c>
      <x:c r="H264" s="97" t="str">
        <x:v>S27</x:v>
      </x:c>
      <x:c r="I264" s="97" t="str">
        <x:v>paternal aunt; full sister of Henry Richard Vollmer | Confidence: high. | In scope as owner's aunt; no spouse or descendants developed pending owner-supplied facts or evidence that she is deceased</x:v>
      </x:c>
      <x:c r="J264" s="97" t="str">
        <x:v>F105</x:v>
      </x:c>
      <x:c r="K264" s="97" t="str"/>
    </x:row>
    <x:row r="265">
      <x:c r="A265" s="97" t="str">
        <x:v>I270</x:v>
      </x:c>
      <x:c r="B265" s="97" t="str">
        <x:v>Marie Anna Vollmer Seeley</x:v>
      </x:c>
      <x:c r="C265" s="97" t="str">
        <x:v>F</x:v>
      </x:c>
      <x:c r="D265" s="97" t="str">
        <x:v>3 APR 1915; Roosevelt, Nassau, New York</x:v>
      </x:c>
      <x:c r="E265" s="97" t="str">
        <x:v>27 NOV 2005; Freeport, Nassau, New York</x:v>
      </x:c>
      <x:c r="F265" s="97" t="str">
        <x:v>Keeping house (1950; Freeport, Nassau, New York)</x:v>
      </x:c>
      <x:c r="G265" s="97" t="str">
        <x:v>MAV-1915</x:v>
      </x:c>
      <x:c r="H265" s="97" t="str">
        <x:v>S27;S48</x:v>
      </x:c>
      <x:c r="I265" s="97" t="str">
        <x:v>paternal aunt of Henry Richard Vollmer; paternal grandaunt of owner | Confidence: high. | In scope as father's aunt; relationship and dates supported by census and SSA records</x:v>
      </x:c>
      <x:c r="J265" s="97" t="str">
        <x:v>F106</x:v>
      </x:c>
      <x:c r="K265" s="97" t="str">
        <x:v>F137</x:v>
      </x:c>
    </x:row>
    <x:row r="266">
      <x:c r="A266" s="97" t="str">
        <x:v>I271</x:v>
      </x:c>
      <x:c r="B266" s="97" t="str">
        <x:v>Lester Allan Seeley</x:v>
      </x:c>
      <x:c r="C266" s="97" t="str">
        <x:v>M</x:v>
      </x:c>
      <x:c r="D266" s="97" t="str">
        <x:v>27 JUN 1910; Change Islands, Newfoundland</x:v>
      </x:c>
      <x:c r="E266" s="97" t="str">
        <x:v>FEB 1983; Freeport, Nassau, New York</x:v>
      </x:c>
      <x:c r="F266" s="97" t="str">
        <x:v>Punch press operator (1950; Freeport, Nassau, New York; airplane plant)</x:v>
      </x:c>
      <x:c r="G266" s="97" t="str">
        <x:v>LAS-1910</x:v>
      </x:c>
      <x:c r="H266" s="97" t="str">
        <x:v>S27;S48</x:v>
      </x:c>
      <x:c r="I266" s="97" t="str">
        <x:v>spouse of Marie Anna Vollmer; included to show cousin parentage | Confidence: high. | Supporting spouse only; not independently expanded</x:v>
      </x:c>
      <x:c r="J266" s="97" t="str"/>
      <x:c r="K266" s="97" t="str">
        <x:v>F137</x:v>
      </x:c>
    </x:row>
    <x:row r="267">
      <x:c r="A267" s="97" t="str">
        <x:v>I272</x:v>
      </x:c>
      <x:c r="B267" s="97" t="str">
        <x:v>James Seeley</x:v>
      </x:c>
      <x:c r="C267" s="97" t="str">
        <x:v>U</x:v>
      </x:c>
      <x:c r="D267" s="97" t="str">
        <x:v>As reported: about 1937-1938; New York</x:v>
      </x:c>
      <x:c r="E267" s="97" t="str"/>
      <x:c r="F267" s="97" t="str"/>
      <x:c r="G267" s="97" t="str">
        <x:v>JAMES-SEELEY-1937</x:v>
      </x:c>
      <x:c r="H267" s="97" t="str">
        <x:v>S27</x:v>
      </x:c>
      <x:c r="I267" s="97" t="str">
        <x:v>first cousin of Henry Richard Vollmer; first cousin once removed of owner | Confidence: high. | In scope as father's first cousin; no spouse or descendants developed</x:v>
      </x:c>
      <x:c r="J267" s="97" t="str">
        <x:v>F137</x:v>
      </x:c>
      <x:c r="K267" s="97" t="str"/>
    </x:row>
    <x:row r="268">
      <x:c r="A268" s="97" t="str">
        <x:v>I273</x:v>
      </x:c>
      <x:c r="B268" s="97" t="str">
        <x:v>John Seeley</x:v>
      </x:c>
      <x:c r="C268" s="97" t="str">
        <x:v>U</x:v>
      </x:c>
      <x:c r="D268" s="97" t="str">
        <x:v>As reported: about 1940-1941; New York</x:v>
      </x:c>
      <x:c r="E268" s="97" t="str"/>
      <x:c r="F268" s="97" t="str"/>
      <x:c r="G268" s="97" t="str">
        <x:v>JOHN-SEELEY-1940</x:v>
      </x:c>
      <x:c r="H268" s="97" t="str">
        <x:v>S27</x:v>
      </x:c>
      <x:c r="I268" s="97" t="str">
        <x:v>first cousin of Henry Richard Vollmer; first cousin once removed of owner | Confidence: high. | In scope as father's first cousin; no spouse or descendants developed</x:v>
      </x:c>
      <x:c r="J268" s="97" t="str">
        <x:v>F137</x:v>
      </x:c>
      <x:c r="K268" s="97" t="str"/>
    </x:row>
    <x:row r="269">
      <x:c r="A269" s="97" t="str">
        <x:v>I274</x:v>
      </x:c>
      <x:c r="B269" s="97" t="str">
        <x:v>Mildred E Marsh Gutelius</x:v>
      </x:c>
      <x:c r="C269" s="97" t="str">
        <x:v>F</x:v>
      </x:c>
      <x:c r="D269" s="97" t="str">
        <x:v>18 DEC 1890; New York</x:v>
      </x:c>
      <x:c r="E269" s="97" t="str">
        <x:v>APR 1976</x:v>
      </x:c>
      <x:c r="F269" s="97" t="str"/>
      <x:c r="G269" s="97" t="str">
        <x:v>MEMG-1890</x:v>
      </x:c>
      <x:c r="H269" s="97" t="str">
        <x:v>S27</x:v>
      </x:c>
      <x:c r="I269" s="97" t="str">
        <x:v>maternal aunt of Henry Richard Vollmer; paternal grandaunt of owner | Confidence: high. | In scope as father's aunt; no descendants beyond daughter Eileen</x:v>
      </x:c>
      <x:c r="J269" s="97" t="str">
        <x:v>F111</x:v>
      </x:c>
      <x:c r="K269" s="97" t="str">
        <x:v>F138</x:v>
      </x:c>
    </x:row>
    <x:row r="270">
      <x:c r="A270" s="97" t="str">
        <x:v>I275</x:v>
      </x:c>
      <x:c r="B270" s="97" t="str">
        <x:v>Harry K Gutelius</x:v>
      </x:c>
      <x:c r="C270" s="97" t="str">
        <x:v>M</x:v>
      </x:c>
      <x:c r="D270" s="97" t="str">
        <x:v>1889; New York</x:v>
      </x:c>
      <x:c r="E270" s="97" t="str">
        <x:v>1962</x:v>
      </x:c>
      <x:c r="F270" s="97" t="str"/>
      <x:c r="G270" s="97" t="str">
        <x:v>HKG-1890</x:v>
      </x:c>
      <x:c r="H270" s="97" t="str">
        <x:v>S27;S46</x:v>
      </x:c>
      <x:c r="I270" s="97" t="str">
        <x:v>spouse of Mildred E Marsh; included to show cousin parentage | Confidence: high. | Supporting spouse only; not independently expanded | Vital-date research VD-011 (moderate confidence): The Leicester Cemetery index lists Harry K. Gutelius as 1889-1962 beside Mildred M. Gutelius 1890-1976. | Vital-date conflict: Census ages previously implied about 1890; the monument year is retained with the discrepancy noted.</x:v>
      </x:c>
      <x:c r="J270" s="97" t="str"/>
      <x:c r="K270" s="97" t="str">
        <x:v>F138</x:v>
      </x:c>
    </x:row>
    <x:row r="271">
      <x:c r="A271" s="97" t="str">
        <x:v>I276</x:v>
      </x:c>
      <x:c r="B271" s="97" t="str">
        <x:v>Eileen Gutelius Eaton</x:v>
      </x:c>
      <x:c r="C271" s="97" t="str">
        <x:v>U</x:v>
      </x:c>
      <x:c r="D271" s="97" t="str">
        <x:v>8 OCT 1914; Perry, Wyoming, New York</x:v>
      </x:c>
      <x:c r="E271" s="97" t="str">
        <x:v>11 MAY 1996</x:v>
      </x:c>
      <x:c r="F271" s="97" t="str"/>
      <x:c r="G271" s="97" t="str">
        <x:v>EGE-1914</x:v>
      </x:c>
      <x:c r="H271" s="97" t="str">
        <x:v>S27</x:v>
      </x:c>
      <x:c r="I271" s="97" t="str">
        <x:v>first cousin of Henry Richard Vollmer; first cousin once removed of owner | Confidence: high. | Only documented child of Mildred and Harry in 1915-1950 census/SSA sequence; no spouse or descendants developed</x:v>
      </x:c>
      <x:c r="J271" s="97" t="str">
        <x:v>F138</x:v>
      </x:c>
      <x:c r="K271" s="97" t="str"/>
    </x:row>
    <x:row r="272">
      <x:c r="A272" s="97" t="str">
        <x:v>I277</x:v>
      </x:c>
      <x:c r="B272" s="97" t="str">
        <x:v>Ronald McNaughton Marsh</x:v>
      </x:c>
      <x:c r="C272" s="97" t="str">
        <x:v>M</x:v>
      </x:c>
      <x:c r="D272" s="97" t="str">
        <x:v>10 SEP 1894; New York</x:v>
      </x:c>
      <x:c r="E272" s="97" t="str">
        <x:v>31 MAR 1967; Simsbury, Hartford, Connecticut</x:v>
      </x:c>
      <x:c r="F272" s="97" t="str"/>
      <x:c r="G272" s="97" t="str">
        <x:v>RMM-1894</x:v>
      </x:c>
      <x:c r="H272" s="97" t="str">
        <x:v>S27</x:v>
      </x:c>
      <x:c r="I272" s="97" t="str">
        <x:v>maternal uncle of Henry Richard Vollmer; paternal granduncle of owner | Confidence: high. | In scope as father's uncle; later wife Marion Clark noted in report but not added because she is not needed for cousin parentage</x:v>
      </x:c>
      <x:c r="J272" s="97" t="str">
        <x:v>F111</x:v>
      </x:c>
      <x:c r="K272" s="97" t="str">
        <x:v>F139</x:v>
      </x:c>
    </x:row>
    <x:row r="273">
      <x:c r="A273" s="97" t="str">
        <x:v>I278</x:v>
      </x:c>
      <x:c r="B273" s="97" t="str">
        <x:v>Eva C St Martin Marsh</x:v>
      </x:c>
      <x:c r="C273" s="97" t="str">
        <x:v>F</x:v>
      </x:c>
      <x:c r="D273" s="97" t="str">
        <x:v>ABT 1896; Connecticut</x:v>
      </x:c>
      <x:c r="E273" s="97" t="str">
        <x:v>BEF 1940</x:v>
      </x:c>
      <x:c r="F273" s="97" t="str"/>
      <x:c r="G273" s="97" t="str">
        <x:v>ECSM-1896</x:v>
      </x:c>
      <x:c r="H273" s="97" t="str">
        <x:v>S27</x:v>
      </x:c>
      <x:c r="I273" s="97" t="str">
        <x:v>spouse of Ronald McNaughton Marsh; mother of Dorothy, Robert, and Ronald Louis | Confidence: high. | Supporting spouse included only for cousin parentage</x:v>
      </x:c>
      <x:c r="J273" s="97" t="str"/>
      <x:c r="K273" s="97" t="str">
        <x:v>F139</x:v>
      </x:c>
    </x:row>
    <x:row r="274">
      <x:c r="A274" s="97" t="str">
        <x:v>I279</x:v>
      </x:c>
      <x:c r="B274" s="97" t="str">
        <x:v>Dorothy Jane Marsh Kidwell</x:v>
      </x:c>
      <x:c r="C274" s="97" t="str">
        <x:v>U</x:v>
      </x:c>
      <x:c r="D274" s="97" t="str">
        <x:v>30 JAN 1921; Perry, Wyoming, New York</x:v>
      </x:c>
      <x:c r="E274" s="97" t="str">
        <x:v>28 FEB 1998</x:v>
      </x:c>
      <x:c r="F274" s="97" t="str"/>
      <x:c r="G274" s="97" t="str">
        <x:v>DJMK-1921</x:v>
      </x:c>
      <x:c r="H274" s="97" t="str">
        <x:v>S27</x:v>
      </x:c>
      <x:c r="I274" s="97" t="str">
        <x:v>first cousin of Henry Richard Vollmer; first cousin once removed of owner | Confidence: high. | In scope as father's first cousin; spouses and descendants not developed</x:v>
      </x:c>
      <x:c r="J274" s="97" t="str">
        <x:v>F139</x:v>
      </x:c>
      <x:c r="K274" s="97" t="str"/>
    </x:row>
    <x:row r="275">
      <x:c r="A275" s="97" t="str">
        <x:v>I280</x:v>
      </x:c>
      <x:c r="B275" s="97" t="str">
        <x:v>Robert James Marsh</x:v>
      </x:c>
      <x:c r="C275" s="97" t="str">
        <x:v>U</x:v>
      </x:c>
      <x:c r="D275" s="97" t="str">
        <x:v>13 MAY 1923; Perry, Wyoming, New York</x:v>
      </x:c>
      <x:c r="E275" s="97" t="str">
        <x:v>16 OCT 2008</x:v>
      </x:c>
      <x:c r="F275" s="97" t="str"/>
      <x:c r="G275" s="97" t="str">
        <x:v>RJM-1923</x:v>
      </x:c>
      <x:c r="H275" s="97" t="str">
        <x:v>S27</x:v>
      </x:c>
      <x:c r="I275" s="97" t="str">
        <x:v>first cousin of Henry Richard Vollmer; first cousin once removed of owner | Confidence: high. | In scope as father's first cousin; spouse and descendants not developed</x:v>
      </x:c>
      <x:c r="J275" s="97" t="str">
        <x:v>F139</x:v>
      </x:c>
      <x:c r="K275" s="97" t="str"/>
    </x:row>
    <x:row r="276">
      <x:c r="A276" s="97" t="str">
        <x:v>I281</x:v>
      </x:c>
      <x:c r="B276" s="97" t="str">
        <x:v>Ronald Louis Marsh</x:v>
      </x:c>
      <x:c r="C276" s="97" t="str">
        <x:v>U</x:v>
      </x:c>
      <x:c r="D276" s="97" t="str">
        <x:v>21 OCT 1927; Simsbury, Hartford, Connecticut</x:v>
      </x:c>
      <x:c r="E276" s="97" t="str">
        <x:v>18 MAY 2019</x:v>
      </x:c>
      <x:c r="F276" s="97" t="str"/>
      <x:c r="G276" s="97" t="str">
        <x:v>RLM-1927</x:v>
      </x:c>
      <x:c r="H276" s="97" t="str">
        <x:v>S27</x:v>
      </x:c>
      <x:c r="I276" s="97" t="str">
        <x:v>first cousin of Henry Richard Vollmer; first cousin once removed of owner | Confidence: high. | In scope as father's first cousin; spouse and descendants not developed</x:v>
      </x:c>
      <x:c r="J276" s="97" t="str">
        <x:v>F139</x:v>
      </x:c>
      <x:c r="K276" s="97" t="str"/>
    </x:row>
    <x:row r="277">
      <x:c r="A277" s="97" t="str">
        <x:v>I282</x:v>
      </x:c>
      <x:c r="B277" s="97" t="str">
        <x:v>Frederick Gottlieb Heinrich Vollmer</x:v>
      </x:c>
      <x:c r="C277" s="97" t="str">
        <x:v>U</x:v>
      </x:c>
      <x:c r="D277" s="97" t="str">
        <x:v>5 OCT 1873; Bremen, Germany</x:v>
      </x:c>
      <x:c r="E277" s="97" t="str">
        <x:v>10 MAR 1917; Queens, New York</x:v>
      </x:c>
      <x:c r="F277" s="97" t="str">
        <x:v>Painter (10 MAR 1917; Queens, New York)</x:v>
      </x:c>
      <x:c r="G277" s="97" t="str">
        <x:v>FGHV-1873</x:v>
      </x:c>
      <x:c r="H277" s="97" t="str">
        <x:v>S27;S48</x:v>
      </x:c>
      <x:c r="I277" s="97" t="str">
        <x:v>full brother of Henry John Joseph Vollmer; paternal granduncle of Charles Frederick Vollmer; paternal great-granduncle of owner | Confidence: high. | Original 1897 church marriage and 1917 death certificate independently identify the same birth date and parent pair; wife Margareth/Margaretha Euders noted in report, but no child is yet accepted</x:v>
      </x:c>
      <x:c r="J277" s="97" t="str">
        <x:v>F107</x:v>
      </x:c>
      <x:c r="K277" s="97" t="str"/>
    </x:row>
    <x:row r="278">
      <x:c r="A278" s="97" t="str">
        <x:v>I283</x:v>
      </x:c>
      <x:c r="B278" s="97" t="str">
        <x:v>Charles Marsh</x:v>
      </x:c>
      <x:c r="C278" s="97" t="str">
        <x:v>U</x:v>
      </x:c>
      <x:c r="D278" s="97" t="str">
        <x:v>ABT 1870; New York</x:v>
      </x:c>
      <x:c r="E278" s="97" t="str">
        <x:v>1892</x:v>
      </x:c>
      <x:c r="F278" s="97" t="str"/>
      <x:c r="G278" s="97" t="str">
        <x:v>CM-1870</x:v>
      </x:c>
      <x:c r="H278" s="97" t="str">
        <x:v>S27</x:v>
      </x:c>
      <x:c r="I278" s="97" t="str">
        <x:v>full brother of Frederick Heath Marsh; maternal uncle of Doris Josephine Marsh; paternal great-granduncle of owner | Confidence: high for relationship and approximate birth; moderate for death year. | 1870 and 1880 censuses prove the sibling relationship; compiled genealogy reports death in 1892 but no matching state death-index entry was found; no spouse or child is accepted</x:v>
      </x:c>
      <x:c r="J278" s="97" t="str">
        <x:v>F112</x:v>
      </x:c>
      <x:c r="K278" s="97" t="str"/>
    </x:row>
    <x:row r="279">
      <x:c r="A279" s="97" t="str">
        <x:v>I284</x:v>
      </x:c>
      <x:c r="B279" s="97" t="str">
        <x:v>Marion McNaughton</x:v>
      </x:c>
      <x:c r="C279" s="97" t="str">
        <x:v>U</x:v>
      </x:c>
      <x:c r="D279" s="97" t="str">
        <x:v>As reported: about 1873-1874; New York</x:v>
      </x:c>
      <x:c r="E279" s="97" t="str"/>
      <x:c r="F279" s="97" t="str"/>
      <x:c r="G279" s="97" t="str">
        <x:v>MMCN-1873</x:v>
      </x:c>
      <x:c r="H279" s="97" t="str">
        <x:v>S27</x:v>
      </x:c>
      <x:c r="I279" s="97" t="str">
        <x:v>full sister of Carrie E McNaughton; maternal aunt of Doris Josephine Marsh; paternal great-grandaunt of owner | Confidence: high. | 1875 and 1880 censuses prove the sibling relationship; no spouse or child is accepted; a local-history mention of teacher Marion E Croft is an unproved lead only</x:v>
      </x:c>
      <x:c r="J279" s="97" t="str">
        <x:v>F135</x:v>
      </x:c>
      <x:c r="K279" s="97" t="str"/>
    </x:row>
    <x:row r="280">
      <x:c r="A280" s="97" t="str">
        <x:v>I285</x:v>
      </x:c>
      <x:c r="B280" s="97" t="str">
        <x:v>Elizabeth McNaughton Pullyblank</x:v>
      </x:c>
      <x:c r="C280" s="97" t="str">
        <x:v>F</x:v>
      </x:c>
      <x:c r="D280" s="97" t="str">
        <x:v>APR 1876; New York</x:v>
      </x:c>
      <x:c r="E280" s="97" t="str">
        <x:v>18 OCT 1961; New York</x:v>
      </x:c>
      <x:c r="F280" s="97" t="str"/>
      <x:c r="G280" s="97" t="str">
        <x:v>EMCP-1876</x:v>
      </x:c>
      <x:c r="H280" s="97" t="str">
        <x:v>S27</x:v>
      </x:c>
      <x:c r="I280" s="97" t="str">
        <x:v>full sister of Carrie E McNaughton; maternal aunt of Doris Josephine Marsh; paternal great-grandaunt of owner | Confidence: high. | Original censuses link Libbie/Elizabeth to Mary A McNaughton and to husband John C Pullyblank; all seven documented children are included, with no descendants</x:v>
      </x:c>
      <x:c r="J280" s="97" t="str">
        <x:v>F135</x:v>
      </x:c>
      <x:c r="K280" s="97" t="str">
        <x:v>F140</x:v>
      </x:c>
    </x:row>
    <x:row r="281">
      <x:c r="A281" s="97" t="str">
        <x:v>I286</x:v>
      </x:c>
      <x:c r="B281" s="97" t="str">
        <x:v>John C Pullyblank</x:v>
      </x:c>
      <x:c r="C281" s="97" t="str">
        <x:v>M</x:v>
      </x:c>
      <x:c r="D281" s="97" t="str">
        <x:v>1872; Canada</x:v>
      </x:c>
      <x:c r="E281" s="97" t="str">
        <x:v>1934; Livingston County, New York</x:v>
      </x:c>
      <x:c r="F281" s="97" t="str"/>
      <x:c r="G281" s="97" t="str">
        <x:v>JCP-1873</x:v>
      </x:c>
      <x:c r="H281" s="97" t="str">
        <x:v>S27;S46</x:v>
      </x:c>
      <x:c r="I281" s="97" t="str">
        <x:v>spouse of Elizabeth McNaughton; included to show cousin parentage | Confidence: high. | Supporting spouse only; New York marriage index and 1900-1930 census sequence | Vital-date research VD-012 (moderate confidence): The county-hosted index lists John C. Pullyblank as 1872-1934 in Mumford Rural Cemetery; the identity matches the established Caledonia/Mumford household. | Vital-date conflict: Census ages previously implied about 1873-1874; the monument year is retained with the discrepancy noted.</x:v>
      </x:c>
      <x:c r="J281" s="97" t="str"/>
      <x:c r="K281" s="97" t="str">
        <x:v>F140</x:v>
      </x:c>
    </x:row>
    <x:row r="282">
      <x:c r="A282" s="97" t="str">
        <x:v>I287</x:v>
      </x:c>
      <x:c r="B282" s="97" t="str">
        <x:v>MacNaughton Pullyblank</x:v>
      </x:c>
      <x:c r="C282" s="97" t="str">
        <x:v>U</x:v>
      </x:c>
      <x:c r="D282" s="97" t="str">
        <x:v>19 JUL 1897; New York</x:v>
      </x:c>
      <x:c r="E282" s="97" t="str">
        <x:v>7 APR 1902</x:v>
      </x:c>
      <x:c r="F282" s="97" t="str"/>
      <x:c r="G282" s="97" t="str">
        <x:v>MP-1897</x:v>
      </x:c>
      <x:c r="H282" s="97" t="str">
        <x:v>S27</x:v>
      </x:c>
      <x:c r="I282" s="97" t="str">
        <x:v>first cousin of Doris Josephine Marsh; paternal first cousin twice removed of owner | Confidence: high for parentage; moderate for exact vital dates. | 1900 census proves parentage; exact dates come from a cemetery index and are retained as secondary evidence; no descendants</x:v>
      </x:c>
      <x:c r="J282" s="97" t="str">
        <x:v>F140</x:v>
      </x:c>
      <x:c r="K282" s="97" t="str"/>
    </x:row>
    <x:row r="283">
      <x:c r="A283" s="97" t="str">
        <x:v>I288</x:v>
      </x:c>
      <x:c r="B283" s="97" t="str">
        <x:v>Floyd W Pullyblank</x:v>
      </x:c>
      <x:c r="C283" s="97" t="str">
        <x:v>U</x:v>
      </x:c>
      <x:c r="D283" s="97" t="str">
        <x:v>As reported: about Jan-Feb 1900; New York</x:v>
      </x:c>
      <x:c r="E283" s="97" t="str"/>
      <x:c r="F283" s="97" t="str"/>
      <x:c r="G283" s="97" t="str">
        <x:v>FWP-1900</x:v>
      </x:c>
      <x:c r="H283" s="97" t="str">
        <x:v>S27</x:v>
      </x:c>
      <x:c r="I283" s="97" t="str">
        <x:v>first cousin of Doris Josephine Marsh; paternal first cousin twice removed of owner | Confidence: high. | 1900-1920 census sequence; no spouse or descendants developed</x:v>
      </x:c>
      <x:c r="J283" s="97" t="str">
        <x:v>F140</x:v>
      </x:c>
      <x:c r="K283" s="97" t="str"/>
    </x:row>
    <x:row r="284">
      <x:c r="A284" s="97" t="str">
        <x:v>I289</x:v>
      </x:c>
      <x:c r="B284" s="97" t="str">
        <x:v>Ola L Pullyblank</x:v>
      </x:c>
      <x:c r="C284" s="97" t="str">
        <x:v>U</x:v>
      </x:c>
      <x:c r="D284" s="97" t="str">
        <x:v>As reported: about 1904-1905; New York</x:v>
      </x:c>
      <x:c r="E284" s="97" t="str"/>
      <x:c r="F284" s="97" t="str"/>
      <x:c r="G284" s="97" t="str">
        <x:v>OLP-1904</x:v>
      </x:c>
      <x:c r="H284" s="97" t="str">
        <x:v>S27</x:v>
      </x:c>
      <x:c r="I284" s="97" t="str">
        <x:v>first cousin of Doris Josephine Marsh; paternal first cousin twice removed of owner | Confidence: high. | 1910-1920 census sequence; no spouse or descendants developed</x:v>
      </x:c>
      <x:c r="J284" s="97" t="str">
        <x:v>F140</x:v>
      </x:c>
      <x:c r="K284" s="97" t="str"/>
    </x:row>
    <x:row r="285">
      <x:c r="A285" s="97" t="str">
        <x:v>I290</x:v>
      </x:c>
      <x:c r="B285" s="97" t="str">
        <x:v>Willard R Pullyblank</x:v>
      </x:c>
      <x:c r="C285" s="97" t="str">
        <x:v>U</x:v>
      </x:c>
      <x:c r="D285" s="97" t="str">
        <x:v>6 SEP 1906; New York</x:v>
      </x:c>
      <x:c r="E285" s="97" t="str">
        <x:v>13 DEC 1986; San Diego County, California</x:v>
      </x:c>
      <x:c r="F285" s="97" t="str"/>
      <x:c r="G285" s="97" t="str">
        <x:v>WRP-1906</x:v>
      </x:c>
      <x:c r="H285" s="97" t="str">
        <x:v>S27;S46</x:v>
      </x:c>
      <x:c r="I285" s="97" t="str">
        <x:v>first cousin of Doris Josephine Marsh; paternal first cousin twice removed of owner | Confidence: high. | 1910-1930 census sequence; no spouse or descendants developed | Vital-date research VD-013 (high confidence): The cemetery record supplies exact birth and death dates and military burial; New York birthplace remains supported by the established census sequence. | Vital-date conflict: The exact date replaces the census estimate of about 1906-1907.</x:v>
      </x:c>
      <x:c r="J285" s="97" t="str">
        <x:v>F140</x:v>
      </x:c>
      <x:c r="K285" s="97" t="str"/>
    </x:row>
    <x:row r="286">
      <x:c r="A286" s="97" t="str">
        <x:v>I291</x:v>
      </x:c>
      <x:c r="B286" s="97" t="str">
        <x:v>John W Pullyblank</x:v>
      </x:c>
      <x:c r="C286" s="97" t="str">
        <x:v>U</x:v>
      </x:c>
      <x:c r="D286" s="97" t="str">
        <x:v>As reported: about 1909-1910; New York</x:v>
      </x:c>
      <x:c r="E286" s="97" t="str"/>
      <x:c r="F286" s="97" t="str"/>
      <x:c r="G286" s="97" t="str">
        <x:v>JWP-1909</x:v>
      </x:c>
      <x:c r="H286" s="97" t="str">
        <x:v>S27</x:v>
      </x:c>
      <x:c r="I286" s="97" t="str">
        <x:v>first cousin of Doris Josephine Marsh; paternal first cousin twice removed of owner | Confidence: high. | 1910-1930 census sequence; no spouse or descendants developed</x:v>
      </x:c>
      <x:c r="J286" s="97" t="str">
        <x:v>F140</x:v>
      </x:c>
      <x:c r="K286" s="97" t="str"/>
    </x:row>
    <x:row r="287">
      <x:c r="A287" s="97" t="str">
        <x:v>I292</x:v>
      </x:c>
      <x:c r="B287" s="97" t="str">
        <x:v>Ruby J Pullyblank</x:v>
      </x:c>
      <x:c r="C287" s="97" t="str">
        <x:v>U</x:v>
      </x:c>
      <x:c r="D287" s="97" t="str">
        <x:v>As reported: about 1911-1912; New York</x:v>
      </x:c>
      <x:c r="E287" s="97" t="str"/>
      <x:c r="F287" s="97" t="str"/>
      <x:c r="G287" s="97" t="str">
        <x:v>RJP-1911</x:v>
      </x:c>
      <x:c r="H287" s="97" t="str">
        <x:v>S27</x:v>
      </x:c>
      <x:c r="I287" s="97" t="str">
        <x:v>first cousin of Doris Josephine Marsh; paternal first cousin twice removed of owner | Confidence: high. | 1920 census; no spouse or descendants developed</x:v>
      </x:c>
      <x:c r="J287" s="97" t="str">
        <x:v>F140</x:v>
      </x:c>
      <x:c r="K287" s="97" t="str"/>
    </x:row>
    <x:row r="288">
      <x:c r="A288" s="97" t="str">
        <x:v>I293</x:v>
      </x:c>
      <x:c r="B288" s="97" t="str">
        <x:v>Helen E Pullyblank</x:v>
      </x:c>
      <x:c r="C288" s="97" t="str">
        <x:v>U</x:v>
      </x:c>
      <x:c r="D288" s="97" t="str">
        <x:v>As reported: about 1914-1915; New York</x:v>
      </x:c>
      <x:c r="E288" s="97" t="str"/>
      <x:c r="F288" s="97" t="str"/>
      <x:c r="G288" s="97" t="str">
        <x:v>HEP-1914</x:v>
      </x:c>
      <x:c r="H288" s="97" t="str">
        <x:v>S27</x:v>
      </x:c>
      <x:c r="I288" s="97" t="str">
        <x:v>first cousin of Doris Josephine Marsh; paternal first cousin twice removed of owner | Confidence: high. | 1920-1930 census sequence; no spouse or descendants developed</x:v>
      </x:c>
      <x:c r="J288" s="97" t="str">
        <x:v>F140</x:v>
      </x:c>
      <x:c r="K288" s="97" t="str"/>
    </x:row>
    <x:row r="289">
      <x:c r="A289" s="97" t="str">
        <x:v>I294</x:v>
      </x:c>
      <x:c r="B289" s="97" t="str">
        <x:v>Lulu McNaughton</x:v>
      </x:c>
      <x:c r="C289" s="97" t="str">
        <x:v>U</x:v>
      </x:c>
      <x:c r="D289" s="97" t="str">
        <x:v>As reported: about 1878-1879; New York</x:v>
      </x:c>
      <x:c r="E289" s="97" t="str"/>
      <x:c r="F289" s="97" t="str"/>
      <x:c r="G289" s="97" t="str">
        <x:v>LMCN-1879</x:v>
      </x:c>
      <x:c r="H289" s="97" t="str">
        <x:v>S27</x:v>
      </x:c>
      <x:c r="I289" s="97" t="str">
        <x:v>full sister of Carrie E McNaughton; maternal aunt of Doris Josephine Marsh; paternal great-grandaunt of owner | Confidence: high. | 1880 and 1900 censuses prove the sibling relationship; no later spouse or child is accepted</x:v>
      </x:c>
      <x:c r="J289" s="97" t="str">
        <x:v>F135</x:v>
      </x:c>
      <x:c r="K289" s="97" t="str"/>
    </x:row>
    <x:row r="290">
      <x:c r="A290" s="97" t="str">
        <x:v>I310</x:v>
      </x:c>
      <x:c r="B290" s="97" t="str">
        <x:v>C Rudolph Muller</x:v>
      </x:c>
      <x:c r="C290" s="97" t="str">
        <x:v>U</x:v>
      </x:c>
      <x:c r="D290" s="97" t="str">
        <x:v>NOV 1894; New York</x:v>
      </x:c>
      <x:c r="E290" s="97" t="str"/>
      <x:c r="F290" s="97" t="str"/>
      <x:c r="G290" s="97" t="str">
        <x:v>CRM-1894</x:v>
      </x:c>
      <x:c r="H290" s="97" t="str">
        <x:v>S27</x:v>
      </x:c>
      <x:c r="I290" s="97" t="str">
        <x:v>full brother of Arthur Herman Muller; paternal uncle of Arthur John Muller; maternal great-great-granduncle of owner | Confidence: high for sibling identity; later life unresolved. | 1900 and 1910 censuses prove the sibling group; same-name later records were not accepted</x:v>
      </x:c>
      <x:c r="J290" s="97" t="str">
        <x:v>F004</x:v>
      </x:c>
      <x:c r="K290" s="97" t="str"/>
    </x:row>
    <x:row r="291">
      <x:c r="A291" s="97" t="str">
        <x:v>I311</x:v>
      </x:c>
      <x:c r="B291" s="97" t="str">
        <x:v>David Paul Muller</x:v>
      </x:c>
      <x:c r="C291" s="97" t="str">
        <x:v>U</x:v>
      </x:c>
      <x:c r="D291" s="97" t="str">
        <x:v>25 SEP 1899; Highland Falls, Orange, New York</x:v>
      </x:c>
      <x:c r="E291" s="97" t="str">
        <x:v>23 MAY 1927; Detroit, Wayne, Michigan</x:v>
      </x:c>
      <x:c r="F291" s="97" t="str"/>
      <x:c r="G291" s="97" t="str">
        <x:v>DPM-1899</x:v>
      </x:c>
      <x:c r="H291" s="97" t="str">
        <x:v>S27</x:v>
      </x:c>
      <x:c r="I291" s="97" t="str">
        <x:v>full brother of Arthur Herman Muller; paternal uncle of Arthur John Muller; maternal great-great-granduncle of owner | Confidence: high. | 1900/1910 censuses and original Michigan death record prove identity and parentage; record says married but does not securely identify a spouse or child</x:v>
      </x:c>
      <x:c r="J291" s="97" t="str">
        <x:v>F004</x:v>
      </x:c>
      <x:c r="K291" s="97" t="str"/>
    </x:row>
    <x:row r="292">
      <x:c r="A292" s="97" t="str">
        <x:v>I314</x:v>
      </x:c>
      <x:c r="B292" s="97" t="str">
        <x:v>Hazel G Lee</x:v>
      </x:c>
      <x:c r="C292" s="97" t="str">
        <x:v>U</x:v>
      </x:c>
      <x:c r="D292" s="97" t="str">
        <x:v>DEC 1888; Michigan</x:v>
      </x:c>
      <x:c r="E292" s="97" t="str"/>
      <x:c r="F292" s="97" t="str"/>
      <x:c r="G292" s="97" t="str">
        <x:v>HGLEE-1888</x:v>
      </x:c>
      <x:c r="H292" s="97" t="str">
        <x:v>S27</x:v>
      </x:c>
      <x:c r="I292" s="97" t="str">
        <x:v>full sister of Elma A Lee; maternal aunt of Arthur John Muller; maternal great-great-grandaunt of owner | Confidence: high for sibling identity; later life unresolved. | 1900 and 1910 censuses prove parentage; no later spouse or child is accepted; a same-age 1920 Detroit Hazel Lee was excluded as Hazel B Merriman</x:v>
      </x:c>
      <x:c r="J292" s="97" t="str">
        <x:v>F005</x:v>
      </x:c>
      <x:c r="K292" s="97" t="str"/>
    </x:row>
    <x:row r="293">
      <x:c r="A293" s="97" t="str">
        <x:v>I315</x:v>
      </x:c>
      <x:c r="B293" s="97" t="str">
        <x:v>Hubbard Stone Lee Sr</x:v>
      </x:c>
      <x:c r="C293" s="97" t="str">
        <x:v>M</x:v>
      </x:c>
      <x:c r="D293" s="97" t="str">
        <x:v>23 SEP 1891; Michigan</x:v>
      </x:c>
      <x:c r="E293" s="97" t="str">
        <x:v>10 JUN 1956</x:v>
      </x:c>
      <x:c r="F293" s="97" t="str"/>
      <x:c r="G293" s="97" t="str">
        <x:v>HSLEE-1891</x:v>
      </x:c>
      <x:c r="H293" s="97" t="str">
        <x:v>S27</x:v>
      </x:c>
      <x:c r="I293" s="97" t="str">
        <x:v>full brother of Elma A Lee; maternal uncle of Arthur John Muller; maternal great-great-granduncle of owner | Confidence: high. | Marriage and household sequence prove spouse and one documented son; Pee is a corrected index error for Lee</x:v>
      </x:c>
      <x:c r="J293" s="97" t="str">
        <x:v>F005</x:v>
      </x:c>
      <x:c r="K293" s="97" t="str">
        <x:v>F141</x:v>
      </x:c>
    </x:row>
    <x:row r="294">
      <x:c r="A294" s="97" t="str">
        <x:v>I316</x:v>
      </x:c>
      <x:c r="B294" s="97" t="str">
        <x:v>Irene M Burr Lee</x:v>
      </x:c>
      <x:c r="C294" s="97" t="str">
        <x:v>F</x:v>
      </x:c>
      <x:c r="D294" s="97" t="str">
        <x:v>As reported: about 1891-1892</x:v>
      </x:c>
      <x:c r="E294" s="97" t="str"/>
      <x:c r="F294" s="97" t="str"/>
      <x:c r="G294" s="97" t="str">
        <x:v>IMB-1891</x:v>
      </x:c>
      <x:c r="H294" s="97" t="str">
        <x:v>S27</x:v>
      </x:c>
      <x:c r="I294" s="97" t="str">
        <x:v>spouse of Hubbard Stone Lee Sr; included to show cousin parentage | Confidence: high. | Supporting spouse only; not independently expanded</x:v>
      </x:c>
      <x:c r="J294" s="97" t="str"/>
      <x:c r="K294" s="97" t="str">
        <x:v>F141</x:v>
      </x:c>
    </x:row>
    <x:row r="295">
      <x:c r="A295" s="97" t="str">
        <x:v>I317</x:v>
      </x:c>
      <x:c r="B295" s="97" t="str">
        <x:v>Hubbard Stone Lee Jr</x:v>
      </x:c>
      <x:c r="C295" s="97" t="str">
        <x:v>U</x:v>
      </x:c>
      <x:c r="D295" s="97" t="str">
        <x:v>17 DEC 1918; Highland Park, Wayne, Michigan</x:v>
      </x:c>
      <x:c r="E295" s="97" t="str">
        <x:v>11 MAR 1986; Madison Heights, Oakland, Michigan</x:v>
      </x:c>
      <x:c r="F295" s="97" t="str"/>
      <x:c r="G295" s="97" t="str">
        <x:v>HSLJR-1918</x:v>
      </x:c>
      <x:c r="H295" s="97" t="str">
        <x:v>S27</x:v>
      </x:c>
      <x:c r="I295" s="97" t="str">
        <x:v>first cousin of Arthur John Muller; first cousin once removed of Jan; maternal first cousin twice removed of owner | Confidence: high. | Only documented child in the 1920-1940 household sequence; draft and death indexes provide exact dates; no spouse or descendants developed</x:v>
      </x:c>
      <x:c r="J295" s="97" t="str">
        <x:v>F141</x:v>
      </x:c>
      <x:c r="K295" s="97" t="str"/>
    </x:row>
    <x:row r="296">
      <x:c r="A296" s="97" t="str">
        <x:v>I320</x:v>
      </x:c>
      <x:c r="B296" s="97" t="str">
        <x:v>Martha M McCormick Macdonald</x:v>
      </x:c>
      <x:c r="C296" s="97" t="str">
        <x:v>F</x:v>
      </x:c>
      <x:c r="D296" s="97" t="str">
        <x:v>15 JAN 1900; Kentucky</x:v>
      </x:c>
      <x:c r="E296" s="97" t="str">
        <x:v>JUN 1993; New Jersey</x:v>
      </x:c>
      <x:c r="F296" s="97" t="str"/>
      <x:c r="G296" s="97" t="str">
        <x:v>MMMAC-1900</x:v>
      </x:c>
      <x:c r="H296" s="97" t="str">
        <x:v>S27</x:v>
      </x:c>
      <x:c r="I296" s="97" t="str">
        <x:v>full sister of Charles Ellsworth McCormick; paternal aunt of Anne Rives McCormick; maternal great-great-grandaunt of owner | Confidence: high. | 1900/1910/1930 censuses and SSA identify her; 1950 household documents two children and research stops with them</x:v>
      </x:c>
      <x:c r="J296" s="97" t="str">
        <x:v>F060</x:v>
      </x:c>
      <x:c r="K296" s="97" t="str">
        <x:v>F142</x:v>
      </x:c>
    </x:row>
    <x:row r="297">
      <x:c r="A297" s="97" t="str">
        <x:v>I321</x:v>
      </x:c>
      <x:c r="B297" s="97" t="str">
        <x:v>John R Macdonald</x:v>
      </x:c>
      <x:c r="C297" s="97" t="str">
        <x:v>M</x:v>
      </x:c>
      <x:c r="D297" s="97" t="str">
        <x:v>As reported: about 1906-1907</x:v>
      </x:c>
      <x:c r="E297" s="97" t="str"/>
      <x:c r="F297" s="97" t="str"/>
      <x:c r="G297" s="97" t="str">
        <x:v>JRMAC-1906</x:v>
      </x:c>
      <x:c r="H297" s="97" t="str">
        <x:v>S27</x:v>
      </x:c>
      <x:c r="I297" s="97" t="str">
        <x:v>spouse of Martha M McCormick; included to show cousin parentage | Confidence: high. | Supporting spouse only; 1950 census</x:v>
      </x:c>
      <x:c r="J297" s="97" t="str"/>
      <x:c r="K297" s="97" t="str">
        <x:v>F142</x:v>
      </x:c>
    </x:row>
    <x:row r="298">
      <x:c r="A298" s="97" t="str">
        <x:v>I322</x:v>
      </x:c>
      <x:c r="B298" s="97" t="str">
        <x:v>James D Macdonald</x:v>
      </x:c>
      <x:c r="C298" s="97" t="str">
        <x:v>U</x:v>
      </x:c>
      <x:c r="D298" s="97" t="str">
        <x:v>As reported: about 1940-1941</x:v>
      </x:c>
      <x:c r="E298" s="97" t="str"/>
      <x:c r="F298" s="97" t="str"/>
      <x:c r="G298" s="97" t="str">
        <x:v>JDMAC-1940</x:v>
      </x:c>
      <x:c r="H298" s="97" t="str">
        <x:v>S27</x:v>
      </x:c>
      <x:c r="I298" s="97" t="str">
        <x:v>first cousin of Anne Rives McCormick; first cousin once removed of Jan; maternal first cousin twice removed of owner | Confidence: high. | 1950 census proves parentage; living status unverified and no spouse or descendants developed</x:v>
      </x:c>
      <x:c r="J298" s="97" t="str">
        <x:v>F142</x:v>
      </x:c>
      <x:c r="K298" s="97" t="str"/>
    </x:row>
    <x:row r="299">
      <x:c r="A299" s="97" t="str">
        <x:v>I323</x:v>
      </x:c>
      <x:c r="B299" s="97" t="str">
        <x:v>Jean Ruth Macdonald</x:v>
      </x:c>
      <x:c r="C299" s="97" t="str">
        <x:v>U</x:v>
      </x:c>
      <x:c r="D299" s="97" t="str">
        <x:v>As reported: about 1944-1945</x:v>
      </x:c>
      <x:c r="E299" s="97" t="str"/>
      <x:c r="F299" s="97" t="str"/>
      <x:c r="G299" s="97" t="str">
        <x:v>JRMAC-1944</x:v>
      </x:c>
      <x:c r="H299" s="97" t="str">
        <x:v>S27</x:v>
      </x:c>
      <x:c r="I299" s="97" t="str">
        <x:v>first cousin of Anne Rives McCormick; first cousin once removed of Jan; maternal first cousin twice removed of owner | Confidence: high. | 1950 census proves parentage; living status unverified and no spouse or descendants developed</x:v>
      </x:c>
      <x:c r="J299" s="97" t="str">
        <x:v>F142</x:v>
      </x:c>
      <x:c r="K299" s="97" t="str"/>
    </x:row>
    <x:row r="300">
      <x:c r="A300" s="97" t="str">
        <x:v>I324</x:v>
      </x:c>
      <x:c r="B300" s="97" t="str">
        <x:v>Ruth B McCormick Reese</x:v>
      </x:c>
      <x:c r="C300" s="97" t="str">
        <x:v>U</x:v>
      </x:c>
      <x:c r="D300" s="97" t="str">
        <x:v>15 OCT 1906; Bullitt County, Kentucky</x:v>
      </x:c>
      <x:c r="E300" s="97" t="str">
        <x:v>13 OCT 1977; Jefferson County, Kentucky</x:v>
      </x:c>
      <x:c r="F300" s="97" t="str"/>
      <x:c r="G300" s="97" t="str">
        <x:v>RBR-1906</x:v>
      </x:c>
      <x:c r="H300" s="97" t="str">
        <x:v>S27</x:v>
      </x:c>
      <x:c r="I300" s="97" t="str">
        <x:v>full sister of Charles Ellsworth McCormick; paternal aunt of Anne Rives McCormick; maternal great-great-grandaunt of owner | Confidence: high. | Original birth record proves parents; 1940 and 1950 households identify husband Walter Reese but no child, so no cousin child is accepted</x:v>
      </x:c>
      <x:c r="J300" s="97" t="str">
        <x:v>F060</x:v>
      </x:c>
      <x:c r="K300" s="97" t="str"/>
    </x:row>
    <x:row r="301">
      <x:c r="A301" s="97" t="str">
        <x:v>I327</x:v>
      </x:c>
      <x:c r="B301" s="97" t="str">
        <x:v>Sarah Slaughter Lazenby</x:v>
      </x:c>
      <x:c r="C301" s="97" t="str">
        <x:v>U</x:v>
      </x:c>
      <x:c r="D301" s="97" t="str">
        <x:v>7 JUL 1899; Alabama</x:v>
      </x:c>
      <x:c r="E301" s="97" t="str">
        <x:v>DEC 1981; Monroeville, Monroe, Alabama</x:v>
      </x:c>
      <x:c r="F301" s="97" t="str"/>
      <x:c r="G301" s="97" t="str">
        <x:v>SSL-1899</x:v>
      </x:c>
      <x:c r="H301" s="97" t="str">
        <x:v>S27</x:v>
      </x:c>
      <x:c r="I301" s="97" t="str">
        <x:v>full sister of Eloise Alcyone Slaughter; maternal aunt of Anne Rives McCormick; maternal great-great-grandaunt of owner | Confidence: high. | Married Harry L Lazenby in June 1922; no child appears in the 1930 household or is securely identified later</x:v>
      </x:c>
      <x:c r="J301" s="97" t="str">
        <x:v>F069</x:v>
      </x:c>
      <x:c r="K301" s="97" t="str"/>
    </x:row>
    <x:row r="302">
      <x:c r="A302" s="97" t="str">
        <x:v>I328</x:v>
      </x:c>
      <x:c r="B302" s="97" t="str">
        <x:v>Irene Williams Slaughter Cooke</x:v>
      </x:c>
      <x:c r="C302" s="97" t="str">
        <x:v>U</x:v>
      </x:c>
      <x:c r="D302" s="97" t="str">
        <x:v>11 APR 1901; Alabama</x:v>
      </x:c>
      <x:c r="E302" s="97" t="str">
        <x:v>25 JAN 1973; McAllen, Hidalgo, Texas</x:v>
      </x:c>
      <x:c r="F302" s="97" t="str"/>
      <x:c r="G302" s="97" t="str">
        <x:v>IWSC-1901</x:v>
      </x:c>
      <x:c r="H302" s="97" t="str">
        <x:v>S27</x:v>
      </x:c>
      <x:c r="I302" s="97" t="str">
        <x:v>full sister of Eloise Alcyone Slaughter; maternal aunt of Anne Rives McCormick; maternal great-great-grandaunt of owner | Confidence: high. | Married William R Cooke in 1927; separated and alone in the 1950 household; no child is accepted</x:v>
      </x:c>
      <x:c r="J302" s="97" t="str">
        <x:v>F069</x:v>
      </x:c>
      <x:c r="K302" s="97" t="str"/>
    </x:row>
    <x:row r="303">
      <x:c r="A303" s="97" t="str">
        <x:v>I329</x:v>
      </x:c>
      <x:c r="B303" s="97" t="str">
        <x:v>Isaac Bush Slaughter Jr</x:v>
      </x:c>
      <x:c r="C303" s="97" t="str">
        <x:v>M</x:v>
      </x:c>
      <x:c r="D303" s="97" t="str">
        <x:v>3 APR 1907; Monroeville, Monroe, Alabama</x:v>
      </x:c>
      <x:c r="E303" s="97" t="str">
        <x:v>11 OCT 1973; McAllen, Hidalgo, Texas</x:v>
      </x:c>
      <x:c r="F303" s="97" t="str"/>
      <x:c r="G303" s="97" t="str">
        <x:v>IBSJ-1907</x:v>
      </x:c>
      <x:c r="H303" s="97" t="str">
        <x:v>S27</x:v>
      </x:c>
      <x:c r="I303" s="97" t="str">
        <x:v>full brother of Eloise Alcyone Slaughter; maternal uncle of Anne Rives McCormick; maternal great-great-granduncle of owner | Confidence: high. | Original Texas death certificate and censuses prove identity; one documented daughter is included</x:v>
      </x:c>
      <x:c r="J303" s="97" t="str">
        <x:v>F069</x:v>
      </x:c>
      <x:c r="K303" s="97" t="str">
        <x:v>F143</x:v>
      </x:c>
    </x:row>
    <x:row r="304">
      <x:c r="A304" s="97" t="str">
        <x:v>I330</x:v>
      </x:c>
      <x:c r="B304" s="97" t="str">
        <x:v>Mae Belle Watson Slaughter</x:v>
      </x:c>
      <x:c r="C304" s="97" t="str">
        <x:v>F</x:v>
      </x:c>
      <x:c r="D304" s="97" t="str">
        <x:v>As reported: about 1912-1913</x:v>
      </x:c>
      <x:c r="E304" s="97" t="str"/>
      <x:c r="F304" s="97" t="str"/>
      <x:c r="G304" s="97" t="str">
        <x:v>MBWS-1912</x:v>
      </x:c>
      <x:c r="H304" s="97" t="str">
        <x:v>S27</x:v>
      </x:c>
      <x:c r="I304" s="97" t="str">
        <x:v>spouse of Isaac Bush Slaughter Jr; included to show cousin parentage | Confidence: high. | Supporting spouse only; 1940 census and husband's death certificate</x:v>
      </x:c>
      <x:c r="J304" s="97" t="str"/>
      <x:c r="K304" s="97" t="str">
        <x:v>F143</x:v>
      </x:c>
    </x:row>
    <x:row r="305">
      <x:c r="A305" s="97" t="str">
        <x:v>I331</x:v>
      </x:c>
      <x:c r="B305" s="97" t="str">
        <x:v>Agnes Slaughter</x:v>
      </x:c>
      <x:c r="C305" s="97" t="str">
        <x:v>U</x:v>
      </x:c>
      <x:c r="D305" s="97" t="str">
        <x:v>As reported: about 1932-1933; Texas</x:v>
      </x:c>
      <x:c r="E305" s="97" t="str"/>
      <x:c r="F305" s="97" t="str"/>
      <x:c r="G305" s="97" t="str">
        <x:v>AS-1932</x:v>
      </x:c>
      <x:c r="H305" s="97" t="str">
        <x:v>S27</x:v>
      </x:c>
      <x:c r="I305" s="97" t="str">
        <x:v>first cousin of Anne Rives McCormick; first cousin once removed of Jan; maternal first cousin twice removed of owner | Confidence: high. | 1940 census proves parentage; no later spouse or descendants developed</x:v>
      </x:c>
      <x:c r="J305" s="97" t="str">
        <x:v>F143</x:v>
      </x:c>
      <x:c r="K305" s="97" t="str"/>
    </x:row>
    <x:row r="306">
      <x:c r="A306" s="97" t="str">
        <x:v>I332</x:v>
      </x:c>
      <x:c r="B306" s="97" t="str">
        <x:v>Hundley Agee Slaughter</x:v>
      </x:c>
      <x:c r="C306" s="97" t="str">
        <x:v>U</x:v>
      </x:c>
      <x:c r="D306" s="97" t="str">
        <x:v>ABT 1910; Alabama</x:v>
      </x:c>
      <x:c r="E306" s="97" t="str"/>
      <x:c r="F306" s="97" t="str"/>
      <x:c r="G306" s="97" t="str">
        <x:v>HAS-1910</x:v>
      </x:c>
      <x:c r="H306" s="97" t="str">
        <x:v>S27</x:v>
      </x:c>
      <x:c r="I306" s="97" t="str">
        <x:v>full brother of Eloise Alcyone Slaughter; maternal uncle of Anne Rives McCormick; maternal great-great-granduncle of owner | Confidence: high for sibling identity; later family unresolved. | 1910-1930 census sequence proves identity and parentage; later same-name results were not accepted</x:v>
      </x:c>
      <x:c r="J306" s="97" t="str">
        <x:v>F069</x:v>
      </x:c>
      <x:c r="K306" s="97" t="str"/>
    </x:row>
    <x:row r="307">
      <x:c r="A307" s="97" t="str">
        <x:v>I333</x:v>
      </x:c>
      <x:c r="B307" s="97" t="str">
        <x:v>Frank Rives Slaughter</x:v>
      </x:c>
      <x:c r="C307" s="97" t="str">
        <x:v>U</x:v>
      </x:c>
      <x:c r="D307" s="97" t="str">
        <x:v>20 NOV 1912; Monroeville, Monroe, Alabama</x:v>
      </x:c>
      <x:c r="E307" s="97" t="str">
        <x:v>27 JAN 1986; Baltimore County, Maryland</x:v>
      </x:c>
      <x:c r="F307" s="97" t="str"/>
      <x:c r="G307" s="97" t="str">
        <x:v>FRS-1912</x:v>
      </x:c>
      <x:c r="H307" s="97" t="str">
        <x:v>S27</x:v>
      </x:c>
      <x:c r="I307" s="97" t="str">
        <x:v>full brother of Eloise Alcyone Slaughter; maternal uncle of Anne Rives McCormick; maternal great-great-granduncle of owner | Confidence: high for identity and birth; moderate-high for death. | 1920/1930 censuses and draft registration prove identity; cemetery index supplies death; no spouse or child accepted</x:v>
      </x:c>
      <x:c r="J307" s="97" t="str">
        <x:v>F069</x:v>
      </x:c>
      <x:c r="K307" s="97" t="str"/>
    </x:row>
    <x:row r="308">
      <x:c r="A308" s="97" t="str">
        <x:v>I334</x:v>
      </x:c>
      <x:c r="B308" s="97" t="str">
        <x:v>Mary Alice Thoren</x:v>
      </x:c>
      <x:c r="C308" s="97" t="str">
        <x:v>F</x:v>
      </x:c>
      <x:c r="D308" s="97" t="str">
        <x:v>Port Townsend, Jefferson, Washington</x:v>
      </x:c>
      <x:c r="E308" s="97" t="str"/>
      <x:c r="F308" s="97" t="str"/>
      <x:c r="G308" s="97" t="str">
        <x:v>OWNER-MARY-ALICE</x:v>
      </x:c>
      <x:c r="H308" s="97" t="str">
        <x:v>S28;S31;S32</x:v>
      </x:c>
      <x:c r="I308" s="97" t="str">
        <x:v>Owner-confirmed biological mother of Chris Vollmer and first wife of Henry Richard Vollmer, before Jan Muller Vollmer. Henry and Mary Alice are Chris's biological parents. | Owner-confirmed birthplace: Port Townsend, Washington. Exact birth date omitted for privacy. | The 1950 census identifies her as the daughter of William J. Thoren and Alice Gallaher Thoren. | Potentially living; details are minimized.</x:v>
      </x:c>
      <x:c r="J308" s="97" t="str">
        <x:v>F145</x:v>
      </x:c>
      <x:c r="K308" s="97" t="str">
        <x:v>F144</x:v>
      </x:c>
    </x:row>
    <x:row r="309">
      <x:c r="A309" s="97" t="str">
        <x:v>I335</x:v>
      </x:c>
      <x:c r="B309" s="97" t="str">
        <x:v>Chris Vollmer</x:v>
      </x:c>
      <x:c r="C309" s="97" t="str">
        <x:v>U</x:v>
      </x:c>
      <x:c r="D309" s="97" t="str"/>
      <x:c r="E309" s="97" t="str"/>
      <x:c r="F309" s="97" t="str"/>
      <x:c r="G309" s="97" t="str">
        <x:v>OWNER-CHRIS-VOLLMER</x:v>
      </x:c>
      <x:c r="H309" s="97" t="str">
        <x:v>S28;S47</x:v>
      </x:c>
      <x:c r="I309" s="97" t="str">
        <x:v>Owner-confirmed son of Henry Richard Vollmer and Mary Alice Thoren, stepchild of Jan Muller Vollmer, and paternal half-brother of Fredric Muller Vollmer.</x:v>
      </x:c>
      <x:c r="J309" s="97" t="str">
        <x:v>F144</x:v>
      </x:c>
      <x:c r="K309" s="97" t="str"/>
    </x:row>
    <x:row r="310">
      <x:c r="A310" s="97" t="str">
        <x:v>I336</x:v>
      </x:c>
      <x:c r="B310" s="97" t="str">
        <x:v>William John Thoren</x:v>
      </x:c>
      <x:c r="C310" s="97" t="str">
        <x:v>M</x:v>
      </x:c>
      <x:c r="D310" s="97" t="str">
        <x:v>19 JUL 1901; Great Falls, Cascade, Montana</x:v>
      </x:c>
      <x:c r="E310" s="97" t="str">
        <x:v>26 OCT 1991; Washington</x:v>
      </x:c>
      <x:c r="F310" s="97" t="str"/>
      <x:c r="G310" s="97" t="str">
        <x:v>OWNER-WILLIAM-J-THOREN</x:v>
      </x:c>
      <x:c r="H310" s="97" t="str">
        <x:v>S28;S32;S33;S34</x:v>
      </x:c>
      <x:c r="I310" s="97" t="str">
        <x:v>Called Bill in family memory. The 1910 census places him in Christian and Augusta Thoren's household; later records use William J. or William John.</x:v>
      </x:c>
      <x:c r="J310" s="97" t="str">
        <x:v>F146</x:v>
      </x:c>
      <x:c r="K310" s="97" t="str">
        <x:v>F145</x:v>
      </x:c>
    </x:row>
    <x:row r="311">
      <x:c r="A311" s="97" t="str">
        <x:v>I337</x:v>
      </x:c>
      <x:c r="B311" s="97" t="str">
        <x:v>Alice Gallaher</x:v>
      </x:c>
      <x:c r="C311" s="97" t="str">
        <x:v>F</x:v>
      </x:c>
      <x:c r="D311" s="97" t="str">
        <x:v>27 APR 1902; Alaska</x:v>
      </x:c>
      <x:c r="E311" s="97" t="str">
        <x:v>23 AUG 1978; Ocean Park, Pacific, Washington</x:v>
      </x:c>
      <x:c r="F311" s="97" t="str"/>
      <x:c r="G311" s="97" t="str">
        <x:v>RECORD-ALICE-GALLAHER-THOREN</x:v>
      </x:c>
      <x:c r="H311" s="97" t="str">
        <x:v>S32;S33;S35</x:v>
      </x:c>
      <x:c r="I311" s="97" t="str">
        <x:v>The 1950 census identifies her as Mary Alice's mother; her 1929 marriage record supplies the maiden surname Gallaher. Her parents remain unproved.</x:v>
      </x:c>
      <x:c r="J311" s="97" t="str"/>
      <x:c r="K311" s="97" t="str">
        <x:v>F145</x:v>
      </x:c>
    </x:row>
    <x:row r="312">
      <x:c r="A312" s="97" t="str">
        <x:v>I338</x:v>
      </x:c>
      <x:c r="B312" s="97" t="str">
        <x:v>Christian Andrew Thoren</x:v>
      </x:c>
      <x:c r="C312" s="97" t="str">
        <x:v>M</x:v>
      </x:c>
      <x:c r="D312" s="97" t="str">
        <x:v>27 JAN 1861; Ignaberga, Kristianstad, Sweden</x:v>
      </x:c>
      <x:c r="E312" s="97" t="str">
        <x:v>9 MAY 1921; Great Falls, Cascade, Montana</x:v>
      </x:c>
      <x:c r="F312" s="97" t="str"/>
      <x:c r="G312" s="97" t="str">
        <x:v>RECORD-CHRISTIAN-ANDREW-THOREN</x:v>
      </x:c>
      <x:c r="H312" s="97" t="str">
        <x:v>S34;S36</x:v>
      </x:c>
      <x:c r="I312" s="97" t="str">
        <x:v>Swedish records use Christian Andersson and Christian Anders Thorén; U.S. records also use Andrew, Christia, and Christison. | A 1900 census estimate of January 1862 conflicts with the 27 January 1861 indexed Swedish birth and is retained only as a record variation. | The Montana death index misassigns his wife Augusta Nelson as his mother; the Swedish birth record identifies Anders Troedsson and Kjersti Månsdotter as his parents.</x:v>
      </x:c>
      <x:c r="J312" s="97" t="str">
        <x:v>F147</x:v>
      </x:c>
      <x:c r="K312" s="97" t="str">
        <x:v>F146</x:v>
      </x:c>
    </x:row>
    <x:row r="313">
      <x:c r="A313" s="97" t="str">
        <x:v>I339</x:v>
      </x:c>
      <x:c r="B313" s="97" t="str">
        <x:v>Augusta Nilsdotter</x:v>
      </x:c>
      <x:c r="C313" s="97" t="str">
        <x:v>F</x:v>
      </x:c>
      <x:c r="D313" s="97" t="str">
        <x:v>30 NOV 1860; Hjärnarp, Kristianstad, Sweden</x:v>
      </x:c>
      <x:c r="E313" s="97" t="str">
        <x:v>4 DEC 1913; Great Falls, Cascade, Montana</x:v>
      </x:c>
      <x:c r="F313" s="97" t="str"/>
      <x:c r="G313" s="97" t="str">
        <x:v>RECORD-AUGUSTA-NILSDOTTER-THOREN</x:v>
      </x:c>
      <x:c r="H313" s="97" t="str">
        <x:v>S34;S37</x:v>
      </x:c>
      <x:c r="I313" s="97" t="str">
        <x:v>The Swedish household record uses the patronymic Nilsdotter; an indexed baptism uses Svensson, and U.S. records use Nilson, Nelson, and Thoren. | A 1900 census estimate of November 1861 conflicts with the 30 November 1860 Swedish birth and baptism records.</x:v>
      </x:c>
      <x:c r="J313" s="97" t="str">
        <x:v>F149</x:v>
      </x:c>
      <x:c r="K313" s="97" t="str">
        <x:v>F146</x:v>
      </x:c>
    </x:row>
    <x:row r="314">
      <x:c r="A314" s="97" t="str">
        <x:v>I340</x:v>
      </x:c>
      <x:c r="B314" s="97" t="str">
        <x:v>Anders Troedsson</x:v>
      </x:c>
      <x:c r="C314" s="97" t="str">
        <x:v>M</x:v>
      </x:c>
      <x:c r="D314" s="97" t="str">
        <x:v>2 MAY 1824; Norra Sandby, Kristianstad, Sweden</x:v>
      </x:c>
      <x:c r="E314" s="97" t="str"/>
      <x:c r="F314" s="97" t="str"/>
      <x:c r="G314" s="97" t="str">
        <x:v>RECORD-ANDERS-TROEDSSON</x:v>
      </x:c>
      <x:c r="H314" s="97" t="str">
        <x:v>S38</x:v>
      </x:c>
      <x:c r="I314" s="97" t="str">
        <x:v>Household surveys link him first to parents Trued Andersson and Bortha Nilsdotter and later to wife Kjersti Månsdotter and son Christian.</x:v>
      </x:c>
      <x:c r="J314" s="97" t="str">
        <x:v>F148</x:v>
      </x:c>
      <x:c r="K314" s="97" t="str">
        <x:v>F147</x:v>
      </x:c>
    </x:row>
    <x:row r="315">
      <x:c r="A315" s="97" t="str">
        <x:v>I341</x:v>
      </x:c>
      <x:c r="B315" s="97" t="str">
        <x:v>Kjersti Månsdotter</x:v>
      </x:c>
      <x:c r="C315" s="97" t="str">
        <x:v>F</x:v>
      </x:c>
      <x:c r="D315" s="97" t="str">
        <x:v>31 OCT 1825; Mellby, Kristianstad, Sweden</x:v>
      </x:c>
      <x:c r="E315" s="97" t="str"/>
      <x:c r="F315" s="97" t="str"/>
      <x:c r="G315" s="97" t="str">
        <x:v>RECORD-KJERSTI-MANSDOTTER</x:v>
      </x:c>
      <x:c r="H315" s="97" t="str">
        <x:v>S38</x:v>
      </x:c>
      <x:c r="I315" s="97" t="str">
        <x:v>The reviewed household survey establishes her as Christian's mother; no parent-naming birth or baptism record was located.</x:v>
      </x:c>
      <x:c r="J315" s="97" t="str"/>
      <x:c r="K315" s="97" t="str">
        <x:v>F147</x:v>
      </x:c>
    </x:row>
    <x:row r="316">
      <x:c r="A316" s="97" t="str">
        <x:v>I342</x:v>
      </x:c>
      <x:c r="B316" s="97" t="str">
        <x:v>Trued Andersson</x:v>
      </x:c>
      <x:c r="C316" s="97" t="str">
        <x:v>M</x:v>
      </x:c>
      <x:c r="D316" s="97" t="str">
        <x:v>25 APR 1792; Norra Sandby, Kristianstad, Sweden</x:v>
      </x:c>
      <x:c r="E316" s="97" t="str"/>
      <x:c r="F316" s="97" t="str"/>
      <x:c r="G316" s="97" t="str">
        <x:v>RECORD-TRUED-ANDERSSON</x:v>
      </x:c>
      <x:c r="H316" s="97" t="str">
        <x:v>S38</x:v>
      </x:c>
      <x:c r="I316" s="97" t="str"/>
      <x:c r="J316" s="97" t="str"/>
      <x:c r="K316" s="97" t="str">
        <x:v>F148</x:v>
      </x:c>
    </x:row>
    <x:row r="317">
      <x:c r="A317" s="97" t="str">
        <x:v>I343</x:v>
      </x:c>
      <x:c r="B317" s="97" t="str">
        <x:v>Bortha Nilsdotter</x:v>
      </x:c>
      <x:c r="C317" s="97" t="str">
        <x:v>F</x:v>
      </x:c>
      <x:c r="D317" s="97" t="str">
        <x:v>1783; Gumlösa, Kristianstad, Sweden</x:v>
      </x:c>
      <x:c r="E317" s="97" t="str"/>
      <x:c r="F317" s="97" t="str"/>
      <x:c r="G317" s="97" t="str">
        <x:v>RECORD-BORTHA-NILSDOTTER</x:v>
      </x:c>
      <x:c r="H317" s="97" t="str">
        <x:v>S38</x:v>
      </x:c>
      <x:c r="I317" s="97" t="str">
        <x:v>No parent-naming baptism record was located; same-name baptism hints from other parishes were rejected.</x:v>
      </x:c>
      <x:c r="J317" s="97" t="str"/>
      <x:c r="K317" s="97" t="str">
        <x:v>F148</x:v>
      </x:c>
    </x:row>
    <x:row r="318">
      <x:c r="A318" s="97" t="str">
        <x:v>I344</x:v>
      </x:c>
      <x:c r="B318" s="97" t="str">
        <x:v>Nils Svensson</x:v>
      </x:c>
      <x:c r="C318" s="97" t="str">
        <x:v>M</x:v>
      </x:c>
      <x:c r="D318" s="97" t="str">
        <x:v>3 MAY 1825; Ränneslöv, Halland, Sweden</x:v>
      </x:c>
      <x:c r="E318" s="97" t="str"/>
      <x:c r="F318" s="97" t="str"/>
      <x:c r="G318" s="97" t="str">
        <x:v>RECORD-NILS-SVENSSON</x:v>
      </x:c>
      <x:c r="H318" s="97" t="str">
        <x:v>S39;S40</x:v>
      </x:c>
      <x:c r="I318" s="97" t="str">
        <x:v>His baptism names Gunnilla Nilsdotter as mother but does not name a father; the unknown father remains blank despite the patronymic Svensson.</x:v>
      </x:c>
      <x:c r="J318" s="97" t="str">
        <x:v>F150</x:v>
      </x:c>
      <x:c r="K318" s="97" t="str">
        <x:v>F149</x:v>
      </x:c>
    </x:row>
    <x:row r="319">
      <x:c r="A319" s="97" t="str">
        <x:v>I345</x:v>
      </x:c>
      <x:c r="B319" s="97" t="str">
        <x:v>Christina Persdotter</x:v>
      </x:c>
      <x:c r="C319" s="97" t="str">
        <x:v>F</x:v>
      </x:c>
      <x:c r="D319" s="97" t="str">
        <x:v>24 JAN 1823; Hasslöv, Halland, Sweden</x:v>
      </x:c>
      <x:c r="E319" s="97" t="str"/>
      <x:c r="F319" s="97" t="str"/>
      <x:c r="G319" s="97" t="str">
        <x:v>RECORD-CHRISTINA-PERSDOTTER</x:v>
      </x:c>
      <x:c r="H319" s="97" t="str">
        <x:v>S39;S42</x:v>
      </x:c>
      <x:c r="I319" s="97" t="str">
        <x:v>Indexed records also use Kristina Persdotter and Stina Parsdotter.</x:v>
      </x:c>
      <x:c r="J319" s="97" t="str">
        <x:v>F152</x:v>
      </x:c>
      <x:c r="K319" s="97" t="str">
        <x:v>F149</x:v>
      </x:c>
    </x:row>
    <x:row r="320">
      <x:c r="A320" s="97" t="str">
        <x:v>I346</x:v>
      </x:c>
      <x:c r="B320" s="97" t="str">
        <x:v>Gunnilla Nilsdotter</x:v>
      </x:c>
      <x:c r="C320" s="97" t="str">
        <x:v>F</x:v>
      </x:c>
      <x:c r="D320" s="97" t="str">
        <x:v>20 SEP 1796; Ränneslöv, Halland, Sweden</x:v>
      </x:c>
      <x:c r="E320" s="97" t="str"/>
      <x:c r="F320" s="97" t="str"/>
      <x:c r="G320" s="97" t="str">
        <x:v>RECORD-GUNNILLA-NILSDOTTER</x:v>
      </x:c>
      <x:c r="H320" s="97" t="str">
        <x:v>S40;S41</x:v>
      </x:c>
      <x:c r="I320" s="97" t="str">
        <x:v>Indexed records also use Gunla Nilsdotter. She is the only parent named in Nils Svensson's baptism.</x:v>
      </x:c>
      <x:c r="J320" s="97" t="str">
        <x:v>F151</x:v>
      </x:c>
      <x:c r="K320" s="97" t="str">
        <x:v>F150</x:v>
      </x:c>
    </x:row>
    <x:row r="321">
      <x:c r="A321" s="97" t="str">
        <x:v>I347</x:v>
      </x:c>
      <x:c r="B321" s="97" t="str">
        <x:v>Nils Johansson</x:v>
      </x:c>
      <x:c r="C321" s="97" t="str">
        <x:v>M</x:v>
      </x:c>
      <x:c r="D321" s="97" t="str"/>
      <x:c r="E321" s="97" t="str"/>
      <x:c r="F321" s="97" t="str"/>
      <x:c r="G321" s="97" t="str">
        <x:v>RECORD-NILS-JOHANSSON</x:v>
      </x:c>
      <x:c r="H321" s="97" t="str">
        <x:v>S41</x:v>
      </x:c>
      <x:c r="I321" s="97" t="str">
        <x:v>Named as Gunnilla Nilsdotter's father in her 1796 baptism; no further identity was proved.</x:v>
      </x:c>
      <x:c r="J321" s="97" t="str"/>
      <x:c r="K321" s="97" t="str">
        <x:v>F151</x:v>
      </x:c>
    </x:row>
    <x:row r="322">
      <x:c r="A322" s="97" t="str">
        <x:v>I348</x:v>
      </x:c>
      <x:c r="B322" s="97" t="str">
        <x:v>Elna Nilsdotter</x:v>
      </x:c>
      <x:c r="C322" s="97" t="str">
        <x:v>F</x:v>
      </x:c>
      <x:c r="D322" s="97" t="str"/>
      <x:c r="E322" s="97" t="str"/>
      <x:c r="F322" s="97" t="str"/>
      <x:c r="G322" s="97" t="str">
        <x:v>RECORD-ELNA-NILSDOTTER</x:v>
      </x:c>
      <x:c r="H322" s="97" t="str">
        <x:v>S41</x:v>
      </x:c>
      <x:c r="I322" s="97" t="str">
        <x:v>Named as Gunnilla Nilsdotter's mother in her 1796 baptism; no further identity was proved.</x:v>
      </x:c>
      <x:c r="J322" s="97" t="str"/>
      <x:c r="K322" s="97" t="str">
        <x:v>F151</x:v>
      </x:c>
    </x:row>
    <x:row r="323">
      <x:c r="A323" s="97" t="str">
        <x:v>I349</x:v>
      </x:c>
      <x:c r="B323" s="97" t="str">
        <x:v>Pehr Erlandsson</x:v>
      </x:c>
      <x:c r="C323" s="97" t="str">
        <x:v>M</x:v>
      </x:c>
      <x:c r="D323" s="97" t="str">
        <x:v>10 FEB 1790; Hishult, Halland, Sweden</x:v>
      </x:c>
      <x:c r="E323" s="97" t="str"/>
      <x:c r="F323" s="97" t="str"/>
      <x:c r="G323" s="97" t="str">
        <x:v>RECORD-PEHR-ERLANDSSON</x:v>
      </x:c>
      <x:c r="H323" s="97" t="str">
        <x:v>S43;S44</x:v>
      </x:c>
      <x:c r="I323" s="97" t="str">
        <x:v>A household survey reports 10 February 1791; the 1790 baptism is nearer to the event and controls the canonical birth date.</x:v>
      </x:c>
      <x:c r="J323" s="97" t="str">
        <x:v>F153</x:v>
      </x:c>
      <x:c r="K323" s="97" t="str">
        <x:v>F152</x:v>
      </x:c>
    </x:row>
    <x:row r="324">
      <x:c r="A324" s="97" t="str">
        <x:v>I350</x:v>
      </x:c>
      <x:c r="B324" s="97" t="str">
        <x:v>Ingier Hansdotter</x:v>
      </x:c>
      <x:c r="C324" s="97" t="str">
        <x:v>F</x:v>
      </x:c>
      <x:c r="D324" s="97" t="str">
        <x:v>20 MAR 1794; Hasslöv, Halland, Sweden</x:v>
      </x:c>
      <x:c r="E324" s="97" t="str"/>
      <x:c r="F324" s="97" t="str"/>
      <x:c r="G324" s="97" t="str">
        <x:v>RECORD-INGIER-HANSDOTTER</x:v>
      </x:c>
      <x:c r="H324" s="97" t="str">
        <x:v>S43;S45</x:v>
      </x:c>
      <x:c r="I324" s="97" t="str"/>
      <x:c r="J324" s="97" t="str">
        <x:v>F154</x:v>
      </x:c>
      <x:c r="K324" s="97" t="str">
        <x:v>F152</x:v>
      </x:c>
    </x:row>
    <x:row r="325">
      <x:c r="A325" s="97" t="str">
        <x:v>I351</x:v>
      </x:c>
      <x:c r="B325" s="97" t="str">
        <x:v>Erland Pålsson</x:v>
      </x:c>
      <x:c r="C325" s="97" t="str">
        <x:v>M</x:v>
      </x:c>
      <x:c r="D325" s="97" t="str"/>
      <x:c r="E325" s="97" t="str"/>
      <x:c r="F325" s="97" t="str"/>
      <x:c r="G325" s="97" t="str">
        <x:v>RECORD-ERLAND-PALSSON</x:v>
      </x:c>
      <x:c r="H325" s="97" t="str">
        <x:v>S44</x:v>
      </x:c>
      <x:c r="I325" s="97" t="str">
        <x:v>Named as Pehr Erlandsson's father in the 1790 baptism. A possible 1756 Knäred baptism was not linked closely enough to import its parents.</x:v>
      </x:c>
      <x:c r="J325" s="97" t="str"/>
      <x:c r="K325" s="97" t="str">
        <x:v>F153</x:v>
      </x:c>
    </x:row>
    <x:row r="326">
      <x:c r="A326" s="97" t="str">
        <x:v>I352</x:v>
      </x:c>
      <x:c r="B326" s="97" t="str">
        <x:v>Bengta Pehrsdotter</x:v>
      </x:c>
      <x:c r="C326" s="97" t="str">
        <x:v>F</x:v>
      </x:c>
      <x:c r="D326" s="97" t="str"/>
      <x:c r="E326" s="97" t="str"/>
      <x:c r="F326" s="97" t="str"/>
      <x:c r="G326" s="97" t="str">
        <x:v>RECORD-BENGTA-PEHRSDOTTER</x:v>
      </x:c>
      <x:c r="H326" s="97" t="str">
        <x:v>S44</x:v>
      </x:c>
      <x:c r="I326" s="97" t="str">
        <x:v>Named as Pehr Erlandsson's mother in the 1790 baptism. A similar Bengta Persdotter baptism and marriage belonged to another woman and was rejected.</x:v>
      </x:c>
      <x:c r="J326" s="97" t="str"/>
      <x:c r="K326" s="97" t="str">
        <x:v>F153</x:v>
      </x:c>
    </x:row>
    <x:row r="327">
      <x:c r="A327" s="97" t="str">
        <x:v>I353</x:v>
      </x:c>
      <x:c r="B327" s="97" t="str">
        <x:v>Hans Månsson</x:v>
      </x:c>
      <x:c r="C327" s="97" t="str">
        <x:v>M</x:v>
      </x:c>
      <x:c r="D327" s="97" t="str"/>
      <x:c r="E327" s="97" t="str"/>
      <x:c r="F327" s="97" t="str"/>
      <x:c r="G327" s="97" t="str">
        <x:v>RECORD-HANS-MANSSON</x:v>
      </x:c>
      <x:c r="H327" s="97" t="str">
        <x:v>S45</x:v>
      </x:c>
      <x:c r="I327" s="97" t="str">
        <x:v>Named as Ingier Hansdotter's father in her 1794 baptism; no further identity was proved.</x:v>
      </x:c>
      <x:c r="J327" s="97" t="str"/>
      <x:c r="K327" s="97" t="str">
        <x:v>F154</x:v>
      </x:c>
    </x:row>
    <x:row r="328">
      <x:c r="A328" s="97" t="str">
        <x:v>I354</x:v>
      </x:c>
      <x:c r="B328" s="97" t="str">
        <x:v>Maria Hansdotter</x:v>
      </x:c>
      <x:c r="C328" s="97" t="str">
        <x:v>F</x:v>
      </x:c>
      <x:c r="D328" s="97" t="str"/>
      <x:c r="E328" s="97" t="str"/>
      <x:c r="F328" s="97" t="str"/>
      <x:c r="G328" s="97" t="str">
        <x:v>RECORD-MARIA-HANSDOTTER</x:v>
      </x:c>
      <x:c r="H328" s="97" t="str">
        <x:v>S45</x:v>
      </x:c>
      <x:c r="I328" s="97" t="str">
        <x:v>Named as Ingier Hansdotter's mother in her 1794 baptism; no further identity was proved.</x:v>
      </x:c>
      <x:c r="J328" s="97" t="str"/>
      <x:c r="K328" s="97" t="str">
        <x:v>F154</x:v>
      </x:c>
    </x:row>
    <x:row r="329">
      <x:c r="A329" s="97" t="str">
        <x:v>I355</x:v>
      </x:c>
      <x:c r="B329" s="97" t="str">
        <x:v>Peter Vollmer</x:v>
      </x:c>
      <x:c r="C329" s="97" t="str">
        <x:v>M</x:v>
      </x:c>
      <x:c r="D329" s="97" t="str">
        <x:v>29 JUN 1959; Seattle, King, Washington</x:v>
      </x:c>
      <x:c r="E329" s="97" t="str">
        <x:v>5 AUG 1975; Vancouver, Clark, Washington</x:v>
      </x:c>
      <x:c r="F329" s="97" t="str"/>
      <x:c r="G329" s="97" t="str">
        <x:v>OWNER-PETER-VOLLMER</x:v>
      </x:c>
      <x:c r="H329" s="97" t="str">
        <x:v>S47;S46</x:v>
      </x:c>
      <x:c r="I329" s="97" t="str">
        <x:v>Owner-confirmed brother of Chris Vollmer. The indexed obituary names Henry R Vollmer as Peter's father and Christopher as a sibling. | Mary Alice appears only as a potential mother on one duplicate Ancestry profile, so Peter's mother is intentionally left blank. | Vital-date research VD-015 (high confidence): The indexed obituary supplies exact birth and death details, names Henry R Vollmer as father, and names Christopher as a sibling. The owner independently identifies Peter as Chris Vollmer's brother. | Vital-date conflict: The current Ancestry tree contains duplicate Peter/Pete profiles. The sourced Pete profile controls the dates; Mary Alice appears only as a potential mother on that profile and is therefore not assigned as Peter's mother.</x:v>
      </x:c>
      <x:c r="J329" s="97" t="str">
        <x:v>F155</x:v>
      </x:c>
      <x:c r="K329" s="97" t="str"/>
    </x:row>
  </x:sheetData>
  <x:pageMargins left="0.7" right="0.7" top="0.75" bottom="0.75" header="0.3" footer="0.3"/>
  <x:tableParts count="1">
    <x:tablePart xmlns:r="http://schemas.openxmlformats.org/officeDocument/2006/relationships" r:id="R73e067f42a694200"/>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48" hidden="0" customWidth="1"/>
    <x:col min="5" max="5" width="30" hidden="0" customWidth="1"/>
    <x:col min="6" max="6" width="72" hidden="0" customWidth="1"/>
    <x:col min="7" max="7" width="28" hidden="0" customWidth="1"/>
  </x:cols>
  <x:sheetData>
    <x:row r="1" ht="30" customHeight="1">
      <x:c r="A1" s="102" t="str">
        <x:v>family_id</x:v>
      </x:c>
      <x:c r="B1" s="102" t="str">
        <x:v>husband_id</x:v>
      </x:c>
      <x:c r="C1" s="102" t="str">
        <x:v>wife_id</x:v>
      </x:c>
      <x:c r="D1" s="102" t="str">
        <x:v>children_ids</x:v>
      </x:c>
      <x:c r="E1" s="102" t="str">
        <x:v>marriage</x:v>
      </x:c>
      <x:c r="F1" s="102" t="str">
        <x:v>notes</x:v>
      </x:c>
      <x:c r="G1" s="102" t="str">
        <x:v>source_refs</x:v>
      </x:c>
    </x:row>
    <x:row r="2">
      <x:c r="A2" s="97" t="str">
        <x:v>F001</x:v>
      </x:c>
      <x:c r="B2" s="97" t="str">
        <x:v>I003</x:v>
      </x:c>
      <x:c r="C2" s="97" t="str">
        <x:v>I004</x:v>
      </x:c>
      <x:c r="D2" s="97" t="str">
        <x:v>I002;I177</x:v>
      </x:c>
      <x:c r="E2" s="97" t="str"/>
      <x:c r="F2" s="97" t="str">
        <x:v>Collateral relationship merged from the extended-family research package.</x:v>
      </x:c>
      <x:c r="G2" s="97" t="str">
        <x:v>S27</x:v>
      </x:c>
    </x:row>
    <x:row r="3">
      <x:c r="A3" s="97" t="str">
        <x:v>F002</x:v>
      </x:c>
      <x:c r="B3" s="97" t="str">
        <x:v>I005</x:v>
      </x:c>
      <x:c r="C3" s="97" t="str">
        <x:v>I006</x:v>
      </x:c>
      <x:c r="D3" s="97" t="str">
        <x:v>I003;I178;I183</x:v>
      </x:c>
      <x:c r="E3" s="97" t="str"/>
      <x:c r="F3" s="97" t="str">
        <x:v>Children reconstructed from the 1998 Art Muller family chart. | Collateral relationship merged from the extended-family research package.</x:v>
      </x:c>
      <x:c r="G3" s="97" t="str">
        <x:v>S27</x:v>
      </x:c>
    </x:row>
    <x:row r="4">
      <x:c r="A4" s="97" t="str">
        <x:v>F003</x:v>
      </x:c>
      <x:c r="B4" s="97" t="str">
        <x:v>I007</x:v>
      </x:c>
      <x:c r="C4" s="97" t="str">
        <x:v>I008</x:v>
      </x:c>
      <x:c r="D4" s="97" t="str">
        <x:v>I004;I193;I200;I202</x:v>
      </x:c>
      <x:c r="E4" s="97" t="str"/>
      <x:c r="F4" s="97" t="str">
        <x:v>Collateral relationship merged from the extended-family research package. | Four-child McCormick sibling set; Gwen is a core sibling.</x:v>
      </x:c>
      <x:c r="G4" s="97" t="str">
        <x:v>S27</x:v>
      </x:c>
    </x:row>
    <x:row r="5">
      <x:c r="A5" s="97" t="str">
        <x:v>F004</x:v>
      </x:c>
      <x:c r="B5" s="97" t="str">
        <x:v>I009</x:v>
      </x:c>
      <x:c r="C5" s="97" t="str">
        <x:v>I010</x:v>
      </x:c>
      <x:c r="D5" s="97" t="str">
        <x:v>I005;I310;I311</x:v>
      </x:c>
      <x:c r="E5" s="97" t="str"/>
      <x:c r="F5" s="97" t="str">
        <x:v>Collateral relationship merged from the extended-family research package.</x:v>
      </x:c>
      <x:c r="G5" s="97" t="str">
        <x:v>S27</x:v>
      </x:c>
    </x:row>
    <x:row r="6">
      <x:c r="A6" s="97" t="str">
        <x:v>F005</x:v>
      </x:c>
      <x:c r="B6" s="97" t="str">
        <x:v>I013</x:v>
      </x:c>
      <x:c r="C6" s="97" t="str">
        <x:v>I014</x:v>
      </x:c>
      <x:c r="D6" s="97" t="str">
        <x:v>I006;I314;I315</x:v>
      </x:c>
      <x:c r="E6" s="97" t="str"/>
      <x:c r="F6" s="97" t="str">
        <x:v>Collateral relationship merged from the extended-family research package.</x:v>
      </x:c>
      <x:c r="G6" s="97" t="str">
        <x:v>S27</x:v>
      </x:c>
    </x:row>
    <x:row r="7">
      <x:c r="A7" s="97" t="str">
        <x:v>F006</x:v>
      </x:c>
      <x:c r="B7" s="97" t="str">
        <x:v>I017</x:v>
      </x:c>
      <x:c r="C7" s="97" t="str">
        <x:v>I018</x:v>
      </x:c>
      <x:c r="D7" s="97" t="str">
        <x:v>I009</x:v>
      </x:c>
      <x:c r="E7" s="97" t="str"/>
      <x:c r="F7" s="97" t="str"/>
      <x:c r="G7" s="97" t="str"/>
    </x:row>
    <x:row r="8">
      <x:c r="A8" s="97" t="str">
        <x:v>F007</x:v>
      </x:c>
      <x:c r="B8" s="97" t="str">
        <x:v>I019</x:v>
      </x:c>
      <x:c r="C8" s="97" t="str">
        <x:v>I020</x:v>
      </x:c>
      <x:c r="D8" s="97" t="str">
        <x:v>I010</x:v>
      </x:c>
      <x:c r="E8" s="97" t="str"/>
      <x:c r="F8" s="97" t="str"/>
      <x:c r="G8" s="97" t="str"/>
    </x:row>
    <x:row r="9">
      <x:c r="A9" s="97" t="str">
        <x:v>F008</x:v>
      </x:c>
      <x:c r="B9" s="97" t="str">
        <x:v>I021</x:v>
      </x:c>
      <x:c r="C9" s="97" t="str"/>
      <x:c r="D9" s="97" t="str">
        <x:v>I020</x:v>
      </x:c>
      <x:c r="E9" s="97" t="str"/>
      <x:c r="F9" s="97" t="str"/>
      <x:c r="G9" s="97" t="str"/>
    </x:row>
    <x:row r="10">
      <x:c r="A10" s="97" t="str">
        <x:v>F009</x:v>
      </x:c>
      <x:c r="B10" s="97" t="str">
        <x:v>I022</x:v>
      </x:c>
      <x:c r="C10" s="97" t="str">
        <x:v>I023</x:v>
      </x:c>
      <x:c r="D10" s="97" t="str">
        <x:v>I013</x:v>
      </x:c>
      <x:c r="E10" s="97" t="str"/>
      <x:c r="F10" s="97" t="str"/>
      <x:c r="G10" s="97" t="str"/>
    </x:row>
    <x:row r="11">
      <x:c r="A11" s="97" t="str">
        <x:v>F010</x:v>
      </x:c>
      <x:c r="B11" s="97" t="str">
        <x:v>I024</x:v>
      </x:c>
      <x:c r="C11" s="97" t="str">
        <x:v>I025</x:v>
      </x:c>
      <x:c r="D11" s="97" t="str">
        <x:v>I022</x:v>
      </x:c>
      <x:c r="E11" s="97" t="str"/>
      <x:c r="F11" s="97" t="str"/>
      <x:c r="G11" s="97" t="str"/>
    </x:row>
    <x:row r="12">
      <x:c r="A12" s="97" t="str">
        <x:v>F011</x:v>
      </x:c>
      <x:c r="B12" s="97" t="str">
        <x:v>I026</x:v>
      </x:c>
      <x:c r="C12" s="97" t="str">
        <x:v>I027</x:v>
      </x:c>
      <x:c r="D12" s="97" t="str">
        <x:v>I024</x:v>
      </x:c>
      <x:c r="E12" s="97" t="str"/>
      <x:c r="F12" s="97" t="str"/>
      <x:c r="G12" s="97" t="str"/>
    </x:row>
    <x:row r="13">
      <x:c r="A13" s="97" t="str">
        <x:v>F012</x:v>
      </x:c>
      <x:c r="B13" s="97" t="str">
        <x:v>I028</x:v>
      </x:c>
      <x:c r="C13" s="97" t="str">
        <x:v>I029</x:v>
      </x:c>
      <x:c r="D13" s="97" t="str">
        <x:v>I025</x:v>
      </x:c>
      <x:c r="E13" s="97" t="str"/>
      <x:c r="F13" s="97" t="str"/>
      <x:c r="G13" s="97" t="str"/>
    </x:row>
    <x:row r="14">
      <x:c r="A14" s="97" t="str">
        <x:v>F013</x:v>
      </x:c>
      <x:c r="B14" s="97" t="str">
        <x:v>I030</x:v>
      </x:c>
      <x:c r="C14" s="97" t="str">
        <x:v>I031</x:v>
      </x:c>
      <x:c r="D14" s="97" t="str">
        <x:v>I026</x:v>
      </x:c>
      <x:c r="E14" s="97" t="str"/>
      <x:c r="F14" s="97" t="str"/>
      <x:c r="G14" s="97" t="str"/>
    </x:row>
    <x:row r="15">
      <x:c r="A15" s="97" t="str">
        <x:v>F014</x:v>
      </x:c>
      <x:c r="B15" s="97" t="str">
        <x:v>I032</x:v>
      </x:c>
      <x:c r="C15" s="97" t="str">
        <x:v>I033</x:v>
      </x:c>
      <x:c r="D15" s="97" t="str">
        <x:v>I027</x:v>
      </x:c>
      <x:c r="E15" s="97" t="str"/>
      <x:c r="F15" s="97" t="str"/>
      <x:c r="G15" s="97" t="str"/>
    </x:row>
    <x:row r="16">
      <x:c r="A16" s="97" t="str">
        <x:v>F015</x:v>
      </x:c>
      <x:c r="B16" s="97" t="str">
        <x:v>I034</x:v>
      </x:c>
      <x:c r="C16" s="97" t="str">
        <x:v>I035</x:v>
      </x:c>
      <x:c r="D16" s="97" t="str">
        <x:v>I028</x:v>
      </x:c>
      <x:c r="E16" s="97" t="str"/>
      <x:c r="F16" s="97" t="str"/>
      <x:c r="G16" s="97" t="str"/>
    </x:row>
    <x:row r="17">
      <x:c r="A17" s="97" t="str">
        <x:v>F016</x:v>
      </x:c>
      <x:c r="B17" s="97" t="str">
        <x:v>I036</x:v>
      </x:c>
      <x:c r="C17" s="97" t="str">
        <x:v>I037</x:v>
      </x:c>
      <x:c r="D17" s="97" t="str">
        <x:v>I030</x:v>
      </x:c>
      <x:c r="E17" s="97" t="str"/>
      <x:c r="F17" s="97" t="str"/>
      <x:c r="G17" s="97" t="str"/>
    </x:row>
    <x:row r="18">
      <x:c r="A18" s="97" t="str">
        <x:v>F017</x:v>
      </x:c>
      <x:c r="B18" s="97" t="str">
        <x:v>I038</x:v>
      </x:c>
      <x:c r="C18" s="97" t="str"/>
      <x:c r="D18" s="97" t="str">
        <x:v>I031</x:v>
      </x:c>
      <x:c r="E18" s="97" t="str"/>
      <x:c r="F18" s="97" t="str"/>
      <x:c r="G18" s="97" t="str"/>
    </x:row>
    <x:row r="19">
      <x:c r="A19" s="97" t="str">
        <x:v>F018</x:v>
      </x:c>
      <x:c r="B19" s="97" t="str">
        <x:v>I039</x:v>
      </x:c>
      <x:c r="C19" s="97" t="str">
        <x:v>I040</x:v>
      </x:c>
      <x:c r="D19" s="97" t="str">
        <x:v>I032</x:v>
      </x:c>
      <x:c r="E19" s="97" t="str"/>
      <x:c r="F19" s="97" t="str"/>
      <x:c r="G19" s="97" t="str"/>
    </x:row>
    <x:row r="20">
      <x:c r="A20" s="97" t="str">
        <x:v>F019</x:v>
      </x:c>
      <x:c r="B20" s="97" t="str">
        <x:v>I041</x:v>
      </x:c>
      <x:c r="C20" s="97" t="str">
        <x:v>I042</x:v>
      </x:c>
      <x:c r="D20" s="97" t="str">
        <x:v>I034</x:v>
      </x:c>
      <x:c r="E20" s="97" t="str"/>
      <x:c r="F20" s="97" t="str"/>
      <x:c r="G20" s="97" t="str"/>
    </x:row>
    <x:row r="21">
      <x:c r="A21" s="97" t="str">
        <x:v>F020</x:v>
      </x:c>
      <x:c r="B21" s="97" t="str">
        <x:v>I043</x:v>
      </x:c>
      <x:c r="C21" s="97" t="str">
        <x:v>I044</x:v>
      </x:c>
      <x:c r="D21" s="97" t="str">
        <x:v>I035</x:v>
      </x:c>
      <x:c r="E21" s="97" t="str"/>
      <x:c r="F21" s="97" t="str"/>
      <x:c r="G21" s="97" t="str"/>
    </x:row>
    <x:row r="22">
      <x:c r="A22" s="97" t="str">
        <x:v>F021</x:v>
      </x:c>
      <x:c r="B22" s="97" t="str">
        <x:v>I045</x:v>
      </x:c>
      <x:c r="C22" s="97" t="str"/>
      <x:c r="D22" s="97" t="str">
        <x:v>I037</x:v>
      </x:c>
      <x:c r="E22" s="97" t="str"/>
      <x:c r="F22" s="97" t="str"/>
      <x:c r="G22" s="97" t="str"/>
    </x:row>
    <x:row r="23">
      <x:c r="A23" s="97" t="str">
        <x:v>F022</x:v>
      </x:c>
      <x:c r="B23" s="97" t="str">
        <x:v>I046</x:v>
      </x:c>
      <x:c r="C23" s="97" t="str">
        <x:v>I047</x:v>
      </x:c>
      <x:c r="D23" s="97" t="str">
        <x:v>I039</x:v>
      </x:c>
      <x:c r="E23" s="97" t="str"/>
      <x:c r="F23" s="97" t="str"/>
      <x:c r="G23" s="97" t="str"/>
    </x:row>
    <x:row r="24">
      <x:c r="A24" s="97" t="str">
        <x:v>F023</x:v>
      </x:c>
      <x:c r="B24" s="97" t="str">
        <x:v>I048</x:v>
      </x:c>
      <x:c r="C24" s="97" t="str">
        <x:v>I049</x:v>
      </x:c>
      <x:c r="D24" s="97" t="str">
        <x:v>I040</x:v>
      </x:c>
      <x:c r="E24" s="97" t="str"/>
      <x:c r="F24" s="97" t="str"/>
      <x:c r="G24" s="97" t="str"/>
    </x:row>
    <x:row r="25">
      <x:c r="A25" s="97" t="str">
        <x:v>F024</x:v>
      </x:c>
      <x:c r="B25" s="97" t="str">
        <x:v>I050</x:v>
      </x:c>
      <x:c r="C25" s="97" t="str">
        <x:v>I051</x:v>
      </x:c>
      <x:c r="D25" s="97" t="str">
        <x:v>I041</x:v>
      </x:c>
      <x:c r="E25" s="97" t="str"/>
      <x:c r="F25" s="97" t="str"/>
      <x:c r="G25" s="97" t="str"/>
    </x:row>
    <x:row r="26">
      <x:c r="A26" s="97" t="str">
        <x:v>F025</x:v>
      </x:c>
      <x:c r="B26" s="97" t="str">
        <x:v>I052</x:v>
      </x:c>
      <x:c r="C26" s="97" t="str"/>
      <x:c r="D26" s="97" t="str">
        <x:v>I042</x:v>
      </x:c>
      <x:c r="E26" s="97" t="str"/>
      <x:c r="F26" s="97" t="str"/>
      <x:c r="G26" s="97" t="str"/>
    </x:row>
    <x:row r="27">
      <x:c r="A27" s="97" t="str">
        <x:v>F026</x:v>
      </x:c>
      <x:c r="B27" s="97" t="str">
        <x:v>I053</x:v>
      </x:c>
      <x:c r="C27" s="97" t="str">
        <x:v>I054</x:v>
      </x:c>
      <x:c r="D27" s="97" t="str">
        <x:v>I043</x:v>
      </x:c>
      <x:c r="E27" s="97" t="str"/>
      <x:c r="F27" s="97" t="str"/>
      <x:c r="G27" s="97" t="str"/>
    </x:row>
    <x:row r="28">
      <x:c r="A28" s="97" t="str">
        <x:v>F027</x:v>
      </x:c>
      <x:c r="B28" s="97" t="str">
        <x:v>I055</x:v>
      </x:c>
      <x:c r="C28" s="97" t="str">
        <x:v>I056</x:v>
      </x:c>
      <x:c r="D28" s="97" t="str">
        <x:v>I044</x:v>
      </x:c>
      <x:c r="E28" s="97" t="str"/>
      <x:c r="F28" s="97" t="str"/>
      <x:c r="G28" s="97" t="str"/>
    </x:row>
    <x:row r="29">
      <x:c r="A29" s="97" t="str">
        <x:v>F028</x:v>
      </x:c>
      <x:c r="B29" s="97" t="str">
        <x:v>I057</x:v>
      </x:c>
      <x:c r="C29" s="97" t="str">
        <x:v>I058</x:v>
      </x:c>
      <x:c r="D29" s="97" t="str">
        <x:v>I046</x:v>
      </x:c>
      <x:c r="E29" s="97" t="str"/>
      <x:c r="F29" s="97" t="str"/>
      <x:c r="G29" s="97" t="str"/>
    </x:row>
    <x:row r="30">
      <x:c r="A30" s="97" t="str">
        <x:v>F029</x:v>
      </x:c>
      <x:c r="B30" s="97" t="str">
        <x:v>I059</x:v>
      </x:c>
      <x:c r="C30" s="97" t="str">
        <x:v>I060</x:v>
      </x:c>
      <x:c r="D30" s="97" t="str">
        <x:v>I048</x:v>
      </x:c>
      <x:c r="E30" s="97" t="str"/>
      <x:c r="F30" s="97" t="str"/>
      <x:c r="G30" s="97" t="str"/>
    </x:row>
    <x:row r="31">
      <x:c r="A31" s="97" t="str">
        <x:v>F030</x:v>
      </x:c>
      <x:c r="B31" s="97" t="str">
        <x:v>I061</x:v>
      </x:c>
      <x:c r="C31" s="97" t="str">
        <x:v>I062</x:v>
      </x:c>
      <x:c r="D31" s="97" t="str">
        <x:v>I049</x:v>
      </x:c>
      <x:c r="E31" s="97" t="str"/>
      <x:c r="F31" s="97" t="str"/>
      <x:c r="G31" s="97" t="str"/>
    </x:row>
    <x:row r="32">
      <x:c r="A32" s="97" t="str">
        <x:v>F031</x:v>
      </x:c>
      <x:c r="B32" s="97" t="str">
        <x:v>I063</x:v>
      </x:c>
      <x:c r="C32" s="97" t="str">
        <x:v>I064</x:v>
      </x:c>
      <x:c r="D32" s="97" t="str">
        <x:v>I050</x:v>
      </x:c>
      <x:c r="E32" s="97" t="str"/>
      <x:c r="F32" s="97" t="str"/>
      <x:c r="G32" s="97" t="str"/>
    </x:row>
    <x:row r="33">
      <x:c r="A33" s="97" t="str">
        <x:v>F032</x:v>
      </x:c>
      <x:c r="B33" s="97" t="str">
        <x:v>I065</x:v>
      </x:c>
      <x:c r="C33" s="97" t="str">
        <x:v>I066</x:v>
      </x:c>
      <x:c r="D33" s="97" t="str">
        <x:v>I051</x:v>
      </x:c>
      <x:c r="E33" s="97" t="str"/>
      <x:c r="F33" s="97" t="str"/>
      <x:c r="G33" s="97" t="str"/>
    </x:row>
    <x:row r="34">
      <x:c r="A34" s="97" t="str">
        <x:v>F033</x:v>
      </x:c>
      <x:c r="B34" s="97" t="str">
        <x:v>I065</x:v>
      </x:c>
      <x:c r="C34" s="97" t="str">
        <x:v>I076</x:v>
      </x:c>
      <x:c r="D34" s="97" t="str">
        <x:v>I070</x:v>
      </x:c>
      <x:c r="E34" s="97" t="str"/>
      <x:c r="F34" s="97" t="str"/>
      <x:c r="G34" s="97" t="str"/>
    </x:row>
    <x:row r="35">
      <x:c r="A35" s="97" t="str">
        <x:v>F034</x:v>
      </x:c>
      <x:c r="B35" s="97" t="str">
        <x:v>I067</x:v>
      </x:c>
      <x:c r="C35" s="97" t="str">
        <x:v>I068</x:v>
      </x:c>
      <x:c r="D35" s="97" t="str">
        <x:v>I052</x:v>
      </x:c>
      <x:c r="E35" s="97" t="str"/>
      <x:c r="F35" s="97" t="str"/>
      <x:c r="G35" s="97" t="str"/>
    </x:row>
    <x:row r="36">
      <x:c r="A36" s="97" t="str">
        <x:v>F035</x:v>
      </x:c>
      <x:c r="B36" s="97" t="str">
        <x:v>I069</x:v>
      </x:c>
      <x:c r="C36" s="97" t="str">
        <x:v>I070</x:v>
      </x:c>
      <x:c r="D36" s="97" t="str">
        <x:v>I053</x:v>
      </x:c>
      <x:c r="E36" s="97" t="str"/>
      <x:c r="F36" s="97" t="str"/>
      <x:c r="G36" s="97" t="str"/>
    </x:row>
    <x:row r="37">
      <x:c r="A37" s="97" t="str">
        <x:v>F036</x:v>
      </x:c>
      <x:c r="B37" s="97" t="str">
        <x:v>I071</x:v>
      </x:c>
      <x:c r="C37" s="97" t="str">
        <x:v>I072</x:v>
      </x:c>
      <x:c r="D37" s="97" t="str">
        <x:v>I054</x:v>
      </x:c>
      <x:c r="E37" s="97" t="str"/>
      <x:c r="F37" s="97" t="str"/>
      <x:c r="G37" s="97" t="str"/>
    </x:row>
    <x:row r="38">
      <x:c r="A38" s="97" t="str">
        <x:v>F037</x:v>
      </x:c>
      <x:c r="B38" s="97" t="str">
        <x:v>I073</x:v>
      </x:c>
      <x:c r="C38" s="97" t="str">
        <x:v>I074</x:v>
      </x:c>
      <x:c r="D38" s="97" t="str">
        <x:v>I063</x:v>
      </x:c>
      <x:c r="E38" s="97" t="str"/>
      <x:c r="F38" s="97" t="str"/>
      <x:c r="G38" s="97" t="str"/>
    </x:row>
    <x:row r="39">
      <x:c r="A39" s="97" t="str">
        <x:v>F038</x:v>
      </x:c>
      <x:c r="B39" s="97" t="str">
        <x:v>I075</x:v>
      </x:c>
      <x:c r="C39" s="97" t="str">
        <x:v>I076</x:v>
      </x:c>
      <x:c r="D39" s="97" t="str">
        <x:v>I065</x:v>
      </x:c>
      <x:c r="E39" s="97" t="str"/>
      <x:c r="F39" s="97" t="str"/>
      <x:c r="G39" s="97" t="str"/>
    </x:row>
    <x:row r="40">
      <x:c r="A40" s="97" t="str">
        <x:v>F039</x:v>
      </x:c>
      <x:c r="B40" s="97" t="str">
        <x:v>I077</x:v>
      </x:c>
      <x:c r="C40" s="97" t="str">
        <x:v>I078</x:v>
      </x:c>
      <x:c r="D40" s="97" t="str">
        <x:v>I066</x:v>
      </x:c>
      <x:c r="E40" s="97" t="str"/>
      <x:c r="F40" s="97" t="str"/>
      <x:c r="G40" s="97" t="str"/>
    </x:row>
    <x:row r="41">
      <x:c r="A41" s="97" t="str">
        <x:v>F040</x:v>
      </x:c>
      <x:c r="B41" s="97" t="str">
        <x:v>I079</x:v>
      </x:c>
      <x:c r="C41" s="97" t="str">
        <x:v>I080</x:v>
      </x:c>
      <x:c r="D41" s="97" t="str">
        <x:v>I067</x:v>
      </x:c>
      <x:c r="E41" s="97" t="str"/>
      <x:c r="F41" s="97" t="str"/>
      <x:c r="G41" s="97" t="str"/>
    </x:row>
    <x:row r="42">
      <x:c r="A42" s="97" t="str">
        <x:v>F041</x:v>
      </x:c>
      <x:c r="B42" s="97" t="str">
        <x:v>I081</x:v>
      </x:c>
      <x:c r="C42" s="97" t="str"/>
      <x:c r="D42" s="97" t="str">
        <x:v>I068</x:v>
      </x:c>
      <x:c r="E42" s="97" t="str"/>
      <x:c r="F42" s="97" t="str"/>
      <x:c r="G42" s="97" t="str"/>
    </x:row>
    <x:row r="43">
      <x:c r="A43" s="97" t="str">
        <x:v>F042</x:v>
      </x:c>
      <x:c r="B43" s="97" t="str">
        <x:v>I082</x:v>
      </x:c>
      <x:c r="C43" s="97" t="str">
        <x:v>I083</x:v>
      </x:c>
      <x:c r="D43" s="97" t="str">
        <x:v>I069</x:v>
      </x:c>
      <x:c r="E43" s="97" t="str"/>
      <x:c r="F43" s="97" t="str"/>
      <x:c r="G43" s="97" t="str"/>
    </x:row>
    <x:row r="44">
      <x:c r="A44" s="97" t="str">
        <x:v>F043</x:v>
      </x:c>
      <x:c r="B44" s="97" t="str">
        <x:v>I084</x:v>
      </x:c>
      <x:c r="C44" s="97" t="str">
        <x:v>I085</x:v>
      </x:c>
      <x:c r="D44" s="97" t="str">
        <x:v>I071</x:v>
      </x:c>
      <x:c r="E44" s="97" t="str"/>
      <x:c r="F44" s="97" t="str"/>
      <x:c r="G44" s="97" t="str"/>
    </x:row>
    <x:row r="45">
      <x:c r="A45" s="97" t="str">
        <x:v>F044</x:v>
      </x:c>
      <x:c r="B45" s="97" t="str">
        <x:v>I086</x:v>
      </x:c>
      <x:c r="C45" s="97" t="str">
        <x:v>I087</x:v>
      </x:c>
      <x:c r="D45" s="97" t="str">
        <x:v>I072</x:v>
      </x:c>
      <x:c r="E45" s="97" t="str"/>
      <x:c r="F45" s="97" t="str"/>
      <x:c r="G45" s="97" t="str"/>
    </x:row>
    <x:row r="46">
      <x:c r="A46" s="97" t="str">
        <x:v>F045</x:v>
      </x:c>
      <x:c r="B46" s="97" t="str">
        <x:v>I088</x:v>
      </x:c>
      <x:c r="C46" s="97" t="str"/>
      <x:c r="D46" s="97" t="str">
        <x:v>I078</x:v>
      </x:c>
      <x:c r="E46" s="97" t="str"/>
      <x:c r="F46" s="97" t="str"/>
      <x:c r="G46" s="97" t="str"/>
    </x:row>
    <x:row r="47">
      <x:c r="A47" s="97" t="str">
        <x:v>F046</x:v>
      </x:c>
      <x:c r="B47" s="97" t="str">
        <x:v>I089</x:v>
      </x:c>
      <x:c r="C47" s="97" t="str">
        <x:v>I090</x:v>
      </x:c>
      <x:c r="D47" s="97" t="str">
        <x:v>I083</x:v>
      </x:c>
      <x:c r="E47" s="97" t="str"/>
      <x:c r="F47" s="97" t="str"/>
      <x:c r="G47" s="97" t="str"/>
    </x:row>
    <x:row r="48">
      <x:c r="A48" s="97" t="str">
        <x:v>F047</x:v>
      </x:c>
      <x:c r="B48" s="97" t="str">
        <x:v>I091</x:v>
      </x:c>
      <x:c r="C48" s="97" t="str"/>
      <x:c r="D48" s="97" t="str">
        <x:v>I084</x:v>
      </x:c>
      <x:c r="E48" s="97" t="str"/>
      <x:c r="F48" s="97" t="str"/>
      <x:c r="G48" s="97" t="str"/>
    </x:row>
    <x:row r="49">
      <x:c r="A49" s="97" t="str">
        <x:v>F048</x:v>
      </x:c>
      <x:c r="B49" s="97" t="str">
        <x:v>I092</x:v>
      </x:c>
      <x:c r="C49" s="97" t="str">
        <x:v>I093</x:v>
      </x:c>
      <x:c r="D49" s="97" t="str">
        <x:v>I085</x:v>
      </x:c>
      <x:c r="E49" s="97" t="str"/>
      <x:c r="F49" s="97" t="str"/>
      <x:c r="G49" s="97" t="str"/>
    </x:row>
    <x:row r="50">
      <x:c r="A50" s="97" t="str">
        <x:v>F049</x:v>
      </x:c>
      <x:c r="B50" s="97" t="str">
        <x:v>I094</x:v>
      </x:c>
      <x:c r="C50" s="97" t="str">
        <x:v>I095</x:v>
      </x:c>
      <x:c r="D50" s="97" t="str">
        <x:v>I086</x:v>
      </x:c>
      <x:c r="E50" s="97" t="str"/>
      <x:c r="F50" s="97" t="str"/>
      <x:c r="G50" s="97" t="str"/>
    </x:row>
    <x:row r="51">
      <x:c r="A51" s="97" t="str">
        <x:v>F050</x:v>
      </x:c>
      <x:c r="B51" s="97" t="str">
        <x:v>I096</x:v>
      </x:c>
      <x:c r="C51" s="97" t="str"/>
      <x:c r="D51" s="97" t="str">
        <x:v>I087</x:v>
      </x:c>
      <x:c r="E51" s="97" t="str"/>
      <x:c r="F51" s="97" t="str"/>
      <x:c r="G51" s="97" t="str"/>
    </x:row>
    <x:row r="52">
      <x:c r="A52" s="97" t="str">
        <x:v>F051</x:v>
      </x:c>
      <x:c r="B52" s="97" t="str">
        <x:v>I097</x:v>
      </x:c>
      <x:c r="C52" s="97" t="str">
        <x:v>I098</x:v>
      </x:c>
      <x:c r="D52" s="97" t="str">
        <x:v>I089</x:v>
      </x:c>
      <x:c r="E52" s="97" t="str"/>
      <x:c r="F52" s="97" t="str"/>
      <x:c r="G52" s="97" t="str"/>
    </x:row>
    <x:row r="53">
      <x:c r="A53" s="97" t="str">
        <x:v>F052</x:v>
      </x:c>
      <x:c r="B53" s="97" t="str">
        <x:v>I099</x:v>
      </x:c>
      <x:c r="C53" s="97" t="str">
        <x:v>I100</x:v>
      </x:c>
      <x:c r="D53" s="97" t="str">
        <x:v>I090</x:v>
      </x:c>
      <x:c r="E53" s="97" t="str"/>
      <x:c r="F53" s="97" t="str"/>
      <x:c r="G53" s="97" t="str"/>
    </x:row>
    <x:row r="54">
      <x:c r="A54" s="97" t="str">
        <x:v>F053</x:v>
      </x:c>
      <x:c r="B54" s="97" t="str">
        <x:v>I101</x:v>
      </x:c>
      <x:c r="C54" s="97" t="str">
        <x:v>I102</x:v>
      </x:c>
      <x:c r="D54" s="97" t="str">
        <x:v>I092</x:v>
      </x:c>
      <x:c r="E54" s="97" t="str"/>
      <x:c r="F54" s="97" t="str"/>
      <x:c r="G54" s="97" t="str"/>
    </x:row>
    <x:row r="55">
      <x:c r="A55" s="97" t="str">
        <x:v>F054</x:v>
      </x:c>
      <x:c r="B55" s="97" t="str">
        <x:v>I103</x:v>
      </x:c>
      <x:c r="C55" s="97" t="str">
        <x:v>I104</x:v>
      </x:c>
      <x:c r="D55" s="97" t="str">
        <x:v>I093</x:v>
      </x:c>
      <x:c r="E55" s="97" t="str"/>
      <x:c r="F55" s="97" t="str"/>
      <x:c r="G55" s="97" t="str"/>
    </x:row>
    <x:row r="56">
      <x:c r="A56" s="97" t="str">
        <x:v>F055</x:v>
      </x:c>
      <x:c r="B56" s="97" t="str">
        <x:v>I105</x:v>
      </x:c>
      <x:c r="C56" s="97" t="str">
        <x:v>I106</x:v>
      </x:c>
      <x:c r="D56" s="97" t="str">
        <x:v>I097</x:v>
      </x:c>
      <x:c r="E56" s="97" t="str"/>
      <x:c r="F56" s="97" t="str"/>
      <x:c r="G56" s="97" t="str"/>
    </x:row>
    <x:row r="57">
      <x:c r="A57" s="97" t="str">
        <x:v>F056</x:v>
      </x:c>
      <x:c r="B57" s="97" t="str">
        <x:v>I107</x:v>
      </x:c>
      <x:c r="C57" s="97" t="str"/>
      <x:c r="D57" s="97" t="str">
        <x:v>I098</x:v>
      </x:c>
      <x:c r="E57" s="97" t="str"/>
      <x:c r="F57" s="97" t="str"/>
      <x:c r="G57" s="97" t="str"/>
    </x:row>
    <x:row r="58">
      <x:c r="A58" s="97" t="str">
        <x:v>F057</x:v>
      </x:c>
      <x:c r="B58" s="97" t="str">
        <x:v>I108</x:v>
      </x:c>
      <x:c r="C58" s="97" t="str">
        <x:v>I109</x:v>
      </x:c>
      <x:c r="D58" s="97" t="str">
        <x:v>I099</x:v>
      </x:c>
      <x:c r="E58" s="97" t="str"/>
      <x:c r="F58" s="97" t="str"/>
      <x:c r="G58" s="97" t="str"/>
    </x:row>
    <x:row r="59">
      <x:c r="A59" s="97" t="str">
        <x:v>F058</x:v>
      </x:c>
      <x:c r="B59" s="97" t="str">
        <x:v>I110</x:v>
      </x:c>
      <x:c r="C59" s="97" t="str">
        <x:v>I111</x:v>
      </x:c>
      <x:c r="D59" s="97" t="str">
        <x:v>I100</x:v>
      </x:c>
      <x:c r="E59" s="97" t="str"/>
      <x:c r="F59" s="97" t="str"/>
      <x:c r="G59" s="97" t="str"/>
    </x:row>
    <x:row r="60">
      <x:c r="A60" s="97" t="str">
        <x:v>F059</x:v>
      </x:c>
      <x:c r="B60" s="97" t="str">
        <x:v>I112</x:v>
      </x:c>
      <x:c r="C60" s="97" t="str">
        <x:v>I113</x:v>
      </x:c>
      <x:c r="D60" s="97" t="str">
        <x:v>I101</x:v>
      </x:c>
      <x:c r="E60" s="97" t="str"/>
      <x:c r="F60" s="97" t="str"/>
      <x:c r="G60" s="97" t="str"/>
    </x:row>
    <x:row r="61">
      <x:c r="A61" s="97" t="str">
        <x:v>F060</x:v>
      </x:c>
      <x:c r="B61" s="97" t="str">
        <x:v>I114</x:v>
      </x:c>
      <x:c r="C61" s="97" t="str">
        <x:v>I115</x:v>
      </x:c>
      <x:c r="D61" s="97" t="str">
        <x:v>I007;I320;I324</x:v>
      </x:c>
      <x:c r="E61" s="97" t="str"/>
      <x:c r="F61" s="97" t="str">
        <x:v>Collateral relationship merged from the extended-family research package.</x:v>
      </x:c>
      <x:c r="G61" s="97" t="str">
        <x:v>S27</x:v>
      </x:c>
    </x:row>
    <x:row r="62">
      <x:c r="A62" s="97" t="str">
        <x:v>F061</x:v>
      </x:c>
      <x:c r="B62" s="97" t="str">
        <x:v>I116</x:v>
      </x:c>
      <x:c r="C62" s="97" t="str">
        <x:v>I117</x:v>
      </x:c>
      <x:c r="D62" s="97" t="str">
        <x:v>I114</x:v>
      </x:c>
      <x:c r="E62" s="97" t="str"/>
      <x:c r="F62" s="97" t="str"/>
      <x:c r="G62" s="97" t="str"/>
    </x:row>
    <x:row r="63">
      <x:c r="A63" s="97" t="str">
        <x:v>F062</x:v>
      </x:c>
      <x:c r="B63" s="97" t="str">
        <x:v>I118</x:v>
      </x:c>
      <x:c r="C63" s="97" t="str">
        <x:v>I119</x:v>
      </x:c>
      <x:c r="D63" s="97" t="str">
        <x:v>I116</x:v>
      </x:c>
      <x:c r="E63" s="97" t="str"/>
      <x:c r="F63" s="97" t="str"/>
      <x:c r="G63" s="97" t="str"/>
    </x:row>
    <x:row r="64">
      <x:c r="A64" s="97" t="str">
        <x:v>F063</x:v>
      </x:c>
      <x:c r="B64" s="97" t="str">
        <x:v>I120</x:v>
      </x:c>
      <x:c r="C64" s="97" t="str">
        <x:v>I121</x:v>
      </x:c>
      <x:c r="D64" s="97" t="str">
        <x:v>I115</x:v>
      </x:c>
      <x:c r="E64" s="97" t="str"/>
      <x:c r="F64" s="97" t="str"/>
      <x:c r="G64" s="97" t="str"/>
    </x:row>
    <x:row r="65">
      <x:c r="A65" s="97" t="str">
        <x:v>F064</x:v>
      </x:c>
      <x:c r="B65" s="97" t="str">
        <x:v>I122</x:v>
      </x:c>
      <x:c r="C65" s="97" t="str">
        <x:v>I123</x:v>
      </x:c>
      <x:c r="D65" s="97" t="str">
        <x:v>I120</x:v>
      </x:c>
      <x:c r="E65" s="97" t="str"/>
      <x:c r="F65" s="97" t="str"/>
      <x:c r="G65" s="97" t="str"/>
    </x:row>
    <x:row r="66">
      <x:c r="A66" s="97" t="str">
        <x:v>F065</x:v>
      </x:c>
      <x:c r="B66" s="97" t="str">
        <x:v>I124</x:v>
      </x:c>
      <x:c r="C66" s="97" t="str">
        <x:v>I125</x:v>
      </x:c>
      <x:c r="D66" s="97" t="str">
        <x:v>I117</x:v>
      </x:c>
      <x:c r="E66" s="97" t="str"/>
      <x:c r="F66" s="97" t="str"/>
      <x:c r="G66" s="97" t="str"/>
    </x:row>
    <x:row r="67">
      <x:c r="A67" s="97" t="str">
        <x:v>F066</x:v>
      </x:c>
      <x:c r="B67" s="97" t="str">
        <x:v>I126</x:v>
      </x:c>
      <x:c r="C67" s="97" t="str"/>
      <x:c r="D67" s="97" t="str">
        <x:v>I122</x:v>
      </x:c>
      <x:c r="E67" s="97" t="str"/>
      <x:c r="F67" s="97" t="str"/>
      <x:c r="G67" s="97" t="str"/>
    </x:row>
    <x:row r="68">
      <x:c r="A68" s="97" t="str">
        <x:v>F067</x:v>
      </x:c>
      <x:c r="B68" s="97" t="str">
        <x:v>I127</x:v>
      </x:c>
      <x:c r="C68" s="97" t="str">
        <x:v>I132</x:v>
      </x:c>
      <x:c r="D68" s="97" t="str">
        <x:v>I126</x:v>
      </x:c>
      <x:c r="E68" s="97" t="str"/>
      <x:c r="F68" s="97" t="str"/>
      <x:c r="G68" s="97" t="str"/>
    </x:row>
    <x:row r="69">
      <x:c r="A69" s="97" t="str">
        <x:v>F068</x:v>
      </x:c>
      <x:c r="B69" s="97" t="str">
        <x:v>I128</x:v>
      </x:c>
      <x:c r="C69" s="97" t="str">
        <x:v>I129</x:v>
      </x:c>
      <x:c r="D69" s="97" t="str">
        <x:v>I123</x:v>
      </x:c>
      <x:c r="E69" s="97" t="str"/>
      <x:c r="F69" s="97" t="str"/>
      <x:c r="G69" s="97" t="str"/>
    </x:row>
    <x:row r="70">
      <x:c r="A70" s="97" t="str">
        <x:v>F069</x:v>
      </x:c>
      <x:c r="B70" s="97" t="str">
        <x:v>I130</x:v>
      </x:c>
      <x:c r="C70" s="97" t="str">
        <x:v>I131</x:v>
      </x:c>
      <x:c r="D70" s="97" t="str">
        <x:v>I008;I327;I328;I329;I332;I333</x:v>
      </x:c>
      <x:c r="E70" s="97" t="str"/>
      <x:c r="F70" s="97" t="str">
        <x:v>Collateral relationship merged from the extended-family research package.</x:v>
      </x:c>
      <x:c r="G70" s="97" t="str">
        <x:v>S27</x:v>
      </x:c>
    </x:row>
    <x:row r="71">
      <x:c r="A71" s="97" t="str">
        <x:v>F070</x:v>
      </x:c>
      <x:c r="B71" s="97" t="str">
        <x:v>I133</x:v>
      </x:c>
      <x:c r="C71" s="97" t="str">
        <x:v>I134</x:v>
      </x:c>
      <x:c r="D71" s="97" t="str">
        <x:v>I130</x:v>
      </x:c>
      <x:c r="E71" s="97" t="str"/>
      <x:c r="F71" s="97" t="str"/>
      <x:c r="G71" s="97" t="str"/>
    </x:row>
    <x:row r="72">
      <x:c r="A72" s="97" t="str">
        <x:v>F071</x:v>
      </x:c>
      <x:c r="B72" s="97" t="str">
        <x:v>I135</x:v>
      </x:c>
      <x:c r="C72" s="97" t="str">
        <x:v>I136</x:v>
      </x:c>
      <x:c r="D72" s="97" t="str">
        <x:v>I131</x:v>
      </x:c>
      <x:c r="E72" s="97" t="str"/>
      <x:c r="F72" s="97" t="str"/>
      <x:c r="G72" s="97" t="str"/>
    </x:row>
    <x:row r="73">
      <x:c r="A73" s="97" t="str">
        <x:v>F072</x:v>
      </x:c>
      <x:c r="B73" s="97" t="str">
        <x:v>I137</x:v>
      </x:c>
      <x:c r="C73" s="97" t="str">
        <x:v>I138</x:v>
      </x:c>
      <x:c r="D73" s="97" t="str">
        <x:v>I135</x:v>
      </x:c>
      <x:c r="E73" s="97" t="str"/>
      <x:c r="F73" s="97" t="str"/>
      <x:c r="G73" s="97" t="str"/>
    </x:row>
    <x:row r="74">
      <x:c r="A74" s="97" t="str">
        <x:v>F073</x:v>
      </x:c>
      <x:c r="B74" s="97" t="str">
        <x:v>I139</x:v>
      </x:c>
      <x:c r="C74" s="97" t="str">
        <x:v>I140</x:v>
      </x:c>
      <x:c r="D74" s="97" t="str">
        <x:v>I137</x:v>
      </x:c>
      <x:c r="E74" s="97" t="str"/>
      <x:c r="F74" s="97" t="str"/>
      <x:c r="G74" s="97" t="str"/>
    </x:row>
    <x:row r="75">
      <x:c r="A75" s="97" t="str">
        <x:v>F074</x:v>
      </x:c>
      <x:c r="B75" s="97" t="str">
        <x:v>I141</x:v>
      </x:c>
      <x:c r="C75" s="97" t="str">
        <x:v>I142</x:v>
      </x:c>
      <x:c r="D75" s="97" t="str">
        <x:v>I139</x:v>
      </x:c>
      <x:c r="E75" s="97" t="str"/>
      <x:c r="F75" s="97" t="str"/>
      <x:c r="G75" s="97" t="str"/>
    </x:row>
    <x:row r="76">
      <x:c r="A76" s="97" t="str">
        <x:v>F075</x:v>
      </x:c>
      <x:c r="B76" s="97" t="str">
        <x:v>I143</x:v>
      </x:c>
      <x:c r="C76" s="97" t="str">
        <x:v>I144</x:v>
      </x:c>
      <x:c r="D76" s="97" t="str">
        <x:v>I141</x:v>
      </x:c>
      <x:c r="E76" s="97" t="str"/>
      <x:c r="F76" s="97" t="str"/>
      <x:c r="G76" s="97" t="str"/>
    </x:row>
    <x:row r="77">
      <x:c r="A77" s="97" t="str">
        <x:v>F076</x:v>
      </x:c>
      <x:c r="B77" s="97" t="str">
        <x:v>I145</x:v>
      </x:c>
      <x:c r="C77" s="97" t="str">
        <x:v>I146</x:v>
      </x:c>
      <x:c r="D77" s="97" t="str">
        <x:v>I140</x:v>
      </x:c>
      <x:c r="E77" s="97" t="str"/>
      <x:c r="F77" s="97" t="str"/>
      <x:c r="G77" s="97" t="str"/>
    </x:row>
    <x:row r="78">
      <x:c r="A78" s="97" t="str">
        <x:v>F077</x:v>
      </x:c>
      <x:c r="B78" s="97" t="str">
        <x:v>I147</x:v>
      </x:c>
      <x:c r="C78" s="97" t="str">
        <x:v>I148</x:v>
      </x:c>
      <x:c r="D78" s="97" t="str">
        <x:v>I138</x:v>
      </x:c>
      <x:c r="E78" s="97" t="str"/>
      <x:c r="F78" s="97" t="str"/>
      <x:c r="G78" s="97" t="str"/>
    </x:row>
    <x:row r="79">
      <x:c r="A79" s="97" t="str">
        <x:v>F078</x:v>
      </x:c>
      <x:c r="B79" s="97" t="str">
        <x:v>I149</x:v>
      </x:c>
      <x:c r="C79" s="97" t="str">
        <x:v>I150</x:v>
      </x:c>
      <x:c r="D79" s="97" t="str">
        <x:v>I143</x:v>
      </x:c>
      <x:c r="E79" s="97" t="str"/>
      <x:c r="F79" s="97" t="str"/>
      <x:c r="G79" s="97" t="str"/>
    </x:row>
    <x:row r="80">
      <x:c r="A80" s="97" t="str">
        <x:v>F079</x:v>
      </x:c>
      <x:c r="B80" s="97" t="str">
        <x:v>I151</x:v>
      </x:c>
      <x:c r="C80" s="97" t="str"/>
      <x:c r="D80" s="97" t="str">
        <x:v>I149</x:v>
      </x:c>
      <x:c r="E80" s="97" t="str"/>
      <x:c r="F80" s="97" t="str"/>
      <x:c r="G80" s="97" t="str"/>
    </x:row>
    <x:row r="81">
      <x:c r="A81" s="97" t="str">
        <x:v>F080</x:v>
      </x:c>
      <x:c r="B81" s="97" t="str">
        <x:v>I152</x:v>
      </x:c>
      <x:c r="C81" s="97" t="str">
        <x:v>I153</x:v>
      </x:c>
      <x:c r="D81" s="97" t="str">
        <x:v>I142</x:v>
      </x:c>
      <x:c r="E81" s="97" t="str"/>
      <x:c r="F81" s="97" t="str"/>
      <x:c r="G81" s="97" t="str"/>
    </x:row>
    <x:row r="82">
      <x:c r="A82" s="97" t="str">
        <x:v>F081</x:v>
      </x:c>
      <x:c r="B82" s="97" t="str">
        <x:v>I154</x:v>
      </x:c>
      <x:c r="C82" s="97" t="str">
        <x:v>I155</x:v>
      </x:c>
      <x:c r="D82" s="97" t="str">
        <x:v>I136</x:v>
      </x:c>
      <x:c r="E82" s="97" t="str"/>
      <x:c r="F82" s="97" t="str"/>
      <x:c r="G82" s="97" t="str"/>
    </x:row>
    <x:row r="83">
      <x:c r="A83" s="97" t="str">
        <x:v>F082</x:v>
      </x:c>
      <x:c r="B83" s="97" t="str">
        <x:v>I157</x:v>
      </x:c>
      <x:c r="C83" s="97" t="str"/>
      <x:c r="D83" s="97" t="str">
        <x:v>I151</x:v>
      </x:c>
      <x:c r="E83" s="97" t="str"/>
      <x:c r="F83" s="97" t="str"/>
      <x:c r="G83" s="97" t="str"/>
    </x:row>
    <x:row r="84">
      <x:c r="A84" s="97" t="str">
        <x:v>F083</x:v>
      </x:c>
      <x:c r="B84" s="97" t="str">
        <x:v>I158</x:v>
      </x:c>
      <x:c r="C84" s="97" t="str">
        <x:v>I159</x:v>
      </x:c>
      <x:c r="D84" s="97" t="str">
        <x:v>I147</x:v>
      </x:c>
      <x:c r="E84" s="97" t="str"/>
      <x:c r="F84" s="97" t="str"/>
      <x:c r="G84" s="97" t="str"/>
    </x:row>
    <x:row r="85">
      <x:c r="A85" s="97" t="str">
        <x:v>F084</x:v>
      </x:c>
      <x:c r="B85" s="97" t="str">
        <x:v>I160</x:v>
      </x:c>
      <x:c r="C85" s="97" t="str"/>
      <x:c r="D85" s="97" t="str">
        <x:v>I148</x:v>
      </x:c>
      <x:c r="E85" s="97" t="str"/>
      <x:c r="F85" s="97" t="str"/>
      <x:c r="G85" s="97" t="str"/>
    </x:row>
    <x:row r="86">
      <x:c r="A86" s="97" t="str">
        <x:v>F085</x:v>
      </x:c>
      <x:c r="B86" s="97" t="str">
        <x:v>I161</x:v>
      </x:c>
      <x:c r="C86" s="97" t="str">
        <x:v>I162</x:v>
      </x:c>
      <x:c r="D86" s="97" t="str">
        <x:v>I154</x:v>
      </x:c>
      <x:c r="E86" s="97" t="str"/>
      <x:c r="F86" s="97" t="str"/>
      <x:c r="G86" s="97" t="str"/>
    </x:row>
    <x:row r="87">
      <x:c r="A87" s="97" t="str">
        <x:v>F086</x:v>
      </x:c>
      <x:c r="B87" s="97" t="str">
        <x:v>I163</x:v>
      </x:c>
      <x:c r="C87" s="97" t="str"/>
      <x:c r="D87" s="97" t="str">
        <x:v>I155</x:v>
      </x:c>
      <x:c r="E87" s="97" t="str"/>
      <x:c r="F87" s="97" t="str"/>
      <x:c r="G87" s="97" t="str"/>
    </x:row>
    <x:row r="88">
      <x:c r="A88" s="97" t="str">
        <x:v>F087</x:v>
      </x:c>
      <x:c r="B88" s="97" t="str">
        <x:v>I164</x:v>
      </x:c>
      <x:c r="C88" s="97" t="str">
        <x:v>I165</x:v>
      </x:c>
      <x:c r="D88" s="97" t="str">
        <x:v>I161</x:v>
      </x:c>
      <x:c r="E88" s="97" t="str"/>
      <x:c r="F88" s="97" t="str"/>
      <x:c r="G88" s="97" t="str"/>
    </x:row>
    <x:row r="89">
      <x:c r="A89" s="97" t="str">
        <x:v>F088</x:v>
      </x:c>
      <x:c r="B89" s="97" t="str">
        <x:v>I166</x:v>
      </x:c>
      <x:c r="C89" s="97" t="str">
        <x:v>I167</x:v>
      </x:c>
      <x:c r="D89" s="97" t="str">
        <x:v>I164</x:v>
      </x:c>
      <x:c r="E89" s="97" t="str"/>
      <x:c r="F89" s="97" t="str"/>
      <x:c r="G89" s="97" t="str"/>
    </x:row>
    <x:row r="90">
      <x:c r="A90" s="97" t="str">
        <x:v>F089</x:v>
      </x:c>
      <x:c r="B90" s="97" t="str">
        <x:v>I168</x:v>
      </x:c>
      <x:c r="C90" s="97" t="str">
        <x:v>I169</x:v>
      </x:c>
      <x:c r="D90" s="97" t="str">
        <x:v>I165</x:v>
      </x:c>
      <x:c r="E90" s="97" t="str"/>
      <x:c r="F90" s="97" t="str"/>
      <x:c r="G90" s="97" t="str"/>
    </x:row>
    <x:row r="91">
      <x:c r="A91" s="97" t="str">
        <x:v>F090</x:v>
      </x:c>
      <x:c r="B91" s="97" t="str">
        <x:v>I170</x:v>
      </x:c>
      <x:c r="C91" s="97" t="str">
        <x:v>I171</x:v>
      </x:c>
      <x:c r="D91" s="97" t="str">
        <x:v>I167</x:v>
      </x:c>
      <x:c r="E91" s="97" t="str"/>
      <x:c r="F91" s="97" t="str"/>
      <x:c r="G91" s="97" t="str"/>
    </x:row>
    <x:row r="92">
      <x:c r="A92" s="97" t="str">
        <x:v>F091</x:v>
      </x:c>
      <x:c r="B92" s="97" t="str">
        <x:v>I172</x:v>
      </x:c>
      <x:c r="C92" s="97" t="str">
        <x:v>I173</x:v>
      </x:c>
      <x:c r="D92" s="97" t="str">
        <x:v>I166</x:v>
      </x:c>
      <x:c r="E92" s="97" t="str"/>
      <x:c r="F92" s="97" t="str"/>
      <x:c r="G92" s="97" t="str"/>
    </x:row>
    <x:row r="93">
      <x:c r="A93" s="97" t="str">
        <x:v>F092</x:v>
      </x:c>
      <x:c r="B93" s="97" t="str">
        <x:v>I174</x:v>
      </x:c>
      <x:c r="C93" s="97" t="str"/>
      <x:c r="D93" s="97" t="str">
        <x:v>I169</x:v>
      </x:c>
      <x:c r="E93" s="97" t="str"/>
      <x:c r="F93" s="97" t="str"/>
      <x:c r="G93" s="97" t="str"/>
    </x:row>
    <x:row r="94">
      <x:c r="A94" s="97" t="str">
        <x:v>F093</x:v>
      </x:c>
      <x:c r="B94" s="97" t="str">
        <x:v>I179</x:v>
      </x:c>
      <x:c r="C94" s="97" t="str">
        <x:v>I178</x:v>
      </x:c>
      <x:c r="D94" s="97" t="str">
        <x:v>I180;I181;I182</x:v>
      </x:c>
      <x:c r="E94" s="97" t="str"/>
      <x:c r="F94" s="97" t="str">
        <x:v>James is the corrected third child name; earlier draft said Janet.</x:v>
      </x:c>
      <x:c r="G94" s="97" t="str"/>
    </x:row>
    <x:row r="95">
      <x:c r="A95" s="97" t="str">
        <x:v>F094</x:v>
      </x:c>
      <x:c r="B95" s="97" t="str">
        <x:v>I184</x:v>
      </x:c>
      <x:c r="C95" s="97" t="str">
        <x:v>I183</x:v>
      </x:c>
      <x:c r="D95" s="97" t="str">
        <x:v>I185;I187;I189;I191</x:v>
      </x:c>
      <x:c r="E95" s="97" t="str"/>
      <x:c r="F95" s="97" t="str"/>
      <x:c r="G95" s="97" t="str"/>
    </x:row>
    <x:row r="96">
      <x:c r="A96" s="97" t="str">
        <x:v>F095</x:v>
      </x:c>
      <x:c r="B96" s="97" t="str">
        <x:v>I176</x:v>
      </x:c>
      <x:c r="C96" s="97" t="str">
        <x:v>I002</x:v>
      </x:c>
      <x:c r="D96" s="97" t="str">
        <x:v>I001;I175</x:v>
      </x:c>
      <x:c r="E96" s="97" t="str"/>
      <x:c r="F96" s="97" t="str">
        <x:v>Jan is Fredric and Arianna's biological mother; Henry is recorded as their father in the recovered canonical package.</x:v>
      </x:c>
      <x:c r="G96" s="97" t="str">
        <x:v>S28</x:v>
      </x:c>
    </x:row>
    <x:row r="97">
      <x:c r="A97" s="97" t="str">
        <x:v>F096</x:v>
      </x:c>
      <x:c r="B97" s="97" t="str">
        <x:v>I193</x:v>
      </x:c>
      <x:c r="C97" s="97" t="str">
        <x:v>I194</x:v>
      </x:c>
      <x:c r="D97" s="97" t="str">
        <x:v>I195;I197;I199</x:v>
      </x:c>
      <x:c r="E97" s="97" t="str"/>
      <x:c r="F97" s="97" t="str"/>
      <x:c r="G97" s="97" t="str"/>
    </x:row>
    <x:row r="98">
      <x:c r="A98" s="97" t="str">
        <x:v>F097</x:v>
      </x:c>
      <x:c r="B98" s="97" t="str">
        <x:v>I203</x:v>
      </x:c>
      <x:c r="C98" s="97" t="str">
        <x:v>I202</x:v>
      </x:c>
      <x:c r="D98" s="97" t="str">
        <x:v>I204;I205</x:v>
      </x:c>
      <x:c r="E98" s="97" t="str"/>
      <x:c r="F98" s="97" t="str">
        <x:v>Carey is the one and only daughter; Mark is the other child.</x:v>
      </x:c>
      <x:c r="G98" s="97" t="str"/>
    </x:row>
    <x:row r="99">
      <x:c r="A99" s="97" t="str">
        <x:v>F098</x:v>
      </x:c>
      <x:c r="B99" s="97" t="str">
        <x:v>I186</x:v>
      </x:c>
      <x:c r="C99" s="97" t="str">
        <x:v>I185</x:v>
      </x:c>
      <x:c r="D99" s="97" t="str"/>
      <x:c r="E99" s="97" t="str"/>
      <x:c r="F99" s="97" t="str">
        <x:v>Dave and Kathy Werblo</x:v>
      </x:c>
      <x:c r="G99" s="97" t="str"/>
    </x:row>
    <x:row r="100">
      <x:c r="A100" s="97" t="str">
        <x:v>F099</x:v>
      </x:c>
      <x:c r="B100" s="97" t="str">
        <x:v>I187</x:v>
      </x:c>
      <x:c r="C100" s="97" t="str">
        <x:v>I188</x:v>
      </x:c>
      <x:c r="D100" s="97" t="str"/>
      <x:c r="E100" s="97" t="str"/>
      <x:c r="F100" s="97" t="str">
        <x:v>John and Celeste</x:v>
      </x:c>
      <x:c r="G100" s="97" t="str"/>
    </x:row>
    <x:row r="101">
      <x:c r="A101" s="97" t="str">
        <x:v>F100</x:v>
      </x:c>
      <x:c r="B101" s="97" t="str">
        <x:v>I190</x:v>
      </x:c>
      <x:c r="C101" s="97" t="str">
        <x:v>I189</x:v>
      </x:c>
      <x:c r="D101" s="97" t="str"/>
      <x:c r="E101" s="97" t="str"/>
      <x:c r="F101" s="97" t="str">
        <x:v>Gordon and Susan Galbraith</x:v>
      </x:c>
      <x:c r="G101" s="97" t="str"/>
    </x:row>
    <x:row r="102">
      <x:c r="A102" s="97" t="str">
        <x:v>F101</x:v>
      </x:c>
      <x:c r="B102" s="97" t="str">
        <x:v>I192</x:v>
      </x:c>
      <x:c r="C102" s="97" t="str">
        <x:v>I191</x:v>
      </x:c>
      <x:c r="D102" s="97" t="str"/>
      <x:c r="E102" s="97" t="str"/>
      <x:c r="F102" s="97" t="str">
        <x:v>Historical spouse shown in 1998 chart</x:v>
      </x:c>
      <x:c r="G102" s="97" t="str"/>
    </x:row>
    <x:row r="103">
      <x:c r="A103" s="97" t="str">
        <x:v>F102</x:v>
      </x:c>
      <x:c r="B103" s="97" t="str">
        <x:v>I196</x:v>
      </x:c>
      <x:c r="C103" s="97" t="str">
        <x:v>I195</x:v>
      </x:c>
      <x:c r="D103" s="97" t="str"/>
      <x:c r="E103" s="97" t="str"/>
      <x:c r="F103" s="97" t="str">
        <x:v>John and Sandy Hill</x:v>
      </x:c>
      <x:c r="G103" s="97" t="str"/>
    </x:row>
    <x:row r="104">
      <x:c r="A104" s="97" t="str">
        <x:v>F103</x:v>
      </x:c>
      <x:c r="B104" s="97" t="str">
        <x:v>I197</x:v>
      </x:c>
      <x:c r="C104" s="97" t="str">
        <x:v>I198</x:v>
      </x:c>
      <x:c r="D104" s="97" t="str"/>
      <x:c r="E104" s="97" t="str"/>
      <x:c r="F104" s="97" t="str">
        <x:v>Ross and Carrie McCormick</x:v>
      </x:c>
      <x:c r="G104" s="97" t="str"/>
    </x:row>
    <x:row r="105">
      <x:c r="A105" s="97" t="str">
        <x:v>F104</x:v>
      </x:c>
      <x:c r="B105" s="97" t="str">
        <x:v>I200</x:v>
      </x:c>
      <x:c r="C105" s="97" t="str">
        <x:v>I201</x:v>
      </x:c>
      <x:c r="D105" s="97" t="str"/>
      <x:c r="E105" s="97" t="str"/>
      <x:c r="F105" s="97" t="str">
        <x:v>Charles and Judy McCormick</x:v>
      </x:c>
      <x:c r="G105" s="97" t="str"/>
    </x:row>
    <x:row r="106">
      <x:c r="A106" s="97" t="str">
        <x:v>F105</x:v>
      </x:c>
      <x:c r="B106" s="97" t="str">
        <x:v>I207</x:v>
      </x:c>
      <x:c r="C106" s="97" t="str">
        <x:v>I218</x:v>
      </x:c>
      <x:c r="D106" s="97" t="str">
        <x:v>I176;I269</x:v>
      </x:c>
      <x:c r="E106" s="97" t="str"/>
      <x:c r="F106" s="97" t="str">
        <x:v>Collateral relationship merged from the extended-family research package. | Relationship merged from the records-first Vollmer-Marsh research package.</x:v>
      </x:c>
      <x:c r="G106" s="97" t="str">
        <x:v>S26;S27</x:v>
      </x:c>
    </x:row>
    <x:row r="107">
      <x:c r="A107" s="97" t="str">
        <x:v>F106</x:v>
      </x:c>
      <x:c r="B107" s="97" t="str">
        <x:v>I208</x:v>
      </x:c>
      <x:c r="C107" s="97" t="str">
        <x:v>I211</x:v>
      </x:c>
      <x:c r="D107" s="97" t="str">
        <x:v>I207;I270</x:v>
      </x:c>
      <x:c r="E107" s="97" t="str"/>
      <x:c r="F107" s="97" t="str">
        <x:v>Collateral relationship merged from the extended-family research package. | Relationship merged from the records-first Vollmer-Marsh research package.</x:v>
      </x:c>
      <x:c r="G107" s="97" t="str">
        <x:v>S26;S27</x:v>
      </x:c>
    </x:row>
    <x:row r="108">
      <x:c r="A108" s="97" t="str">
        <x:v>F107</x:v>
      </x:c>
      <x:c r="B108" s="97" t="str">
        <x:v>I209</x:v>
      </x:c>
      <x:c r="C108" s="97" t="str">
        <x:v>I210</x:v>
      </x:c>
      <x:c r="D108" s="97" t="str">
        <x:v>I208;I282</x:v>
      </x:c>
      <x:c r="E108" s="97" t="str"/>
      <x:c r="F108" s="97" t="str">
        <x:v>Collateral relationship merged from the extended-family research package. | Relationship merged from the records-first Vollmer-Marsh research package.</x:v>
      </x:c>
      <x:c r="G108" s="97" t="str">
        <x:v>S26;S27</x:v>
      </x:c>
    </x:row>
    <x:row r="109">
      <x:c r="A109" s="97" t="str">
        <x:v>F108</x:v>
      </x:c>
      <x:c r="B109" s="97" t="str">
        <x:v>I212</x:v>
      </x:c>
      <x:c r="C109" s="97" t="str">
        <x:v>I213</x:v>
      </x:c>
      <x:c r="D109" s="97" t="str">
        <x:v>I211</x:v>
      </x:c>
      <x:c r="E109" s="97" t="str"/>
      <x:c r="F109" s="97" t="str">
        <x:v>Relationship merged from the records-first Vollmer-Marsh research package.</x:v>
      </x:c>
      <x:c r="G109" s="97" t="str">
        <x:v>S26</x:v>
      </x:c>
    </x:row>
    <x:row r="110">
      <x:c r="A110" s="97" t="str">
        <x:v>F109</x:v>
      </x:c>
      <x:c r="B110" s="97" t="str">
        <x:v>I214</x:v>
      </x:c>
      <x:c r="C110" s="97" t="str">
        <x:v>I215</x:v>
      </x:c>
      <x:c r="D110" s="97" t="str">
        <x:v>I212</x:v>
      </x:c>
      <x:c r="E110" s="97" t="str"/>
      <x:c r="F110" s="97" t="str">
        <x:v>Relationship merged from the records-first Vollmer-Marsh research package.</x:v>
      </x:c>
      <x:c r="G110" s="97" t="str">
        <x:v>S26</x:v>
      </x:c>
    </x:row>
    <x:row r="111">
      <x:c r="A111" s="97" t="str">
        <x:v>F110</x:v>
      </x:c>
      <x:c r="B111" s="97" t="str">
        <x:v>I216</x:v>
      </x:c>
      <x:c r="C111" s="97" t="str">
        <x:v>I217</x:v>
      </x:c>
      <x:c r="D111" s="97" t="str">
        <x:v>I213</x:v>
      </x:c>
      <x:c r="E111" s="97" t="str"/>
      <x:c r="F111" s="97" t="str">
        <x:v>Relationship merged from the records-first Vollmer-Marsh research package.</x:v>
      </x:c>
      <x:c r="G111" s="97" t="str">
        <x:v>S26</x:v>
      </x:c>
    </x:row>
    <x:row r="112">
      <x:c r="A112" s="97" t="str">
        <x:v>F111</x:v>
      </x:c>
      <x:c r="B112" s="97" t="str">
        <x:v>I219</x:v>
      </x:c>
      <x:c r="C112" s="97" t="str">
        <x:v>I264</x:v>
      </x:c>
      <x:c r="D112" s="97" t="str">
        <x:v>I218;I274;I277</x:v>
      </x:c>
      <x:c r="E112" s="97" t="str"/>
      <x:c r="F112" s="97" t="str">
        <x:v>Collateral relationship merged from the extended-family research package. | Relationship merged from the records-first Vollmer-Marsh research package.</x:v>
      </x:c>
      <x:c r="G112" s="97" t="str">
        <x:v>S26;S27</x:v>
      </x:c>
    </x:row>
    <x:row r="113">
      <x:c r="A113" s="97" t="str">
        <x:v>F112</x:v>
      </x:c>
      <x:c r="B113" s="97" t="str">
        <x:v>I220</x:v>
      </x:c>
      <x:c r="C113" s="97" t="str">
        <x:v>I235</x:v>
      </x:c>
      <x:c r="D113" s="97" t="str">
        <x:v>I219;I283</x:v>
      </x:c>
      <x:c r="E113" s="97" t="str"/>
      <x:c r="F113" s="97" t="str">
        <x:v>Collateral relationship merged from the extended-family research package. | Relationship merged from the records-first Vollmer-Marsh research package.</x:v>
      </x:c>
      <x:c r="G113" s="97" t="str">
        <x:v>S26;S27</x:v>
      </x:c>
    </x:row>
    <x:row r="114">
      <x:c r="A114" s="97" t="str">
        <x:v>F113</x:v>
      </x:c>
      <x:c r="B114" s="97" t="str">
        <x:v>I221</x:v>
      </x:c>
      <x:c r="C114" s="97" t="str">
        <x:v>I222</x:v>
      </x:c>
      <x:c r="D114" s="97" t="str">
        <x:v>I220</x:v>
      </x:c>
      <x:c r="E114" s="97" t="str"/>
      <x:c r="F114" s="97" t="str">
        <x:v>Relationship merged from the records-first Vollmer-Marsh research package.</x:v>
      </x:c>
      <x:c r="G114" s="97" t="str">
        <x:v>S26</x:v>
      </x:c>
    </x:row>
    <x:row r="115">
      <x:c r="A115" s="97" t="str">
        <x:v>F114</x:v>
      </x:c>
      <x:c r="B115" s="97" t="str">
        <x:v>I223</x:v>
      </x:c>
      <x:c r="C115" s="97" t="str">
        <x:v>I224</x:v>
      </x:c>
      <x:c r="D115" s="97" t="str">
        <x:v>I222</x:v>
      </x:c>
      <x:c r="E115" s="97" t="str"/>
      <x:c r="F115" s="97" t="str">
        <x:v>Relationship merged from the records-first Vollmer-Marsh research package.</x:v>
      </x:c>
      <x:c r="G115" s="97" t="str">
        <x:v>S26</x:v>
      </x:c>
    </x:row>
    <x:row r="116">
      <x:c r="A116" s="97" t="str">
        <x:v>F115</x:v>
      </x:c>
      <x:c r="B116" s="97" t="str">
        <x:v>I225</x:v>
      </x:c>
      <x:c r="C116" s="97" t="str">
        <x:v>I226</x:v>
      </x:c>
      <x:c r="D116" s="97" t="str">
        <x:v>I223</x:v>
      </x:c>
      <x:c r="E116" s="97" t="str"/>
      <x:c r="F116" s="97" t="str">
        <x:v>Relationship merged from the records-first Vollmer-Marsh research package.</x:v>
      </x:c>
      <x:c r="G116" s="97" t="str">
        <x:v>S26</x:v>
      </x:c>
    </x:row>
    <x:row r="117">
      <x:c r="A117" s="97" t="str">
        <x:v>F116</x:v>
      </x:c>
      <x:c r="B117" s="97" t="str">
        <x:v>I227</x:v>
      </x:c>
      <x:c r="C117" s="97" t="str">
        <x:v>I228</x:v>
      </x:c>
      <x:c r="D117" s="97" t="str">
        <x:v>I225</x:v>
      </x:c>
      <x:c r="E117" s="97" t="str"/>
      <x:c r="F117" s="97" t="str">
        <x:v>Relationship merged from the records-first Vollmer-Marsh research package.</x:v>
      </x:c>
      <x:c r="G117" s="97" t="str">
        <x:v>S26</x:v>
      </x:c>
    </x:row>
    <x:row r="118">
      <x:c r="A118" s="97" t="str">
        <x:v>F117</x:v>
      </x:c>
      <x:c r="B118" s="97" t="str">
        <x:v>I229</x:v>
      </x:c>
      <x:c r="C118" s="97" t="str">
        <x:v>I230</x:v>
      </x:c>
      <x:c r="D118" s="97" t="str">
        <x:v>I227</x:v>
      </x:c>
      <x:c r="E118" s="97" t="str"/>
      <x:c r="F118" s="97" t="str">
        <x:v>Relationship merged from the records-first Vollmer-Marsh research package.</x:v>
      </x:c>
      <x:c r="G118" s="97" t="str">
        <x:v>S26</x:v>
      </x:c>
    </x:row>
    <x:row r="119">
      <x:c r="A119" s="97" t="str">
        <x:v>F118</x:v>
      </x:c>
      <x:c r="B119" s="97" t="str">
        <x:v>I231</x:v>
      </x:c>
      <x:c r="C119" s="97" t="str">
        <x:v>I232</x:v>
      </x:c>
      <x:c r="D119" s="97" t="str">
        <x:v>I228</x:v>
      </x:c>
      <x:c r="E119" s="97" t="str"/>
      <x:c r="F119" s="97" t="str">
        <x:v>Relationship merged from the records-first Vollmer-Marsh research package.</x:v>
      </x:c>
      <x:c r="G119" s="97" t="str">
        <x:v>S26</x:v>
      </x:c>
    </x:row>
    <x:row r="120">
      <x:c r="A120" s="97" t="str">
        <x:v>F119</x:v>
      </x:c>
      <x:c r="B120" s="97" t="str">
        <x:v>I233</x:v>
      </x:c>
      <x:c r="C120" s="97" t="str">
        <x:v>I234</x:v>
      </x:c>
      <x:c r="D120" s="97" t="str">
        <x:v>I229</x:v>
      </x:c>
      <x:c r="E120" s="97" t="str"/>
      <x:c r="F120" s="97" t="str">
        <x:v>Relationship merged from the records-first Vollmer-Marsh research package.</x:v>
      </x:c>
      <x:c r="G120" s="97" t="str">
        <x:v>S26</x:v>
      </x:c>
    </x:row>
    <x:row r="121">
      <x:c r="A121" s="97" t="str">
        <x:v>F120</x:v>
      </x:c>
      <x:c r="B121" s="97" t="str">
        <x:v>I236</x:v>
      </x:c>
      <x:c r="C121" s="97" t="str">
        <x:v>I238</x:v>
      </x:c>
      <x:c r="D121" s="97" t="str">
        <x:v>I235</x:v>
      </x:c>
      <x:c r="E121" s="97" t="str"/>
      <x:c r="F121" s="97" t="str">
        <x:v>Relationship merged from the records-first Vollmer-Marsh research package.</x:v>
      </x:c>
      <x:c r="G121" s="97" t="str">
        <x:v>S26</x:v>
      </x:c>
    </x:row>
    <x:row r="122">
      <x:c r="A122" s="97" t="str">
        <x:v>F121</x:v>
      </x:c>
      <x:c r="B122" s="97" t="str">
        <x:v>I237</x:v>
      </x:c>
      <x:c r="C122" s="97" t="str"/>
      <x:c r="D122" s="97" t="str">
        <x:v>I236</x:v>
      </x:c>
      <x:c r="E122" s="97" t="str"/>
      <x:c r="F122" s="97" t="str">
        <x:v>Relationship merged from the records-first Vollmer-Marsh research package.</x:v>
      </x:c>
      <x:c r="G122" s="97" t="str">
        <x:v>S26</x:v>
      </x:c>
    </x:row>
    <x:row r="123">
      <x:c r="A123" s="97" t="str">
        <x:v>F122</x:v>
      </x:c>
      <x:c r="B123" s="97" t="str">
        <x:v>I239</x:v>
      </x:c>
      <x:c r="C123" s="97" t="str">
        <x:v>I240</x:v>
      </x:c>
      <x:c r="D123" s="97" t="str">
        <x:v>I238</x:v>
      </x:c>
      <x:c r="E123" s="97" t="str"/>
      <x:c r="F123" s="97" t="str">
        <x:v>Relationship merged from the records-first Vollmer-Marsh research package.</x:v>
      </x:c>
      <x:c r="G123" s="97" t="str">
        <x:v>S26</x:v>
      </x:c>
    </x:row>
    <x:row r="124">
      <x:c r="A124" s="97" t="str">
        <x:v>F123</x:v>
      </x:c>
      <x:c r="B124" s="97" t="str">
        <x:v>I241</x:v>
      </x:c>
      <x:c r="C124" s="97" t="str">
        <x:v>I242</x:v>
      </x:c>
      <x:c r="D124" s="97" t="str">
        <x:v>I239</x:v>
      </x:c>
      <x:c r="E124" s="97" t="str"/>
      <x:c r="F124" s="97" t="str">
        <x:v>Relationship merged from the records-first Vollmer-Marsh research package.</x:v>
      </x:c>
      <x:c r="G124" s="97" t="str">
        <x:v>S26</x:v>
      </x:c>
    </x:row>
    <x:row r="125">
      <x:c r="A125" s="97" t="str">
        <x:v>F124</x:v>
      </x:c>
      <x:c r="B125" s="97" t="str">
        <x:v>I243</x:v>
      </x:c>
      <x:c r="C125" s="97" t="str">
        <x:v>I244</x:v>
      </x:c>
      <x:c r="D125" s="97" t="str">
        <x:v>I240</x:v>
      </x:c>
      <x:c r="E125" s="97" t="str"/>
      <x:c r="F125" s="97" t="str">
        <x:v>Relationship merged from the records-first Vollmer-Marsh research package.</x:v>
      </x:c>
      <x:c r="G125" s="97" t="str">
        <x:v>S26</x:v>
      </x:c>
    </x:row>
    <x:row r="126">
      <x:c r="A126" s="97" t="str">
        <x:v>F125</x:v>
      </x:c>
      <x:c r="B126" s="97" t="str">
        <x:v>I245</x:v>
      </x:c>
      <x:c r="C126" s="97" t="str">
        <x:v>I246</x:v>
      </x:c>
      <x:c r="D126" s="97" t="str">
        <x:v>I241</x:v>
      </x:c>
      <x:c r="E126" s="97" t="str"/>
      <x:c r="F126" s="97" t="str">
        <x:v>Relationship merged from the records-first Vollmer-Marsh research package.</x:v>
      </x:c>
      <x:c r="G126" s="97" t="str">
        <x:v>S26</x:v>
      </x:c>
    </x:row>
    <x:row r="127">
      <x:c r="A127" s="97" t="str">
        <x:v>F126</x:v>
      </x:c>
      <x:c r="B127" s="97" t="str">
        <x:v>I247</x:v>
      </x:c>
      <x:c r="C127" s="97" t="str">
        <x:v>I248</x:v>
      </x:c>
      <x:c r="D127" s="97" t="str">
        <x:v>I245</x:v>
      </x:c>
      <x:c r="E127" s="97" t="str"/>
      <x:c r="F127" s="97" t="str">
        <x:v>Relationship merged from the records-first Vollmer-Marsh research package.</x:v>
      </x:c>
      <x:c r="G127" s="97" t="str">
        <x:v>S26</x:v>
      </x:c>
    </x:row>
    <x:row r="128">
      <x:c r="A128" s="97" t="str">
        <x:v>F127</x:v>
      </x:c>
      <x:c r="B128" s="97" t="str">
        <x:v>I249</x:v>
      </x:c>
      <x:c r="C128" s="97" t="str">
        <x:v>I250</x:v>
      </x:c>
      <x:c r="D128" s="97" t="str">
        <x:v>I246</x:v>
      </x:c>
      <x:c r="E128" s="97" t="str"/>
      <x:c r="F128" s="97" t="str">
        <x:v>Relationship merged from the records-first Vollmer-Marsh research package.</x:v>
      </x:c>
      <x:c r="G128" s="97" t="str">
        <x:v>S26</x:v>
      </x:c>
    </x:row>
    <x:row r="129">
      <x:c r="A129" s="97" t="str">
        <x:v>F128</x:v>
      </x:c>
      <x:c r="B129" s="97" t="str">
        <x:v>I252</x:v>
      </x:c>
      <x:c r="C129" s="97" t="str">
        <x:v>I253</x:v>
      </x:c>
      <x:c r="D129" s="97" t="str">
        <x:v>I247</x:v>
      </x:c>
      <x:c r="E129" s="97" t="str"/>
      <x:c r="F129" s="97" t="str">
        <x:v>Relationship merged from the records-first Vollmer-Marsh research package.</x:v>
      </x:c>
      <x:c r="G129" s="97" t="str">
        <x:v>S26</x:v>
      </x:c>
    </x:row>
    <x:row r="130">
      <x:c r="A130" s="97" t="str">
        <x:v>F129</x:v>
      </x:c>
      <x:c r="B130" s="97" t="str">
        <x:v>I251</x:v>
      </x:c>
      <x:c r="C130" s="97" t="str">
        <x:v>I254</x:v>
      </x:c>
      <x:c r="D130" s="97" t="str">
        <x:v>I248</x:v>
      </x:c>
      <x:c r="E130" s="97" t="str"/>
      <x:c r="F130" s="97" t="str">
        <x:v>Relationship merged from the records-first Vollmer-Marsh research package.</x:v>
      </x:c>
      <x:c r="G130" s="97" t="str">
        <x:v>S26</x:v>
      </x:c>
    </x:row>
    <x:row r="131">
      <x:c r="A131" s="97" t="str">
        <x:v>F130</x:v>
      </x:c>
      <x:c r="B131" s="97" t="str">
        <x:v>I258</x:v>
      </x:c>
      <x:c r="C131" s="97" t="str">
        <x:v>I259</x:v>
      </x:c>
      <x:c r="D131" s="97" t="str">
        <x:v>I249</x:v>
      </x:c>
      <x:c r="E131" s="97" t="str"/>
      <x:c r="F131" s="97" t="str">
        <x:v>Relationship merged from the records-first Vollmer-Marsh research package.</x:v>
      </x:c>
      <x:c r="G131" s="97" t="str">
        <x:v>S26</x:v>
      </x:c>
    </x:row>
    <x:row r="132">
      <x:c r="A132" s="97" t="str">
        <x:v>F131</x:v>
      </x:c>
      <x:c r="B132" s="97" t="str">
        <x:v>I260</x:v>
      </x:c>
      <x:c r="C132" s="97" t="str">
        <x:v>I261</x:v>
      </x:c>
      <x:c r="D132" s="97" t="str">
        <x:v>I250</x:v>
      </x:c>
      <x:c r="E132" s="97" t="str"/>
      <x:c r="F132" s="97" t="str">
        <x:v>Relationship merged from the records-first Vollmer-Marsh research package.</x:v>
      </x:c>
      <x:c r="G132" s="97" t="str">
        <x:v>S26</x:v>
      </x:c>
    </x:row>
    <x:row r="133">
      <x:c r="A133" s="97" t="str">
        <x:v>F132</x:v>
      </x:c>
      <x:c r="B133" s="97" t="str">
        <x:v>I255</x:v>
      </x:c>
      <x:c r="C133" s="97" t="str">
        <x:v>I256</x:v>
      </x:c>
      <x:c r="D133" s="97" t="str">
        <x:v>I251</x:v>
      </x:c>
      <x:c r="E133" s="97" t="str"/>
      <x:c r="F133" s="97" t="str">
        <x:v>Relationship merged from the records-first Vollmer-Marsh research package.</x:v>
      </x:c>
      <x:c r="G133" s="97" t="str">
        <x:v>S26</x:v>
      </x:c>
    </x:row>
    <x:row r="134">
      <x:c r="A134" s="97" t="str">
        <x:v>F133</x:v>
      </x:c>
      <x:c r="B134" s="97" t="str">
        <x:v>I257</x:v>
      </x:c>
      <x:c r="C134" s="97" t="str"/>
      <x:c r="D134" s="97" t="str">
        <x:v>I254</x:v>
      </x:c>
      <x:c r="E134" s="97" t="str"/>
      <x:c r="F134" s="97" t="str">
        <x:v>Relationship merged from the records-first Vollmer-Marsh research package.</x:v>
      </x:c>
      <x:c r="G134" s="97" t="str">
        <x:v>S26</x:v>
      </x:c>
    </x:row>
    <x:row r="135">
      <x:c r="A135" s="97" t="str">
        <x:v>F134</x:v>
      </x:c>
      <x:c r="B135" s="97" t="str">
        <x:v>I262</x:v>
      </x:c>
      <x:c r="C135" s="97" t="str">
        <x:v>I263</x:v>
      </x:c>
      <x:c r="D135" s="97" t="str">
        <x:v>I261</x:v>
      </x:c>
      <x:c r="E135" s="97" t="str"/>
      <x:c r="F135" s="97" t="str">
        <x:v>Relationship merged from the records-first Vollmer-Marsh research package.</x:v>
      </x:c>
      <x:c r="G135" s="97" t="str">
        <x:v>S26</x:v>
      </x:c>
    </x:row>
    <x:row r="136">
      <x:c r="A136" s="97" t="str">
        <x:v>F135</x:v>
      </x:c>
      <x:c r="B136" s="97" t="str">
        <x:v>I265</x:v>
      </x:c>
      <x:c r="C136" s="97" t="str">
        <x:v>I268</x:v>
      </x:c>
      <x:c r="D136" s="97" t="str">
        <x:v>I264;I284;I285;I294</x:v>
      </x:c>
      <x:c r="E136" s="97" t="str"/>
      <x:c r="F136" s="97" t="str">
        <x:v>Collateral relationship merged from the extended-family research package. | Relationship merged from the records-first Vollmer-Marsh research package.</x:v>
      </x:c>
      <x:c r="G136" s="97" t="str">
        <x:v>S26;S27</x:v>
      </x:c>
    </x:row>
    <x:row r="137">
      <x:c r="A137" s="97" t="str">
        <x:v>F136</x:v>
      </x:c>
      <x:c r="B137" s="97" t="str">
        <x:v>I266</x:v>
      </x:c>
      <x:c r="C137" s="97" t="str">
        <x:v>I267</x:v>
      </x:c>
      <x:c r="D137" s="97" t="str">
        <x:v>I265</x:v>
      </x:c>
      <x:c r="E137" s="97" t="str"/>
      <x:c r="F137" s="97" t="str">
        <x:v>Relationship merged from the records-first Vollmer-Marsh research package.</x:v>
      </x:c>
      <x:c r="G137" s="97" t="str">
        <x:v>S26</x:v>
      </x:c>
    </x:row>
    <x:row r="138">
      <x:c r="A138" s="97" t="str">
        <x:v>F137</x:v>
      </x:c>
      <x:c r="B138" s="97" t="str">
        <x:v>I271</x:v>
      </x:c>
      <x:c r="C138" s="97" t="str">
        <x:v>I270</x:v>
      </x:c>
      <x:c r="D138" s="97" t="str">
        <x:v>I272;I273</x:v>
      </x:c>
      <x:c r="E138" s="97" t="str"/>
      <x:c r="F138" s="97" t="str">
        <x:v>Collateral relationship merged from the extended-family research package.</x:v>
      </x:c>
      <x:c r="G138" s="97" t="str">
        <x:v>S27</x:v>
      </x:c>
    </x:row>
    <x:row r="139">
      <x:c r="A139" s="97" t="str">
        <x:v>F138</x:v>
      </x:c>
      <x:c r="B139" s="97" t="str">
        <x:v>I275</x:v>
      </x:c>
      <x:c r="C139" s="97" t="str">
        <x:v>I274</x:v>
      </x:c>
      <x:c r="D139" s="97" t="str">
        <x:v>I276</x:v>
      </x:c>
      <x:c r="E139" s="97" t="str"/>
      <x:c r="F139" s="97" t="str">
        <x:v>Collateral relationship merged from the extended-family research package.</x:v>
      </x:c>
      <x:c r="G139" s="97" t="str">
        <x:v>S27</x:v>
      </x:c>
    </x:row>
    <x:row r="140">
      <x:c r="A140" s="97" t="str">
        <x:v>F139</x:v>
      </x:c>
      <x:c r="B140" s="97" t="str">
        <x:v>I277</x:v>
      </x:c>
      <x:c r="C140" s="97" t="str">
        <x:v>I278</x:v>
      </x:c>
      <x:c r="D140" s="97" t="str">
        <x:v>I279;I280;I281</x:v>
      </x:c>
      <x:c r="E140" s="97" t="str"/>
      <x:c r="F140" s="97" t="str">
        <x:v>Collateral relationship merged from the extended-family research package.</x:v>
      </x:c>
      <x:c r="G140" s="97" t="str">
        <x:v>S27</x:v>
      </x:c>
    </x:row>
    <x:row r="141">
      <x:c r="A141" s="97" t="str">
        <x:v>F140</x:v>
      </x:c>
      <x:c r="B141" s="97" t="str">
        <x:v>I286</x:v>
      </x:c>
      <x:c r="C141" s="97" t="str">
        <x:v>I285</x:v>
      </x:c>
      <x:c r="D141" s="97" t="str">
        <x:v>I287;I288;I289;I290;I291;I292;I293</x:v>
      </x:c>
      <x:c r="E141" s="97" t="str"/>
      <x:c r="F141" s="97" t="str">
        <x:v>Collateral relationship merged from the extended-family research package.</x:v>
      </x:c>
      <x:c r="G141" s="97" t="str">
        <x:v>S27</x:v>
      </x:c>
    </x:row>
    <x:row r="142">
      <x:c r="A142" s="97" t="str">
        <x:v>F141</x:v>
      </x:c>
      <x:c r="B142" s="97" t="str">
        <x:v>I315</x:v>
      </x:c>
      <x:c r="C142" s="97" t="str">
        <x:v>I316</x:v>
      </x:c>
      <x:c r="D142" s="97" t="str">
        <x:v>I317</x:v>
      </x:c>
      <x:c r="E142" s="97" t="str"/>
      <x:c r="F142" s="97" t="str">
        <x:v>Collateral relationship merged from the extended-family research package.</x:v>
      </x:c>
      <x:c r="G142" s="97" t="str">
        <x:v>S27</x:v>
      </x:c>
    </x:row>
    <x:row r="143">
      <x:c r="A143" s="97" t="str">
        <x:v>F142</x:v>
      </x:c>
      <x:c r="B143" s="97" t="str">
        <x:v>I321</x:v>
      </x:c>
      <x:c r="C143" s="97" t="str">
        <x:v>I320</x:v>
      </x:c>
      <x:c r="D143" s="97" t="str">
        <x:v>I322;I323</x:v>
      </x:c>
      <x:c r="E143" s="97" t="str"/>
      <x:c r="F143" s="97" t="str">
        <x:v>Collateral relationship merged from the extended-family research package.</x:v>
      </x:c>
      <x:c r="G143" s="97" t="str">
        <x:v>S27</x:v>
      </x:c>
    </x:row>
    <x:row r="144">
      <x:c r="A144" s="97" t="str">
        <x:v>F143</x:v>
      </x:c>
      <x:c r="B144" s="97" t="str">
        <x:v>I329</x:v>
      </x:c>
      <x:c r="C144" s="97" t="str">
        <x:v>I330</x:v>
      </x:c>
      <x:c r="D144" s="97" t="str">
        <x:v>I331</x:v>
      </x:c>
      <x:c r="E144" s="97" t="str"/>
      <x:c r="F144" s="97" t="str">
        <x:v>Collateral relationship merged from the extended-family research package.</x:v>
      </x:c>
      <x:c r="G144" s="97" t="str">
        <x:v>S27</x:v>
      </x:c>
    </x:row>
    <x:row r="145">
      <x:c r="A145" s="97" t="str">
        <x:v>F144</x:v>
      </x:c>
      <x:c r="B145" s="97" t="str">
        <x:v>I176</x:v>
      </x:c>
      <x:c r="C145" s="97" t="str">
        <x:v>I334</x:v>
      </x:c>
      <x:c r="D145" s="97" t="str">
        <x:v>I335</x:v>
      </x:c>
      <x:c r="E145" s="97" t="str">
        <x:v>16 SEP 1955; King County, Washington</x:v>
      </x:c>
      <x:c r="F145" s="97" t="str">
        <x:v>Owner-confirmed biological parents of Chris Vollmer. Chris is Fredric Muller Vollmer's paternal half-brother. The earlier unconfirmed-father status is superseded by the owner's 2 September 2026 clarification. | Washington State Archives documents Henry and Mary Alice's marriage; owner testimony separately confirms both as Chris's biological parents.</x:v>
      </x:c>
      <x:c r="G145" s="97" t="str">
        <x:v>S28;S31</x:v>
      </x:c>
    </x:row>
    <x:row r="146">
      <x:c r="A146" s="97" t="str">
        <x:v>F145</x:v>
      </x:c>
      <x:c r="B146" s="97" t="str">
        <x:v>I336</x:v>
      </x:c>
      <x:c r="C146" s="97" t="str">
        <x:v>I337</x:v>
      </x:c>
      <x:c r="D146" s="97" t="str">
        <x:v>I334</x:v>
      </x:c>
      <x:c r="E146" s="97" t="str">
        <x:v>16 NOV 1929; Pierce County, Washington</x:v>
      </x:c>
      <x:c r="F146" s="97" t="str">
        <x:v>The 1950 census identifies Mary Alice as William and Alice's daughter.</x:v>
      </x:c>
      <x:c r="G146" s="97" t="str">
        <x:v>S32;S33</x:v>
      </x:c>
    </x:row>
    <x:row r="147">
      <x:c r="A147" s="97" t="str">
        <x:v>F146</x:v>
      </x:c>
      <x:c r="B147" s="97" t="str">
        <x:v>I338</x:v>
      </x:c>
      <x:c r="C147" s="97" t="str">
        <x:v>I339</x:v>
      </x:c>
      <x:c r="D147" s="97" t="str">
        <x:v>I336</x:v>
      </x:c>
      <x:c r="E147" s="97" t="str"/>
      <x:c r="F147" s="97" t="str">
        <x:v>The 1910 Great Falls census records William as the son of Christian and Augusta Thoren; Swedish records identify both parents' earlier generations.</x:v>
      </x:c>
      <x:c r="G147" s="97" t="str">
        <x:v>S34</x:v>
      </x:c>
    </x:row>
    <x:row r="148">
      <x:c r="A148" s="97" t="str">
        <x:v>F147</x:v>
      </x:c>
      <x:c r="B148" s="97" t="str">
        <x:v>I340</x:v>
      </x:c>
      <x:c r="C148" s="97" t="str">
        <x:v>I341</x:v>
      </x:c>
      <x:c r="D148" s="97" t="str">
        <x:v>I338</x:v>
      </x:c>
      <x:c r="E148" s="97" t="str"/>
      <x:c r="F148" s="97" t="str">
        <x:v>Christian's Swedish indexed birth and the linked household surveys identify Anders and Kjersti as his parents.</x:v>
      </x:c>
      <x:c r="G148" s="97" t="str">
        <x:v>S36</x:v>
      </x:c>
    </x:row>
    <x:row r="149">
      <x:c r="A149" s="97" t="str">
        <x:v>F148</x:v>
      </x:c>
      <x:c r="B149" s="97" t="str">
        <x:v>I342</x:v>
      </x:c>
      <x:c r="C149" s="97" t="str">
        <x:v>I343</x:v>
      </x:c>
      <x:c r="D149" s="97" t="str">
        <x:v>I340</x:v>
      </x:c>
      <x:c r="E149" s="97" t="str"/>
      <x:c r="F149" s="97" t="str">
        <x:v>The Norra Sandby household survey records Anders as the son of Trued Andersson and Bortha Nilsdotter.</x:v>
      </x:c>
      <x:c r="G149" s="97" t="str">
        <x:v>S38</x:v>
      </x:c>
    </x:row>
    <x:row r="150">
      <x:c r="A150" s="97" t="str">
        <x:v>F149</x:v>
      </x:c>
      <x:c r="B150" s="97" t="str">
        <x:v>I344</x:v>
      </x:c>
      <x:c r="C150" s="97" t="str">
        <x:v>I345</x:v>
      </x:c>
      <x:c r="D150" s="97" t="str">
        <x:v>I339</x:v>
      </x:c>
      <x:c r="E150" s="97" t="str">
        <x:v>26 OCT 1850; Ränneslöv, Halland, Sweden</x:v>
      </x:c>
      <x:c r="F150" s="97" t="str">
        <x:v>Augusta's Hjärnarp birth, baptism, and household records identify Nils and Christina as her parents.</x:v>
      </x:c>
      <x:c r="G150" s="97" t="str">
        <x:v>S37;S39</x:v>
      </x:c>
    </x:row>
    <x:row r="151">
      <x:c r="A151" s="97" t="str">
        <x:v>F150</x:v>
      </x:c>
      <x:c r="B151" s="97" t="str"/>
      <x:c r="C151" s="97" t="str">
        <x:v>I346</x:v>
      </x:c>
      <x:c r="D151" s="97" t="str">
        <x:v>I344</x:v>
      </x:c>
      <x:c r="E151" s="97" t="str"/>
      <x:c r="F151" s="97" t="str">
        <x:v>Nils's 1825 baptism names Gunnilla Nilsdotter as his mother and names no father; the father remains blank.</x:v>
      </x:c>
      <x:c r="G151" s="97" t="str">
        <x:v>S40</x:v>
      </x:c>
    </x:row>
    <x:row r="152">
      <x:c r="A152" s="97" t="str">
        <x:v>F151</x:v>
      </x:c>
      <x:c r="B152" s="97" t="str">
        <x:v>I347</x:v>
      </x:c>
      <x:c r="C152" s="97" t="str">
        <x:v>I348</x:v>
      </x:c>
      <x:c r="D152" s="97" t="str">
        <x:v>I346</x:v>
      </x:c>
      <x:c r="E152" s="97" t="str"/>
      <x:c r="F152" s="97" t="str">
        <x:v>Gunnilla's 1796 baptism names Nils Johansson and Elna Nilsdotter as her parents.</x:v>
      </x:c>
      <x:c r="G152" s="97" t="str">
        <x:v>S41</x:v>
      </x:c>
    </x:row>
    <x:row r="153">
      <x:c r="A153" s="97" t="str">
        <x:v>F152</x:v>
      </x:c>
      <x:c r="B153" s="97" t="str">
        <x:v>I349</x:v>
      </x:c>
      <x:c r="C153" s="97" t="str">
        <x:v>I350</x:v>
      </x:c>
      <x:c r="D153" s="97" t="str">
        <x:v>I345</x:v>
      </x:c>
      <x:c r="E153" s="97" t="str"/>
      <x:c r="F153" s="97" t="str">
        <x:v>Christina's 1823 baptism and the Hasslöv household survey identify Pehr and Ingier as her parents.</x:v>
      </x:c>
      <x:c r="G153" s="97" t="str">
        <x:v>S42</x:v>
      </x:c>
    </x:row>
    <x:row r="154">
      <x:c r="A154" s="97" t="str">
        <x:v>F153</x:v>
      </x:c>
      <x:c r="B154" s="97" t="str">
        <x:v>I351</x:v>
      </x:c>
      <x:c r="C154" s="97" t="str">
        <x:v>I352</x:v>
      </x:c>
      <x:c r="D154" s="97" t="str">
        <x:v>I349</x:v>
      </x:c>
      <x:c r="E154" s="97" t="str"/>
      <x:c r="F154" s="97" t="str">
        <x:v>Pehr's 1790 Hishult baptism names Erland Pålsson and Bengta Pehrsdotter as his parents.</x:v>
      </x:c>
      <x:c r="G154" s="97" t="str">
        <x:v>S44</x:v>
      </x:c>
    </x:row>
    <x:row r="155">
      <x:c r="A155" s="97" t="str">
        <x:v>F154</x:v>
      </x:c>
      <x:c r="B155" s="97" t="str">
        <x:v>I353</x:v>
      </x:c>
      <x:c r="C155" s="97" t="str">
        <x:v>I354</x:v>
      </x:c>
      <x:c r="D155" s="97" t="str">
        <x:v>I350</x:v>
      </x:c>
      <x:c r="E155" s="97" t="str"/>
      <x:c r="F155" s="97" t="str">
        <x:v>Ingier's 1794 Hasslöv baptism names Hans Månsson and Maria Hansdotter as her parents.</x:v>
      </x:c>
      <x:c r="G155" s="97" t="str">
        <x:v>S45</x:v>
      </x:c>
    </x:row>
    <x:row r="156">
      <x:c r="A156" s="97" t="str">
        <x:v>F155</x:v>
      </x:c>
      <x:c r="B156" s="97" t="str">
        <x:v>I176</x:v>
      </x:c>
      <x:c r="C156" s="97" t="str"/>
      <x:c r="D156" s="97" t="str">
        <x:v>I355</x:v>
      </x:c>
      <x:c r="E156" s="97" t="str"/>
      <x:c r="F156" s="97" t="str">
        <x:v>Peter's indexed obituary names Henry R Vollmer as his father. Peter is owner-confirmed as Chris Vollmer's brother; Peter's mother is not inferred.</x:v>
      </x:c>
      <x:c r="G156" s="97" t="str">
        <x:v>S47</x:v>
      </x:c>
    </x:row>
  </x:sheetData>
  <x:pageMargins left="0.7" right="0.7" top="0.75" bottom="0.75" header="0.3" footer="0.3"/>
  <x:tableParts count="1">
    <x:tablePart xmlns:r="http://schemas.openxmlformats.org/officeDocument/2006/relationships" r:id="Rcc4e3d7648814ecb"/>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8" hidden="0" customWidth="1"/>
    <x:col min="2" max="2" width="46" hidden="0" customWidth="1"/>
    <x:col min="3" max="3" width="26" hidden="0" customWidth="1"/>
    <x:col min="4" max="4" width="16" hidden="0" customWidth="1"/>
    <x:col min="5" max="5" width="80" hidden="0" customWidth="1"/>
    <x:col min="6" max="6" width="28" hidden="0" customWidth="1"/>
  </x:cols>
  <x:sheetData>
    <x:row r="1" ht="30" customHeight="1">
      <x:c r="A1" s="102" t="str">
        <x:v>source_id</x:v>
      </x:c>
      <x:c r="B1" s="102" t="str">
        <x:v>title</x:v>
      </x:c>
      <x:c r="C1" s="102" t="str">
        <x:v>author</x:v>
      </x:c>
      <x:c r="D1" s="102" t="str">
        <x:v>date</x:v>
      </x:c>
      <x:c r="E1" s="102" t="str">
        <x:v>notes</x:v>
      </x:c>
      <x:c r="F1" s="102" t="str">
        <x:v>origin</x:v>
      </x:c>
    </x:row>
    <x:row r="2">
      <x:c r="A2" s="97" t="str">
        <x:v>S1</x:v>
      </x:c>
      <x:c r="B2" s="97" t="str">
        <x:v>Statement supplied by Fredric Muller Vollmer</x:v>
      </x:c>
      <x:c r="C2" s="97" t="str"/>
      <x:c r="D2" s="97" t="str"/>
      <x:c r="E2" s="97" t="str">
        <x:v>Anchors Fredric, Jan Muller Vollmer, Anne Muller/McCormick, Eloise McCormick, and Charles Ellsworth McCormick II.</x:v>
      </x:c>
      <x:c r="F2" s="97" t="str">
        <x:v>recovered canonical GEDCOM</x:v>
      </x:c>
    </x:row>
    <x:row r="3">
      <x:c r="A3" s="97" t="str">
        <x:v>S2</x:v>
      </x:c>
      <x:c r="B3" s="97" t="str">
        <x:v>1998 Muller Family Tree by Arthur John "Art" Muller</x:v>
      </x:c>
      <x:c r="C3" s="97" t="str"/>
      <x:c r="D3" s="97" t="str"/>
      <x:c r="E3" s="97" t="str">
        <x:v>Primary roadmap for the Muller, Vollrath, Kleitz, Wüst, and Lee relationships. Jan described it as "pretty accurate" but noted omissions.</x:v>
      </x:c>
      <x:c r="F3" s="97" t="str">
        <x:v>recovered canonical GEDCOM</x:v>
      </x:c>
    </x:row>
    <x:row r="4">
      <x:c r="A4" s="97" t="str">
        <x:v>S3</x:v>
      </x:c>
      <x:c r="B4" s="97" t="str">
        <x:v>Jan Muller Vollmer family correspondence about the Lee family</x:v>
      </x:c>
      <x:c r="C4" s="97" t="str"/>
      <x:c r="D4" s="97" t="str"/>
      <x:c r="E4" s="97" t="str">
        <x:v>Identifies Elma Lee Muller as Arthur John Muller’s mother, her brother Elmer, and family locations in Michigan.</x:v>
      </x:c>
      <x:c r="F4" s="97" t="str">
        <x:v>recovered canonical GEDCOM</x:v>
      </x:c>
    </x:row>
    <x:row r="5">
      <x:c r="A5" s="97" t="str">
        <x:v>S4</x:v>
      </x:c>
      <x:c r="B5" s="97" t="str">
        <x:v>Irene Slaughter Cooke DAR lineage worksheet</x:v>
      </x:c>
      <x:c r="C5" s="97" t="str"/>
      <x:c r="D5" s="97" t="str"/>
      <x:c r="E5" s="97" t="str">
        <x:v>Documents the Rives descent from Lula Rives through Green Rives and records the traditional line to William Rives of Oxfordshire.</x:v>
      </x:c>
      <x:c r="F5" s="97" t="str">
        <x:v>recovered canonical GEDCOM</x:v>
      </x:c>
    </x:row>
    <x:row r="6">
      <x:c r="A6" s="97" t="str">
        <x:v>S5</x:v>
      </x:c>
      <x:c r="B6" s="97" t="str">
        <x:v>Arthur John Muller Collection, Veterans History Project</x:v>
      </x:c>
      <x:c r="C6" s="97" t="str"/>
      <x:c r="D6" s="97" t="str"/>
      <x:c r="E6" s="97" t="str">
        <x:v>Confirms Arthur John Muller’s Army service dates, 1943-1945, and preserves his first-person materials.</x:v>
      </x:c>
      <x:c r="F6" s="97" t="str">
        <x:v>recovered canonical GEDCOM</x:v>
      </x:c>
    </x:row>
    <x:row r="7">
      <x:c r="A7" s="97" t="str">
        <x:v>S6</x:v>
      </x:c>
      <x:c r="B7" s="97" t="str">
        <x:v>Hubbard Stone Lee family group</x:v>
      </x:c>
      <x:c r="C7" s="97" t="str"/>
      <x:c r="D7" s="97" t="str"/>
      <x:c r="E7" s="97" t="str">
        <x:v>Names Hubbard’s parents, wife, and children, including Elmer Ellsworth Lee; cites Michigan vital records and NEHGR.</x:v>
      </x:c>
      <x:c r="F7" s="97" t="str">
        <x:v>recovered canonical GEDCOM</x:v>
      </x:c>
    </x:row>
    <x:row r="8">
      <x:c r="A8" s="97" t="str">
        <x:v>S7</x:v>
      </x:c>
      <x:c r="B8" s="97" t="str">
        <x:v>Harry Pearl Lee Ahnentafel ancestor chart</x:v>
      </x:c>
      <x:c r="C8" s="97" t="str"/>
      <x:c r="D8" s="97" t="str"/>
      <x:c r="E8" s="97" t="str">
        <x:v>Provides the colonial Connecticut and English-parish ancestry behind Hubbard Stone Lee. Individual family-group pages cite record sets and publications.</x:v>
      </x:c>
      <x:c r="F8" s="97" t="str">
        <x:v>recovered canonical GEDCOM</x:v>
      </x:c>
    </x:row>
    <x:row r="9">
      <x:c r="A9" s="97" t="str">
        <x:v>S8</x:v>
      </x:c>
      <x:c r="B9" s="97" t="str">
        <x:v>A Record of the Agee Family, P. M. Agee</x:v>
      </x:c>
      <x:c r="C9" s="97" t="str"/>
      <x:c r="D9" s="97" t="str"/>
      <x:c r="E9" s="97" t="str">
        <x:v>Connects Elvie A. Slaughter, Lula Rives, Florence Estelle Agee, and the Agee line to Mathieu Agee; the compiler expressly acknowledges possible errors.</x:v>
      </x:c>
      <x:c r="F9" s="97" t="str">
        <x:v>recovered canonical GEDCOM</x:v>
      </x:c>
    </x:row>
    <x:row r="10">
      <x:c r="A10" s="97" t="str">
        <x:v>S9</x:v>
      </x:c>
      <x:c r="B10" s="97" t="str">
        <x:v>Robert Calhoun Rives profile</x:v>
      </x:c>
      <x:c r="C10" s="97" t="str"/>
      <x:c r="D10" s="97" t="str"/>
      <x:c r="E10" s="97" t="str">
        <x:v>Uses pension, census, and published Rives materials for Robert Calhoun Rives and his family.</x:v>
      </x:c>
      <x:c r="F10" s="97" t="str">
        <x:v>recovered canonical GEDCOM</x:v>
      </x:c>
    </x:row>
    <x:row r="11">
      <x:c r="A11" s="97" t="str">
        <x:v>S10</x:v>
      </x:c>
      <x:c r="B11" s="97" t="str">
        <x:v>Green Rives profile</x:v>
      </x:c>
      <x:c r="C11" s="97" t="str"/>
      <x:c r="D11" s="97" t="str"/>
      <x:c r="E11" s="97" t="str">
        <x:v>Documents Green Rives, Mary Ridley Jones, and Green’s parents William Rives and Lucy Wyche.</x:v>
      </x:c>
      <x:c r="F11" s="97" t="str">
        <x:v>recovered canonical GEDCOM</x:v>
      </x:c>
    </x:row>
    <x:row r="12">
      <x:c r="A12" s="97" t="str">
        <x:v>S11</x:v>
      </x:c>
      <x:c r="B12" s="97" t="str">
        <x:v>William Rives profile</x:v>
      </x:c>
      <x:c r="C12" s="97" t="str"/>
      <x:c r="D12" s="97" t="str"/>
      <x:c r="E12" s="97" t="str">
        <x:v>Documents William Rives, Lucy Wyche, and the relationship to Timothy Rives.</x:v>
      </x:c>
      <x:c r="F12" s="97" t="str">
        <x:v>recovered canonical GEDCOM</x:v>
      </x:c>
    </x:row>
    <x:row r="13">
      <x:c r="A13" s="97" t="str">
        <x:v>S12</x:v>
      </x:c>
      <x:c r="B13" s="97" t="str">
        <x:v>Timothy Rives profile</x:v>
      </x:c>
      <x:c r="C13" s="97" t="str"/>
      <x:c r="D13" s="97" t="str"/>
      <x:c r="E13" s="97" t="str">
        <x:v>Documents Timothy Rives and discusses the uncertain identity of his wife Hester and earlier Rives generations.</x:v>
      </x:c>
      <x:c r="F13" s="97" t="str">
        <x:v>recovered canonical GEDCOM</x:v>
      </x:c>
    </x:row>
    <x:row r="14">
      <x:c r="A14" s="97" t="str">
        <x:v>S13</x:v>
      </x:c>
      <x:c r="B14" s="97" t="str">
        <x:v>William Ryves immigrant profile and lineage discussion</x:v>
      </x:c>
      <x:c r="C14" s="97" t="str"/>
      <x:c r="D14" s="97" t="str"/>
      <x:c r="E14" s="97" t="str">
        <x:v>Explains disagreement over whether William or Timothy was the earliest immigrant and why the c.1636 English connection remains disputed.</x:v>
      </x:c>
      <x:c r="F14" s="97" t="str">
        <x:v>recovered canonical GEDCOM</x:v>
      </x:c>
    </x:row>
    <x:row r="15">
      <x:c r="A15" s="97" t="str">
        <x:v>S14</x:v>
      </x:c>
      <x:c r="B15" s="97" t="str">
        <x:v>Christopher O’Brien lineage</x:v>
      </x:c>
      <x:c r="C15" s="97" t="str"/>
      <x:c r="D15" s="97" t="str"/>
      <x:c r="E15" s="97" t="str">
        <x:v>Connects Martha Ann O’Brien McCormick to Christopher O’Brien and Sophronia Simmons.</x:v>
      </x:c>
      <x:c r="F15" s="97" t="str">
        <x:v>recovered canonical GEDCOM</x:v>
      </x:c>
    </x:row>
    <x:row r="16">
      <x:c r="A16" s="97" t="str">
        <x:v>S15</x:v>
      </x:c>
      <x:c r="B16" s="97" t="str">
        <x:v>Annotated Bullitt County 1850 census</x:v>
      </x:c>
      <x:c r="C16" s="97" t="str"/>
      <x:c r="D16" s="97" t="str"/>
      <x:c r="E16" s="97" t="str">
        <x:v>Shows Charles and Elizabeth McCormick with son Edward in Bullitt County in 1850.</x:v>
      </x:c>
      <x:c r="F16" s="97" t="str">
        <x:v>recovered canonical GEDCOM</x:v>
      </x:c>
    </x:row>
    <x:row r="17">
      <x:c r="A17" s="97" t="str">
        <x:v>S16</x:v>
      </x:c>
      <x:c r="B17" s="97" t="str">
        <x:v>Shepherdsville Pioneer Graveyard historical marker inventory</x:v>
      </x:c>
      <x:c r="C17" s="97" t="str"/>
      <x:c r="D17" s="97" t="str"/>
      <x:c r="E17" s="97" t="str">
        <x:v>Supports the dates and marriage of Edward H. McCormick and Martha Ann O’Brien.</x:v>
      </x:c>
      <x:c r="F17" s="97" t="str">
        <x:v>recovered canonical GEDCOM</x:v>
      </x:c>
    </x:row>
    <x:row r="18">
      <x:c r="A18" s="97" t="str">
        <x:v>S17</x:v>
      </x:c>
      <x:c r="B18" s="97" t="str">
        <x:v>David Franklin Brooks / Brooks family biography</x:v>
      </x:c>
      <x:c r="C18" s="97" t="str"/>
      <x:c r="D18" s="97" t="str"/>
      <x:c r="E18" s="97" t="str">
        <x:v>Documents Solomon Neal Brooks, Elizabeth Field, and their parentage; conflicts with other records about Solomon’s mother.</x:v>
      </x:c>
      <x:c r="F18" s="97" t="str">
        <x:v>recovered canonical GEDCOM</x:v>
      </x:c>
    </x:row>
    <x:row r="19">
      <x:c r="A19" s="97" t="str">
        <x:v>S18</x:v>
      </x:c>
      <x:c r="B19" s="97" t="str">
        <x:v>Joseph A. Brooks 1845 will</x:v>
      </x:c>
      <x:c r="C19" s="97" t="str"/>
      <x:c r="D19" s="97" t="str"/>
      <x:c r="E19" s="97" t="str">
        <x:v>Names wife Rebecca and children including Solomon N. Brooks. The will also documents enslaved people held by the estate.</x:v>
      </x:c>
      <x:c r="F19" s="97" t="str">
        <x:v>recovered canonical GEDCOM</x:v>
      </x:c>
    </x:row>
    <x:row r="20">
      <x:c r="A20" s="97" t="str">
        <x:v>S19</x:v>
      </x:c>
      <x:c r="B20" s="97" t="str">
        <x:v>Joseph Brooks 1818 will</x:v>
      </x:c>
      <x:c r="C20" s="97" t="str"/>
      <x:c r="D20" s="97" t="str"/>
      <x:c r="E20" s="97" t="str">
        <x:v>Names wife Nancy and son Joseph Anderson Brooks. The will also documents enslaved people held by the estate.</x:v>
      </x:c>
      <x:c r="F20" s="97" t="str">
        <x:v>recovered canonical GEDCOM</x:v>
      </x:c>
    </x:row>
    <x:row r="21">
      <x:c r="A21" s="97" t="str">
        <x:v>S20</x:v>
      </x:c>
      <x:c r="B21" s="97" t="str">
        <x:v>Fairfield County Harrison research and equity-court abstracts</x:v>
      </x:c>
      <x:c r="C21" s="97" t="str"/>
      <x:c r="D21" s="97" t="str"/>
      <x:c r="E21" s="97" t="str">
        <x:v>Equity records identify Amelia Harrison as daughter of William Harrison and Ann Perry, granddaughter of Reuben Harrison, and granddaughter of James Perry on her mother’s side.</x:v>
      </x:c>
      <x:c r="F21" s="97" t="str">
        <x:v>recovered canonical GEDCOM</x:v>
      </x:c>
    </x:row>
    <x:row r="22">
      <x:c r="A22" s="97" t="str">
        <x:v>S21</x:v>
      </x:c>
      <x:c r="B22" s="97" t="str">
        <x:v>Kastler Families database: Lambert Kleitz and Elizabeth Wüst family</x:v>
      </x:c>
      <x:c r="C22" s="97" t="str"/>
      <x:c r="D22" s="97" t="str"/>
      <x:c r="E22" s="97" t="str">
        <x:v>Lists Lambert Kleitz, Elizabeth Wüst, their children including Henrietta, and Elizabeth’s father Jacob Wüst.</x:v>
      </x:c>
      <x:c r="F22" s="97" t="str">
        <x:v>recovered canonical GEDCOM</x:v>
      </x:c>
    </x:row>
    <x:row r="23">
      <x:c r="A23" s="97" t="str">
        <x:v>S22</x:v>
      </x:c>
      <x:c r="B23" s="97" t="str">
        <x:v>Charles Ellsworth McCormick (1862-1911)</x:v>
      </x:c>
      <x:c r="C23" s="97" t="str"/>
      <x:c r="D23" s="97" t="str"/>
      <x:c r="E23" s="97" t="str">
        <x:v>Supports birth, death, and marriage details for Charles Ellsworth McCormick I.</x:v>
      </x:c>
      <x:c r="F23" s="97" t="str">
        <x:v>recovered canonical GEDCOM</x:v>
      </x:c>
    </x:row>
    <x:row r="24">
      <x:c r="A24" s="97" t="str">
        <x:v>S23</x:v>
      </x:c>
      <x:c r="B24" s="97" t="str">
        <x:v>Isaac Bush Slaughter Sr. profile</x:v>
      </x:c>
      <x:c r="C24" s="97" t="str"/>
      <x:c r="D24" s="97" t="str"/>
      <x:c r="E24" s="97" t="str">
        <x:v>Supports dates and parents for Isaac Bush Slaughter Sr.; used with the DAR worksheet and Agee family history.</x:v>
      </x:c>
      <x:c r="F24" s="97" t="str">
        <x:v>recovered canonical GEDCOM</x:v>
      </x:c>
    </x:row>
    <x:row r="25">
      <x:c r="A25" s="97" t="str">
        <x:v>S24</x:v>
      </x:c>
      <x:c r="B25" s="97" t="str">
        <x:v>Modern Muller/Lee vital-record indexes</x:v>
      </x:c>
      <x:c r="C25" s="97" t="str"/>
      <x:c r="D25" s="97" t="str"/>
      <x:c r="E25" s="97" t="str">
        <x:v>Supports Elma Anna Lee’s dates and identifies Elmer Ellsworth Lee and Mary Wilhelmina Ohmer as her parents.</x:v>
      </x:c>
      <x:c r="F25" s="97" t="str">
        <x:v>recovered canonical GEDCOM</x:v>
      </x:c>
    </x:row>
    <x:row r="26">
      <x:c r="A26" s="97" t="str">
        <x:v>S25</x:v>
      </x:c>
      <x:c r="B26" s="97" t="str">
        <x:v>Charles Ellsworth McCormick II public index</x:v>
      </x:c>
      <x:c r="C26" s="97" t="str"/>
      <x:c r="D26" s="97" t="str"/>
      <x:c r="E26" s="97" t="str">
        <x:v>Supports Charles Ellsworth McCormick II’s birth and death dates.</x:v>
      </x:c>
      <x:c r="F26" s="97" t="str">
        <x:v>recovered canonical GEDCOM</x:v>
      </x:c>
    </x:row>
    <x:row r="27">
      <x:c r="A27" s="97" t="str">
        <x:v>S26</x:v>
      </x:c>
      <x:c r="B27" s="97" t="str">
        <x:v>Vollmer-Marsh direct-ancestor records-first research package</x:v>
      </x:c>
      <x:c r="C27" s="97" t="str">
        <x:v>Codex research tasks in the Family Tree project</x:v>
      </x:c>
      <x:c r="D27" s="97" t="str"/>
      <x:c r="E27" s="97" t="str">
        <x:v>Full citations and preserved records are in Fredric_Vollmer_Complete_Family_Tree_Sources.md and records/.</x:v>
      </x:c>
      <x:c r="F27" s="97" t="str">
        <x:v>cross-chat consolidation</x:v>
      </x:c>
    </x:row>
    <x:row r="28">
      <x:c r="A28" s="97" t="str">
        <x:v>S27</x:v>
      </x:c>
      <x:c r="B28" s="97" t="str">
        <x:v>Extended-family records-first research package</x:v>
      </x:c>
      <x:c r="C28" s="97" t="str">
        <x:v>Codex extended-family task in the Family Tree project</x:v>
      </x:c>
      <x:c r="D28" s="97" t="str"/>
      <x:c r="E28" s="97" t="str">
        <x:v>Full citations, rejected candidates, and source quality are in Fredric_Vollmer_Complete_Family_Tree_Sources.md.</x:v>
      </x:c>
      <x:c r="F28" s="97" t="str">
        <x:v>cross-chat consolidation</x:v>
      </x:c>
    </x:row>
    <x:row r="29">
      <x:c r="A29" s="97" t="str">
        <x:v>S28</x:v>
      </x:c>
      <x:c r="B29" s="97" t="str">
        <x:v>Owner statements on Jan Muller Vollmer, Mary Alice Thoren, William Thoren, and Chris Vollmer</x:v>
      </x:c>
      <x:c r="C29" s="97" t="str">
        <x:v>Fredric Muller Vollmer</x:v>
      </x:c>
      <x:c r="D29" s="97" t="str">
        <x:v>2 SEP 2026</x:v>
      </x:c>
      <x:c r="E29" s="97" t="str">
        <x:v>Jan is Fredric's biological mother; Mary Alice Thoren was born in Port Townsend, was Henry's first wife, and is Chris Vollmer's mother; Jan is Chris's stepmother. William 'Bill' Thoren was remembered as Mary Alice's father. A later 2 Sep statement explicitly identifies Henry as Chris's biological father and Chris as Fredric's paternal half-brother, superseding the earlier unconfirmed status.</x:v>
      </x:c>
      <x:c r="F29" s="97" t="str">
        <x:v>cross-chat consolidation</x:v>
      </x:c>
    </x:row>
    <x:row r="30">
      <x:c r="A30" s="97" t="str">
        <x:v>S29</x:v>
      </x:c>
      <x:c r="B30" s="97" t="str">
        <x:v>Recovered records-first corrected maternal family-tree package</x:v>
      </x:c>
      <x:c r="C30" s="97" t="str">
        <x:v>Build Family Tree chat in the Family Tree project</x:v>
      </x:c>
      <x:c r="D30" s="97" t="str">
        <x:v>30 AUG 2026</x:v>
      </x:c>
      <x:c r="E30" s="97" t="str">
        <x:v>Canonical GEDCOM, workbook, report, chart, source key, and validation package recovered from the original project chat.</x:v>
      </x:c>
      <x:c r="F30" s="97" t="str">
        <x:v>cross-chat consolidation</x:v>
      </x:c>
    </x:row>
    <x:row r="31">
      <x:c r="A31" s="97" t="str">
        <x:v>S30</x:v>
      </x:c>
      <x:c r="B31" s="97" t="str">
        <x:v>Owner statement on Charles Frederic Vollmer's name</x:v>
      </x:c>
      <x:c r="C31" s="97" t="str">
        <x:v>Fredric Muller Vollmer</x:v>
      </x:c>
      <x:c r="D31" s="97" t="str">
        <x:v>30 AUG 2026</x:v>
      </x:c>
      <x:c r="E31" s="97" t="str">
        <x:v>Frederic was Charles Vollmer's middle name. Later record indexes may spell it Frederick.</x:v>
      </x:c>
      <x:c r="F31" s="97" t="str">
        <x:v>cross-chat consolidation</x:v>
      </x:c>
    </x:row>
    <x:row r="32">
      <x:c r="A32" s="97" t="str">
        <x:v>S31</x:v>
      </x:c>
      <x:c r="B32" s="97" t="str">
        <x:v>Henry R Vollmer and Mary A Thoren marriage record</x:v>
      </x:c>
      <x:c r="C32" s="97" t="str">
        <x:v>Washington State Archives; King County Auditor</x:v>
      </x:c>
      <x:c r="D32" s="97" t="str">
        <x:v>16 SEP 1955</x:v>
      </x:c>
      <x:c r="E32" s="97" t="str">
        <x:v>King County Marriage Records, 1855-2017; reference kingcoarchmc207309; https://digitalarchives.wa.gov/Record/View/437A4FBD9EF3DA4BD90C60795808BC69</x:v>
      </x:c>
      <x:c r="F32" s="97" t="str">
        <x:v>cross-chat consolidation</x:v>
      </x:c>
    </x:row>
    <x:row r="33">
      <x:c r="A33" s="97" t="str">
        <x:v>S32</x:v>
      </x:c>
      <x:c r="B33" s="97" t="str">
        <x:v>1950 United States census household of William J Thoren</x:v>
      </x:c>
      <x:c r="C33" s="97" t="str">
        <x:v>U.S. Census Bureau; National Archives and Records Administration</x:v>
      </x:c>
      <x:c r="D33" s="97" t="str">
        <x:v>5 APR 1950</x:v>
      </x:c>
      <x:c r="E33" s="97" t="str">
        <x:v>Seattle, King County, Washington, enumeration district 40-124, sheet 74, lines 23-25. William J Thoren, wife Alice, and daughter Mary Alice; NARA image 43290879-Washington-031283-0021; https://1950census.archives.gov/search/?ed=40-124&amp;state=WA&amp;page=1</x:v>
      </x:c>
      <x:c r="F33" s="97" t="str">
        <x:v>cross-chat consolidation</x:v>
      </x:c>
    </x:row>
    <x:row r="34">
      <x:c r="A34" s="97" t="str">
        <x:v>S33</x:v>
      </x:c>
      <x:c r="B34" s="97" t="str">
        <x:v>William J Thoren and Alice Gallaher marriage record</x:v>
      </x:c>
      <x:c r="C34" s="97" t="str">
        <x:v>Washington State Archives; Pierce County Auditor</x:v>
      </x:c>
      <x:c r="D34" s="97" t="str">
        <x:v>16 NOV 1929</x:v>
      </x:c>
      <x:c r="E34" s="97" t="str">
        <x:v>Pierce County Auditor Marriage Records, reference prcmc-v23-00709; https://digitalarchives.wa.gov/Record/View/33AF9C076D80A9452C66FD351D17CD73</x:v>
      </x:c>
      <x:c r="F34" s="97" t="str">
        <x:v>cross-chat consolidation</x:v>
      </x:c>
    </x:row>
    <x:row r="35">
      <x:c r="A35" s="97" t="str">
        <x:v>S34</x:v>
      </x:c>
      <x:c r="B35" s="97" t="str">
        <x:v>William John Thoren U.S. census, draft, and death-record cluster</x:v>
      </x:c>
      <x:c r="C35" s="97" t="str">
        <x:v>U.S. Census Bureau; Selective Service System; state and federal vital-record indexes; Ancestry.com</x:v>
      </x:c>
      <x:c r="D35" s="97" t="str"/>
      <x:c r="E35" s="97" t="str">
        <x:v>The 1910 Great Falls census places William, born about 1902 in Montana, as son of Christian and Augusta Thoren; later records establish birth 19 Jul 1901 at Great Falls and death 26 Oct 1991. Records: https://www.ancestry.com/search/collections/7884/records/191842032 ; https://www.ancestry.com/search/collections/6061/records/45709575 ; https://www.ancestry.com/search/collections/6224/records/111918347 ; https://www.ancestry.com/search/collections/2238/records/37117805 ; https://www.ancestry.com/search/collections/5254/records/1097942 ; https://www.ancestry.com/search/collections/3693/records/62441333</x:v>
      </x:c>
      <x:c r="F35" s="97" t="str">
        <x:v>cross-chat consolidation</x:v>
      </x:c>
    </x:row>
    <x:row r="36">
      <x:c r="A36" s="97" t="str">
        <x:v>S35</x:v>
      </x:c>
      <x:c r="B36" s="97" t="str">
        <x:v>Alice Gallaher Thoren U.S. census, Social Security, death, and burial-record cluster</x:v>
      </x:c>
      <x:c r="C36" s="97" t="str">
        <x:v>U.S. Census Bureau; Social Security Administration; Washington State; Find a Grave; Ancestry.com</x:v>
      </x:c>
      <x:c r="D36" s="97" t="str"/>
      <x:c r="E36" s="97" t="str">
        <x:v>Records establish birth 27 Apr 1902 in Alaska and death 23 Aug 1978 at Ocean Park, Washington, while the 1929 marriage supplies Gallaher. No parent-naming primary record was found. Records: https://www.ancestry.com/search/collections/6224/records/111918337 ; https://www.ancestry.com/search/collections/3693/records/62440948 ; https://www.ancestry.com/search/collections/6716/records/895426 ; https://www.ancestry.com/search/collections/60541/records/182552983 ; https://www.ancestry.com/search/collections/60901/records/778054457</x:v>
      </x:c>
      <x:c r="F36" s="97" t="str">
        <x:v>cross-chat consolidation</x:v>
      </x:c>
    </x:row>
    <x:row r="37">
      <x:c r="A37" s="97" t="str">
        <x:v>S36</x:v>
      </x:c>
      <x:c r="B37" s="97" t="str">
        <x:v>Christian Andrew Thoren Swedish birth and household records, U.S. census, and Montana death index</x:v>
      </x:c>
      <x:c r="C37" s="97" t="str">
        <x:v>ArkivDigital; U.S. Census Bureau; Montana Department of Public Health and Human Services; Ancestry.com</x:v>
      </x:c>
      <x:c r="D37" s="97" t="str"/>
      <x:c r="E37" s="97" t="str">
        <x:v>Swedish records identify Christian Andersson/Thorén, born 27 Jan 1861 at Ignaberga, as son of Anders Troedsson and Kjersti Månsdotter. The Montana death index records 9 May 1921 but incorrectly places wife Augusta Nelson in the mother field. Records: https://www.ancestry.com/search/collections/2262/records/40805501 ; https://www.ancestry.com/search/collections/9731/records/42221130 ; https://www.ancestry.com/search/collections/7602/records/76515976 ; https://www.ancestry.com/search/collections/6061/records/45709573 ; https://www.ancestry.com/search/collections/5437/records/820390</x:v>
      </x:c>
      <x:c r="F37" s="97" t="str">
        <x:v>cross-chat consolidation</x:v>
      </x:c>
    </x:row>
    <x:row r="38">
      <x:c r="A38" s="97" t="str">
        <x:v>S37</x:v>
      </x:c>
      <x:c r="B38" s="97" t="str">
        <x:v>Augusta Nilsdotter Thoren Swedish birth, baptism, household, U.S. census, and burial records</x:v>
      </x:c>
      <x:c r="C38" s="97" t="str">
        <x:v>ArkivDigital; FamilySearch; U.S. Census Bureau; Find a Grave; Ancestry.com</x:v>
      </x:c>
      <x:c r="D38" s="97" t="str"/>
      <x:c r="E38" s="97" t="str">
        <x:v>Records identify Augusta, born 30 Nov 1860 at Hjärnarp, as daughter of Nils Svensson and Christina Persdotter; she died 4 Dec 1913 at Great Falls. Name forms include Nilsdotter, Svensson, Nilson, Nelson, and Thoren. Records: https://www.ancestry.com/search/collections/2262/records/41710407 ; https://www.ancestry.com/search/collections/60361/records/255112 ; https://www.ancestry.com/search/collections/9731/records/29521690 ; https://www.ancestry.com/search/collections/7602/records/76515977 ; https://www.ancestry.com/search/collections/60525/records/24177921</x:v>
      </x:c>
      <x:c r="F38" s="97" t="str">
        <x:v>cross-chat consolidation</x:v>
      </x:c>
    </x:row>
    <x:row r="39">
      <x:c r="A39" s="97" t="str">
        <x:v>S38</x:v>
      </x:c>
      <x:c r="B39" s="97" t="str">
        <x:v>Anders Troedsson and Kjersti Månsdotter Swedish household-survey chain</x:v>
      </x:c>
      <x:c r="C39" s="97" t="str">
        <x:v>ArkivDigital; Ancestry.com</x:v>
      </x:c>
      <x:c r="D39" s="97" t="str"/>
      <x:c r="E39" s="97" t="str">
        <x:v>The Ignaberga household links Anders (born 2 May 1824) and Kjersti (born 31 Oct 1825) to son Christian; the earlier Norra Sandby household links Anders to parents Trued Andersson (born 25 Apr 1792) and Bortha Nilsdotter (born 1783). Records: https://www.ancestry.com/search/collections/9731/records/8673393 ; https://www.ancestry.com/search/collections/9731/records/8673394 ; https://www.ancestry.com/search/collections/9731/records/73561674 ; https://www.ancestry.com/search/collections/9731/records/73561672 ; https://www.ancestry.com/search/collections/9731/records/73561673</x:v>
      </x:c>
      <x:c r="F39" s="97" t="str">
        <x:v>cross-chat consolidation</x:v>
      </x:c>
    </x:row>
    <x:row r="40">
      <x:c r="A40" s="97" t="str">
        <x:v>S39</x:v>
      </x:c>
      <x:c r="B40" s="97" t="str">
        <x:v>Nils Svensson and Christina Persdotter household and marriage records</x:v>
      </x:c>
      <x:c r="C40" s="97" t="str">
        <x:v>ArkivDigital; FamilySearch; Ancestry.com</x:v>
      </x:c>
      <x:c r="D40" s="97" t="str"/>
      <x:c r="E40" s="97" t="str">
        <x:v>The Hjärnarp household records the couple with daughter Augusta and their birthplaces/dates; the marriage index records 26 Oct 1850 at Ränneslöv. Records: https://www.ancestry.com/search/collections/9731/records/29521684 ; https://www.ancestry.com/search/collections/9731/records/29521685 ; https://www.ancestry.com/search/collections/60363/records/338059 ; https://www.ancestry.com/search/collections/60363/records/338058</x:v>
      </x:c>
      <x:c r="F40" s="97" t="str">
        <x:v>cross-chat consolidation</x:v>
      </x:c>
    </x:row>
    <x:row r="41">
      <x:c r="A41" s="97" t="str">
        <x:v>S40</x:v>
      </x:c>
      <x:c r="B41" s="97" t="str">
        <x:v>Nils Svensson 1825 Ränneslöv baptism</x:v>
      </x:c>
      <x:c r="C41" s="97" t="str">
        <x:v>FamilySearch; Ancestry.com</x:v>
      </x:c>
      <x:c r="D41" s="97" t="str">
        <x:v>5 MAY 1825</x:v>
      </x:c>
      <x:c r="E41" s="97" t="str">
        <x:v>Nils was born 3 May and baptized 5 May 1825 at Ränneslöv. The record names Gunnilla Nilsdotter as mother and names no father, so the paternal link remains blank. https://www.ancestry.com/search/collections/60361/records/13922815</x:v>
      </x:c>
      <x:c r="F41" s="97" t="str">
        <x:v>cross-chat consolidation</x:v>
      </x:c>
    </x:row>
    <x:row r="42">
      <x:c r="A42" s="97" t="str">
        <x:v>S41</x:v>
      </x:c>
      <x:c r="B42" s="97" t="str">
        <x:v>Gunnilla Nilsdotter 1796 Ränneslöv baptism</x:v>
      </x:c>
      <x:c r="C42" s="97" t="str">
        <x:v>FamilySearch; Ancestry.com</x:v>
      </x:c>
      <x:c r="D42" s="97" t="str">
        <x:v>25 SEP 1796</x:v>
      </x:c>
      <x:c r="E42" s="97" t="str">
        <x:v>Gunla/Gunnilla was born 20 Sep and baptized 25 Sep 1796 at Ränneslöv, daughter of Nils Johansson and Elna Nilsdotter. https://www.ancestry.com/search/collections/60361/records/22162419</x:v>
      </x:c>
      <x:c r="F42" s="97" t="str">
        <x:v>cross-chat consolidation</x:v>
      </x:c>
    </x:row>
    <x:row r="43">
      <x:c r="A43" s="97" t="str">
        <x:v>S42</x:v>
      </x:c>
      <x:c r="B43" s="97" t="str">
        <x:v>Christina Persdotter 1823 Hasslöv baptism</x:v>
      </x:c>
      <x:c r="C43" s="97" t="str">
        <x:v>FamilySearch; Ancestry.com</x:v>
      </x:c>
      <x:c r="D43" s="97" t="str">
        <x:v>25 JAN 1823</x:v>
      </x:c>
      <x:c r="E43" s="97" t="str">
        <x:v>Stina/Christina was born 24 Jan and baptized 25 Jan 1823 at Hasslöv, daughter of Pehr Erlandsson and Ingier Hansdotter. https://www.ancestry.com/search/collections/60361/records/23764021</x:v>
      </x:c>
      <x:c r="F43" s="97" t="str">
        <x:v>cross-chat consolidation</x:v>
      </x:c>
    </x:row>
    <x:row r="44">
      <x:c r="A44" s="97" t="str">
        <x:v>S43</x:v>
      </x:c>
      <x:c r="B44" s="97" t="str">
        <x:v>Pehr Erlandsson and Ingier Hansdotter Hasslöv household survey</x:v>
      </x:c>
      <x:c r="C44" s="97" t="str">
        <x:v>ArkivDigital; Ancestry.com</x:v>
      </x:c>
      <x:c r="D44" s="97" t="str"/>
      <x:c r="E44" s="97" t="str">
        <x:v>The 1814-1823 household records Pehr as head and Ingier as wife. It reports Pehr born 10 Feb 1791 and Ingier 20 Mar 1794; Pehr's baptism supplies the nearer 1790 birth year. Records: https://www.ancestry.com/search/collections/9731/records/91496907 ; https://www.ancestry.com/search/collections/9731/records/91496908</x:v>
      </x:c>
      <x:c r="F44" s="97" t="str">
        <x:v>cross-chat consolidation</x:v>
      </x:c>
    </x:row>
    <x:row r="45">
      <x:c r="A45" s="97" t="str">
        <x:v>S44</x:v>
      </x:c>
      <x:c r="B45" s="97" t="str">
        <x:v>Pehr Erlandsson 1790 Hishult baptism</x:v>
      </x:c>
      <x:c r="C45" s="97" t="str">
        <x:v>FamilySearch; Ancestry.com</x:v>
      </x:c>
      <x:c r="D45" s="97" t="str">
        <x:v>14 FEB 1790</x:v>
      </x:c>
      <x:c r="E45" s="97" t="str">
        <x:v>Pehr was born 10 Feb and baptized 14 Feb 1790 at Hishult, son of Erland Pålsson and Bengta Pehrsdotter. https://www.ancestry.com/search/collections/60361/records/15528153</x:v>
      </x:c>
      <x:c r="F45" s="97" t="str">
        <x:v>cross-chat consolidation</x:v>
      </x:c>
    </x:row>
    <x:row r="46">
      <x:c r="A46" s="97" t="str">
        <x:v>S45</x:v>
      </x:c>
      <x:c r="B46" s="97" t="str">
        <x:v>Ingier Hansdotter 1794 Hasslöv baptism</x:v>
      </x:c>
      <x:c r="C46" s="97" t="str">
        <x:v>FamilySearch; Ancestry.com</x:v>
      </x:c>
      <x:c r="D46" s="97" t="str">
        <x:v>23 MAR 1794</x:v>
      </x:c>
      <x:c r="E46" s="97" t="str">
        <x:v>Ingier was born 20 Mar and baptized 23 Mar 1794 at Hasslöv, daughter of Hans Månsson and Maria Hansdotter. https://www.ancestry.com/search/collections/60361/records/11677925</x:v>
      </x:c>
      <x:c r="F46" s="97" t="str">
        <x:v>cross-chat consolidation</x:v>
      </x:c>
    </x:row>
    <x:row r="47">
      <x:c r="A47" s="97" t="str">
        <x:v>S46</x:v>
      </x:c>
      <x:c r="B47" s="97" t="str">
        <x:v>Vital-date enrichment research ledger</x:v>
      </x:c>
      <x:c r="C47" s="97" t="str">
        <x:v>Codex research task in the Family Tree project</x:v>
      </x:c>
      <x:c r="D47" s="97" t="str">
        <x:v>2 SEP 2026</x:v>
      </x:c>
      <x:c r="E47" s="97" t="str">
        <x:v>Accepted additions, conservative date ranges, rejected candidates, source quality, and conflicts are itemized in Fredric_Vollmer_Complete_Family_Tree_Vital_Dates_Research.csv.</x:v>
      </x:c>
      <x:c r="F47" s="97" t="str">
        <x:v>cross-chat consolidation</x:v>
      </x:c>
    </x:row>
    <x:row r="48">
      <x:c r="A48" s="97" t="str">
        <x:v>S47</x:v>
      </x:c>
      <x:c r="B48" s="97" t="str">
        <x:v>Owner statements and Ancestry review for Bruce Muller and Peter Vollmer</x:v>
      </x:c>
      <x:c r="C48" s="97" t="str">
        <x:v>Fredric Muller Vollmer and Ancestry record review</x:v>
      </x:c>
      <x:c r="D48" s="97" t="str">
        <x:v>2 SEP 2026</x:v>
      </x:c>
      <x:c r="E48" s="97" t="str">
        <x:v>Bruce died in a Vancouver, Washington hospital and was remembered as age 14. Ancestry's existing-tree hint supplies Bruce Eric Muller's 15 Jun 1958-4 Jun 1972 dates. The sourced Pete Vollmer profile supplies 29 Jun 1959-5 Aug 1975 and identifies Henry R Vollmer as father and Christopher as sibling.</x:v>
      </x:c>
      <x:c r="F48" s="97" t="str">
        <x:v>cross-chat consolidation</x:v>
      </x:c>
    </x:row>
    <x:row r="49">
      <x:c r="A49" s="97" t="str">
        <x:v>S48</x:v>
      </x:c>
      <x:c r="B49" s="97" t="str">
        <x:v>Occupation and role enrichment research ledger</x:v>
      </x:c>
      <x:c r="C49" s="97" t="str">
        <x:v>Codex research task in the Family Tree project</x:v>
      </x:c>
      <x:c r="D49" s="97" t="str">
        <x:v>2 SEP 2026</x:v>
      </x:c>
      <x:c r="E49" s="97" t="str">
        <x:v>Accepted occupational facts, household roles, military roles, transcription normalizations, rejected candidates, and row-level citations are itemized in Fredric_Vollmer_Complete_Family_Tree_Occupation_Research.csv.</x:v>
      </x:c>
      <x:c r="F49" s="97" t="str">
        <x:v>cross-chat consolidation</x:v>
      </x:c>
    </x:row>
    <x:row r="50">
      <x:c r="A50" s="97" t="str">
        <x:v>RECORD-1648-06-15_deborah-hopkins_birth-register</x:v>
      </x:c>
      <x:c r="B50" s="97" t="str">
        <x:v>1648-06-15_deborah-hopkins_birth-register.jpg</x:v>
      </x:c>
      <x:c r="C50" s="97" t="str"/>
      <x:c r="D50" s="97" t="str"/>
      <x:c r="E50" s="97" t="str">
        <x:v>4e6dd607655f9c2b251e3974596d63276178e76761116b370a8b16e0219f3f98</x:v>
      </x:c>
      <x:c r="F50" s="97" t="str">
        <x:v>preserved original or derivative record</x:v>
      </x:c>
    </x:row>
    <x:row r="51">
      <x:c r="A51" s="97" t="str">
        <x:v>RECORD-1667-02-05_ephraim-doane_mary-knowles_marriage-register</x:v>
      </x:c>
      <x:c r="B51" s="97" t="str">
        <x:v>1667-02-05_ephraim-doane_mary-knowles_marriage-register.jpg</x:v>
      </x:c>
      <x:c r="C51" s="97" t="str"/>
      <x:c r="D51" s="97" t="str"/>
      <x:c r="E51" s="97" t="str">
        <x:v>89ae0910e197b39bd902ca52685d144ab55193a340c5e6d3dbeb15a811487faa</x:v>
      </x:c>
      <x:c r="F51" s="97" t="str">
        <x:v>preserved original or derivative record</x:v>
      </x:c>
    </x:row>
    <x:row r="52">
      <x:c r="A52" s="97" t="str">
        <x:v>RECORD-1682-02-04_joshua-cook_birth-register</x:v>
      </x:c>
      <x:c r="B52" s="97" t="str">
        <x:v>1682-02-04_joshua-cook_birth-register.jpg</x:v>
      </x:c>
      <x:c r="C52" s="97" t="str"/>
      <x:c r="D52" s="97" t="str"/>
      <x:c r="E52" s="97" t="str">
        <x:v>726be1a255bf2abe13e2cdc2d149bcddf7dfb1702c466ab4e215d38133e9ea46</x:v>
      </x:c>
      <x:c r="F52" s="97" t="str">
        <x:v>preserved original or derivative record</x:v>
      </x:c>
    </x:row>
    <x:row r="53">
      <x:c r="A53" s="97" t="str">
        <x:v>RECORD-1682-04_patience-doane_birth-register</x:v>
      </x:c>
      <x:c r="B53" s="97" t="str">
        <x:v>1682-04_patience-doane_birth-register.jpg</x:v>
      </x:c>
      <x:c r="C53" s="97" t="str"/>
      <x:c r="D53" s="97" t="str"/>
      <x:c r="E53" s="97" t="str">
        <x:v>c754af467f7252cd6952af7bc5948ce2ca5f77fdb7c7e60a6941088448c32e4a</x:v>
      </x:c>
      <x:c r="F53" s="97" t="str">
        <x:v>preserved original or derivative record</x:v>
      </x:c>
    </x:row>
    <x:row r="54">
      <x:c r="A54" s="97" t="str">
        <x:v>RECORD-1696_joshua-lane_birth-record</x:v>
      </x:c>
      <x:c r="B54" s="97" t="str">
        <x:v>1696_joshua-lane_birth-record.jpg</x:v>
      </x:c>
      <x:c r="C54" s="97" t="str"/>
      <x:c r="D54" s="97" t="str"/>
      <x:c r="E54" s="97" t="str">
        <x:v>23c17bccf0b93d5ca970ddc6458dc14f264e129c5650c13a9e613dc57e94371e</x:v>
      </x:c>
      <x:c r="F54" s="97" t="str">
        <x:v>preserved original or derivative record</x:v>
      </x:c>
    </x:row>
    <x:row r="55">
      <x:c r="A55" s="97" t="str">
        <x:v>RECORD-1717_joshua-lane_bathsheba-robie_marriage-record</x:v>
      </x:c>
      <x:c r="B55" s="97" t="str">
        <x:v>1717_joshua-lane_bathsheba-robie_marriage-record.jpg</x:v>
      </x:c>
      <x:c r="C55" s="97" t="str"/>
      <x:c r="D55" s="97" t="str"/>
      <x:c r="E55" s="97" t="str">
        <x:v>15e63b00090b98e21bb4ae4d28cc0d2a620bbe75946c63efe681f5b512fb6b9c</x:v>
      </x:c>
      <x:c r="F55" s="97" t="str">
        <x:v>preserved original or derivative record</x:v>
      </x:c>
    </x:row>
    <x:row r="56">
      <x:c r="A56" s="97" t="str">
        <x:v>RECORD-1718_samuel-lane_birth-record</x:v>
      </x:c>
      <x:c r="B56" s="97" t="str">
        <x:v>1718_samuel-lane_birth-record.jpg</x:v>
      </x:c>
      <x:c r="C56" s="97" t="str"/>
      <x:c r="D56" s="97" t="str"/>
      <x:c r="E56" s="97" t="str">
        <x:v>0200f2252b3392cf2fa2ecb3d58b9ddef31b998ce5d76ef552bfab2ee7eda016</x:v>
      </x:c>
      <x:c r="F56" s="97" t="str">
        <x:v>preserved original or derivative record</x:v>
      </x:c>
    </x:row>
    <x:row r="57">
      <x:c r="A57" s="97" t="str">
        <x:v>RECORD-1722_mary-james_birth-record</x:v>
      </x:c>
      <x:c r="B57" s="97" t="str">
        <x:v>1722_mary-james_birth-record.jpg</x:v>
      </x:c>
      <x:c r="C57" s="97" t="str"/>
      <x:c r="D57" s="97" t="str"/>
      <x:c r="E57" s="97" t="str">
        <x:v>189899f04cbc5dc801896487041938515771118dabdb1af87ed6662a4f6ffcd9</x:v>
      </x:c>
      <x:c r="F57" s="97" t="str">
        <x:v>preserved original or derivative record</x:v>
      </x:c>
    </x:row>
    <x:row r="58">
      <x:c r="A58" s="97" t="str">
        <x:v>RECORD-1741-12-24_samuel-lane_mary-james_marriage</x:v>
      </x:c>
      <x:c r="B58" s="97" t="str">
        <x:v>1741-12-24_samuel-lane_mary-james_marriage.jpg</x:v>
      </x:c>
      <x:c r="C58" s="97" t="str"/>
      <x:c r="D58" s="97" t="str"/>
      <x:c r="E58" s="97" t="str">
        <x:v>fd6d017aaaa9f3c51bd77b7c6a0a007e08a6b28b3eacd4323314c75ced5f61b4</x:v>
      </x:c>
      <x:c r="F58" s="97" t="str">
        <x:v>preserved original or derivative record</x:v>
      </x:c>
    </x:row>
    <x:row r="59">
      <x:c r="A59" s="97" t="str">
        <x:v>RECORD-1748-02-09_joshua-lane_nh-birth</x:v>
      </x:c>
      <x:c r="B59" s="97" t="str">
        <x:v>1748-02-09_joshua-lane_nh-birth.jpg</x:v>
      </x:c>
      <x:c r="C59" s="97" t="str"/>
      <x:c r="D59" s="97" t="str"/>
      <x:c r="E59" s="97" t="str">
        <x:v>8b75cc1094090d59c00e82213eddedaf9393a4953d2ae2703bcc6fafbe5fa72b</x:v>
      </x:c>
      <x:c r="F59" s="97" t="str">
        <x:v>preserved original or derivative record</x:v>
      </x:c>
    </x:row>
    <x:row r="60">
      <x:c r="A60" s="97" t="str">
        <x:v>RECORD-1769-11-15_joshua-lane_hannah-tilton_marriage</x:v>
      </x:c>
      <x:c r="B60" s="97" t="str">
        <x:v>1769-11-15_joshua-lane_hannah-tilton_marriage.jpg</x:v>
      </x:c>
      <x:c r="C60" s="97" t="str"/>
      <x:c r="D60" s="97" t="str"/>
      <x:c r="E60" s="97" t="str">
        <x:v>9d1f204134ed96a42e5c7ddfe10e1265e03ae8c7af976cc6723f3836c6037d3e</x:v>
      </x:c>
      <x:c r="F60" s="97" t="str">
        <x:v>preserved original or derivative record</x:v>
      </x:c>
    </x:row>
    <x:row r="61">
      <x:c r="A61" s="97" t="str">
        <x:v>RECORD-1771-12-08_stephen-lane_nh-birth</x:v>
      </x:c>
      <x:c r="B61" s="97" t="str">
        <x:v>1771-12-08_stephen-lane_nh-birth.jpg</x:v>
      </x:c>
      <x:c r="C61" s="97" t="str"/>
      <x:c r="D61" s="97" t="str"/>
      <x:c r="E61" s="97" t="str">
        <x:v>4e983a0346e7c1b3d08b50d78c339d06a10d4ba9e23b8d7a2c932aa69343fd72</x:v>
      </x:c>
      <x:c r="F61" s="97" t="str">
        <x:v>preserved original or derivative record</x:v>
      </x:c>
    </x:row>
    <x:row r="62">
      <x:c r="A62" s="97" t="str">
        <x:v>RECORD-1774-02-26_levi-cook_birth-register</x:v>
      </x:c>
      <x:c r="B62" s="97" t="str">
        <x:v>1774-02-26_levi-cook_birth-register.jpg</x:v>
      </x:c>
      <x:c r="C62" s="97" t="str"/>
      <x:c r="D62" s="97" t="str"/>
      <x:c r="E62" s="97" t="str">
        <x:v>da32fa229e920c36321196b78361e9ea6df2ae57d08d34cf81279f9f727c5e26</x:v>
      </x:c>
      <x:c r="F62" s="97" t="str">
        <x:v>preserved original or derivative record</x:v>
      </x:c>
    </x:row>
    <x:row r="63">
      <x:c r="A63" s="97" t="str">
        <x:v>RECORD-1779-01-07_betsey-brown_birth-register</x:v>
      </x:c>
      <x:c r="B63" s="97" t="str">
        <x:v>1779-01-07_betsey-brown_birth-register.jpg</x:v>
      </x:c>
      <x:c r="C63" s="97" t="str"/>
      <x:c r="D63" s="97" t="str"/>
      <x:c r="E63" s="97" t="str">
        <x:v>c43c3675e73e795d5d4ef90d64e64e746f1f9da1cf41ea0f2bbcddd01b50bfba</x:v>
      </x:c>
      <x:c r="F63" s="97" t="str">
        <x:v>preserved original or derivative record</x:v>
      </x:c>
    </x:row>
    <x:row r="64">
      <x:c r="A64" s="97" t="str">
        <x:v>RECORD-1794-07-24_levi-cook_betsey-brown_marriage-register</x:v>
      </x:c>
      <x:c r="B64" s="97" t="str">
        <x:v>1794-07-24_levi-cook_betsey-brown_marriage-register.jpg</x:v>
      </x:c>
      <x:c r="C64" s="97" t="str"/>
      <x:c r="D64" s="97" t="str"/>
      <x:c r="E64" s="97" t="str">
        <x:v>f3faf328a3ca886129787a18975b1c4892c5a5ed6bac9bebe5d6d4eb867f379f</x:v>
      </x:c>
      <x:c r="F64" s="97" t="str">
        <x:v>preserved original or derivative record</x:v>
      </x:c>
    </x:row>
    <x:row r="65">
      <x:c r="A65" s="97" t="str">
        <x:v>RECORD-1797-06-05_stephen-lane_lois-currier_marriage</x:v>
      </x:c>
      <x:c r="B65" s="97" t="str">
        <x:v>1797-06-05_stephen-lane_lois-currier_marriage.jpg</x:v>
      </x:c>
      <x:c r="C65" s="97" t="str"/>
      <x:c r="D65" s="97" t="str"/>
      <x:c r="E65" s="97" t="str">
        <x:v>6dd9495e06654018e796489a805f91471bd33329204c0b5171ee5425a898b280</x:v>
      </x:c>
      <x:c r="F65" s="97" t="str">
        <x:v>preserved original or derivative record</x:v>
      </x:c>
    </x:row>
    <x:row r="66">
      <x:c r="A66" s="97" t="str">
        <x:v>RECORD-1807-02-03_mary-lane_nh-birth-card</x:v>
      </x:c>
      <x:c r="B66" s="97" t="str">
        <x:v>1807-02-03_mary-lane_nh-birth-card.jpg</x:v>
      </x:c>
      <x:c r="C66" s="97" t="str"/>
      <x:c r="D66" s="97" t="str"/>
      <x:c r="E66" s="97" t="str">
        <x:v>54e52adccc86fbb08e9fd36c8ad80efbb130eb34178bf7f4cae9bfe9fae15351</x:v>
      </x:c>
      <x:c r="F66" s="97" t="str">
        <x:v>preserved original or derivative record</x:v>
      </x:c>
    </x:row>
    <x:row r="67">
      <x:c r="A67" s="97" t="str">
        <x:v>RECORD-1840-09-16_stephen-lane_will</x:v>
      </x:c>
      <x:c r="B67" s="97" t="str">
        <x:v>1840-09-16_stephen-lane_will.jpg</x:v>
      </x:c>
      <x:c r="C67" s="97" t="str"/>
      <x:c r="D67" s="97" t="str"/>
      <x:c r="E67" s="97" t="str">
        <x:v>773c3a78efbeac6efc48f53d6d01f7556aade77197bb59cb85265cb67c5b4f99</x:v>
      </x:c>
      <x:c r="F67" s="97" t="str">
        <x:v>preserved original or derivative record</x:v>
      </x:c>
    </x:row>
    <x:row r="68">
      <x:c r="A68" s="97" t="str">
        <x:v>RECORD-1841-05-05_stephen-lane_probate-letters</x:v>
      </x:c>
      <x:c r="B68" s="97" t="str">
        <x:v>1841-05-05_stephen-lane_probate-letters.jpg</x:v>
      </x:c>
      <x:c r="C68" s="97" t="str"/>
      <x:c r="D68" s="97" t="str"/>
      <x:c r="E68" s="97" t="str">
        <x:v>dca2ab0c7608fe5ca72e5d18e3bb9d920173d4535609fca51f115c9de62c2c04</x:v>
      </x:c>
      <x:c r="F68" s="97" t="str">
        <x:v>preserved original or derivative record</x:v>
      </x:c>
    </x:row>
    <x:row r="69">
      <x:c r="A69" s="97" t="str">
        <x:v>RECORD-1846-10-30_levi-cook_will_genesee</x:v>
      </x:c>
      <x:c r="B69" s="97" t="str">
        <x:v>1846-10-30_levi-cook_will_genesee.jpg</x:v>
      </x:c>
      <x:c r="C69" s="97" t="str"/>
      <x:c r="D69" s="97" t="str"/>
      <x:c r="E69" s="97" t="str">
        <x:v>ca99721390ba6f33558e3a0ce805f614dabed6ee6aab6dce762506bf16f00235</x:v>
      </x:c>
      <x:c r="F69" s="97" t="str">
        <x:v>preserved original or derivative record</x:v>
      </x:c>
    </x:row>
    <x:row r="70">
      <x:c r="A70" s="97" t="str">
        <x:v>RECORD-1862_peter-william-mcnaughton_civil-war-town-register</x:v>
      </x:c>
      <x:c r="B70" s="97" t="str">
        <x:v>1862_peter-william-mcnaughton_civil-war-town-register.jpg</x:v>
      </x:c>
      <x:c r="C70" s="97" t="str"/>
      <x:c r="D70" s="97" t="str"/>
      <x:c r="E70" s="97" t="str">
        <x:v>7e767cf4e9ce3792ea381e5dcea992eade9ac9d7e361eae2e6927ed41b52a9b4</x:v>
      </x:c>
      <x:c r="F70" s="97" t="str">
        <x:v>preserved original or derivative record</x:v>
      </x:c>
    </x:row>
    <x:row r="71">
      <x:c r="A71" s="97" t="str">
        <x:v>RECORD-1868_relief-mcnaughton_dependent-pension-numerical-index</x:v>
      </x:c>
      <x:c r="B71" s="97" t="str">
        <x:v>1868_relief-mcnaughton_dependent-pension-numerical-index.jpg</x:v>
      </x:c>
      <x:c r="C71" s="97" t="str"/>
      <x:c r="D71" s="97" t="str"/>
      <x:c r="E71" s="97" t="str">
        <x:v>122349eb44bcbf808eaa9d841bec77cb9b433ff01d7b88dd9f862441a237ed6e</x:v>
      </x:c>
      <x:c r="F71" s="97" t="str">
        <x:v>preserved original or derivative record</x:v>
      </x:c>
    </x:row>
    <x:row r="72">
      <x:c r="A72" s="97" t="str">
        <x:v>RECORD-1882-08-21_henry-vollmer_arrival-main</x:v>
      </x:c>
      <x:c r="B72" s="97" t="str">
        <x:v>1882-08-21_henry-vollmer_arrival-main.jpg</x:v>
      </x:c>
      <x:c r="C72" s="97" t="str"/>
      <x:c r="D72" s="97" t="str"/>
      <x:c r="E72" s="97" t="str">
        <x:v>319186b29241957f4be18e4f2c4d350679c5b0c36f6ee3330ba90a62dbca0b24</x:v>
      </x:c>
      <x:c r="F72" s="97" t="str">
        <x:v>preserved original or derivative record</x:v>
      </x:c>
    </x:row>
    <x:row r="73">
      <x:c r="A73" s="97" t="str">
        <x:v>RECORD-1882-08-21_vollmer-family_arrival-main_page-0289</x:v>
      </x:c>
      <x:c r="B73" s="97" t="str">
        <x:v>1882-08-21_vollmer-family_arrival-main_page-0289.jpg</x:v>
      </x:c>
      <x:c r="C73" s="97" t="str"/>
      <x:c r="D73" s="97" t="str"/>
      <x:c r="E73" s="97" t="str">
        <x:v>747649d753285ae52234547090101c60660612500bc3132a35f57b13a0ce9e11</x:v>
      </x:c>
      <x:c r="F73" s="97" t="str">
        <x:v>preserved original or derivative record</x:v>
      </x:c>
    </x:row>
    <x:row r="74">
      <x:c r="A74" s="97" t="str">
        <x:v>RECORD-1883-08-12_themes-pepper_anna-stelling_marriage-certificate</x:v>
      </x:c>
      <x:c r="B74" s="97" t="str">
        <x:v>1883-08-12_themes-pepper_anna-stelling_marriage-certificate.pdf</x:v>
      </x:c>
      <x:c r="C74" s="97" t="str"/>
      <x:c r="D74" s="97" t="str"/>
      <x:c r="E74" s="97" t="str">
        <x:v>2a89c49df0051c74dbc241741e7b75dbabeff093782428e3a3b82cd002de44bd</x:v>
      </x:c>
      <x:c r="F74" s="97" t="str">
        <x:v>preserved original or derivative record</x:v>
      </x:c>
    </x:row>
    <x:row r="75">
      <x:c r="A75" s="97" t="str">
        <x:v>RECORD-1884-03-14_female-pepper_birth-certificate</x:v>
      </x:c>
      <x:c r="B75" s="97" t="str">
        <x:v>1884-03-14_female-pepper_birth-certificate.pdf</x:v>
      </x:c>
      <x:c r="C75" s="97" t="str"/>
      <x:c r="D75" s="97" t="str"/>
      <x:c r="E75" s="97" t="str">
        <x:v>d457e8478154d51688ddd777101aee2501f89ef8f4515eab0a8cf431076d7180</x:v>
      </x:c>
      <x:c r="F75" s="97" t="str">
        <x:v>preserved original or derivative record</x:v>
      </x:c>
    </x:row>
    <x:row r="76">
      <x:c r="A76" s="97" t="str">
        <x:v>RECORD-1892_henry-vollmer_ny-state-census</x:v>
      </x:c>
      <x:c r="B76" s="97" t="str">
        <x:v>1892_henry-vollmer_ny-state-census.jpg</x:v>
      </x:c>
      <x:c r="C76" s="97" t="str"/>
      <x:c r="D76" s="97" t="str"/>
      <x:c r="E76" s="97" t="str">
        <x:v>480f9a9c4d79a918392467e6ebf758452a8d200ad3692cb7f436a4654d688421</x:v>
      </x:c>
      <x:c r="F76" s="97" t="str">
        <x:v>preserved original or derivative record</x:v>
      </x:c>
    </x:row>
    <x:row r="77">
      <x:c r="A77" s="97" t="str">
        <x:v>RECORD-1896_mary-a-mcnaughton_widow-pension-index</x:v>
      </x:c>
      <x:c r="B77" s="97" t="str">
        <x:v>1896_mary-a-mcnaughton_widow-pension-index.jpg</x:v>
      </x:c>
      <x:c r="C77" s="97" t="str"/>
      <x:c r="D77" s="97" t="str"/>
      <x:c r="E77" s="97" t="str">
        <x:v>14d064d694dc478f36bb570e78e29368a0259693dfb7217c05975c508bd01db8</x:v>
      </x:c>
      <x:c r="F77" s="97" t="str">
        <x:v>preserved original or derivative record</x:v>
      </x:c>
    </x:row>
    <x:row r="78">
      <x:c r="A78" s="97" t="str">
        <x:v>RECORD-1901_mayflower-descendant-vol3_john-doane-will</x:v>
      </x:c>
      <x:c r="B78" s="97" t="str">
        <x:v>1901_mayflower-descendant-vol3_john-doane-will.pdf</x:v>
      </x:c>
      <x:c r="C78" s="97" t="str"/>
      <x:c r="D78" s="97" t="str"/>
      <x:c r="E78" s="97" t="str">
        <x:v>4d7d359130d69d3db9e5ebdec3f22833c097c0e9dad4e5602047f370bd057518</x:v>
      </x:c>
      <x:c r="F78" s="97" t="str">
        <x:v>preserved original or derivative record</x:v>
      </x:c>
    </x:row>
    <x:row r="79">
      <x:c r="A79" s="97" t="str">
        <x:v>RECORD-1904_mayflower-descendant-vol6_eastham-vital-records</x:v>
      </x:c>
      <x:c r="B79" s="97" t="str">
        <x:v>1904_mayflower-descendant-vol6_eastham-vital-records.pdf</x:v>
      </x:c>
      <x:c r="C79" s="97" t="str"/>
      <x:c r="D79" s="97" t="str"/>
      <x:c r="E79" s="97" t="str">
        <x:v>105a13412229bb5489c9e245faa82209405ec7199e5fe371dc17a09d1351ba3a</x:v>
      </x:c>
      <x:c r="F79" s="97" t="str">
        <x:v>preserved original or derivative record</x:v>
      </x:c>
    </x:row>
    <x:row r="80">
      <x:c r="A80" s="97" t="str">
        <x:v>RECORD-1905-08-05_henry-jj-vollmer_marriage-certificate</x:v>
      </x:c>
      <x:c r="B80" s="97" t="str">
        <x:v>1905-08-05_henry-jj-vollmer_marriage-certificate.pdf</x:v>
      </x:c>
      <x:c r="C80" s="97" t="str"/>
      <x:c r="D80" s="97" t="str"/>
      <x:c r="E80" s="97" t="str">
        <x:v>59b537c81462fcba56c9827e5a015dacefafd451442735b8db6a37fcccabe2a9</x:v>
      </x:c>
      <x:c r="F80" s="97" t="str">
        <x:v>preserved original or derivative record</x:v>
      </x:c>
    </x:row>
    <x:row r="81">
      <x:c r="A81" s="97" t="str">
        <x:v>RECORD-1910_frederick-carrie-doris-andrew-marsh_us-census</x:v>
      </x:c>
      <x:c r="B81" s="97" t="str">
        <x:v>1910_frederick-carrie-doris-andrew-marsh_us-census.jpg</x:v>
      </x:c>
      <x:c r="C81" s="97" t="str"/>
      <x:c r="D81" s="97" t="str"/>
      <x:c r="E81" s="97" t="str">
        <x:v>88afa43f7bb90fc8248f9158ccae50b081e820e9e690022c2ec446434ce47bf4</x:v>
      </x:c>
      <x:c r="F81" s="97" t="str">
        <x:v>preserved original or derivative record</x:v>
      </x:c>
    </x:row>
    <x:row r="82">
      <x:c r="A82" s="97" t="str">
        <x:v>RECORD-1910_henry-madie-charles-vollmer_us-census</x:v>
      </x:c>
      <x:c r="B82" s="97" t="str">
        <x:v>1910_henry-madie-charles-vollmer_us-census.jpg</x:v>
      </x:c>
      <x:c r="C82" s="97" t="str"/>
      <x:c r="D82" s="97" t="str"/>
      <x:c r="E82" s="97" t="str">
        <x:v>5506a666f811c403bc06da8594751a45791c6f2f60ec7d61bf02be7d70f5bade</x:v>
      </x:c>
      <x:c r="F82" s="97" t="str">
        <x:v>preserved original or derivative record</x:v>
      </x:c>
    </x:row>
    <x:row r="83">
      <x:c r="A83" s="97" t="str">
        <x:v>RECORD-1917-03-10_frederick-g-vollmer_death-certificate</x:v>
      </x:c>
      <x:c r="B83" s="97" t="str">
        <x:v>1917-03-10_frederick-g-vollmer_death-certificate.pdf</x:v>
      </x:c>
      <x:c r="C83" s="97" t="str"/>
      <x:c r="D83" s="97" t="str"/>
      <x:c r="E83" s="97" t="str">
        <x:v>eb970b4f9f3954c566fe8b3cd5d245162172d247dfc39f93aec396307c88bfc1</x:v>
      </x:c>
      <x:c r="F83" s="97" t="str">
        <x:v>preserved original or derivative record</x:v>
      </x:c>
    </x:row>
    <x:row r="84">
      <x:c r="A84" s="97" t="str">
        <x:v>RECORD-1918_henry-john-joseph-volmer_wwi-draft-card</x:v>
      </x:c>
      <x:c r="B84" s="97" t="str">
        <x:v>1918_henry-john-joseph-volmer_wwi-draft-card.jpg</x:v>
      </x:c>
      <x:c r="C84" s="97" t="str"/>
      <x:c r="D84" s="97" t="str"/>
      <x:c r="E84" s="97" t="str">
        <x:v>6a929ffb761b504b27bc2cdf2f905fc2ea0b7351cd0554fdd8f38256494367f6</x:v>
      </x:c>
      <x:c r="F84" s="97" t="str">
        <x:v>preserved original or derivative record</x:v>
      </x:c>
    </x:row>
    <x:row r="85">
      <x:c r="A85" s="97" t="str">
        <x:v>RECORD-1919-01-03_madie-vollmer_death-certificate</x:v>
      </x:c>
      <x:c r="B85" s="97" t="str">
        <x:v>1919-01-03_madie-vollmer_death-certificate.pdf</x:v>
      </x:c>
      <x:c r="C85" s="97" t="str"/>
      <x:c r="D85" s="97" t="str"/>
      <x:c r="E85" s="97" t="str">
        <x:v>8f8be8c3cb340d5032a2d61e4ed5b578e782c0176054592aee8e48abe1174734</x:v>
      </x:c>
      <x:c r="F85" s="97" t="str">
        <x:v>preserved original or derivative record</x:v>
      </x:c>
    </x:row>
    <x:row r="86">
      <x:c r="A86" s="97" t="str">
        <x:v>RECORD-1919-12-17_mary-mcnaughton_ny-death-index</x:v>
      </x:c>
      <x:c r="B86" s="97" t="str">
        <x:v>1919-12-17_mary-mcnaughton_ny-death-index.jpg</x:v>
      </x:c>
      <x:c r="C86" s="97" t="str"/>
      <x:c r="D86" s="97" t="str"/>
      <x:c r="E86" s="97" t="str">
        <x:v>2ccad7fd75e95b52575500ee7ff48c3285db4b0d6680654727bf58c704044b3d</x:v>
      </x:c>
      <x:c r="F86" s="97" t="str">
        <x:v>preserved original or derivative record</x:v>
      </x:c>
    </x:row>
    <x:row r="87">
      <x:c r="A87" s="97" t="str">
        <x:v>RECORD-1940-10-16_charles-frederick-vollmer_wwii-draft-card</x:v>
      </x:c>
      <x:c r="B87" s="97" t="str">
        <x:v>1940-10-16_charles-frederick-vollmer_wwii-draft-card.jpg</x:v>
      </x:c>
      <x:c r="C87" s="97" t="str"/>
      <x:c r="D87" s="97" t="str"/>
      <x:c r="E87" s="97" t="str">
        <x:v>e755e1f176b897bc6ea96a2ad3bf6697b9634d65f315c438ebefa97638897160</x:v>
      </x:c>
      <x:c r="F87" s="97" t="str">
        <x:v>preserved original or derivative record</x:v>
      </x:c>
    </x:row>
    <x:row r="88">
      <x:c r="A88" s="97" t="str">
        <x:v>RECORD-1940_charles-doris-henry-vollmer_us-census</x:v>
      </x:c>
      <x:c r="B88" s="97" t="str">
        <x:v>1940_charles-doris-henry-vollmer_us-census.jpg</x:v>
      </x:c>
      <x:c r="C88" s="97" t="str"/>
      <x:c r="D88" s="97" t="str"/>
      <x:c r="E88" s="97" t="str">
        <x:v>408d8f6dd3a769e32af16d8cc59f762113000942a482dafa1b9ea01431c71ebb</x:v>
      </x:c>
      <x:c r="F88" s="97" t="str">
        <x:v>preserved original or derivative record</x:v>
      </x:c>
    </x:row>
    <x:row r="89">
      <x:c r="A89" s="97" t="str">
        <x:v>RECORD-1950_william-alice-mary-thoren_us-census</x:v>
      </x:c>
      <x:c r="B89" s="97" t="str">
        <x:v>1950_william-alice-mary-thoren_us-census.jpg</x:v>
      </x:c>
      <x:c r="C89" s="97" t="str"/>
      <x:c r="D89" s="97" t="str"/>
      <x:c r="E89" s="97" t="str">
        <x:v>f7e7dde0bcc80447fef0ed66c9699bf2477115f8ea97a2d464724c28c4bb7db5</x:v>
      </x:c>
      <x:c r="F89" s="97" t="str">
        <x:v>preserved original or derivative record</x:v>
      </x:c>
    </x:row>
    <x:row r="90">
      <x:c r="A90" s="97" t="str">
        <x:v>RECORD-giles-hopkins_17th-century-records_pilgrim-hall</x:v>
      </x:c>
      <x:c r="B90" s="97" t="str">
        <x:v>giles-hopkins_17th-century-records_pilgrim-hall.pdf</x:v>
      </x:c>
      <x:c r="C90" s="97" t="str"/>
      <x:c r="D90" s="97" t="str"/>
      <x:c r="E90" s="97" t="str">
        <x:v>1dbca70bd43b7dd62a3e12bc3b9ee230d8baa0dd37b80cc53ab48ec757763e01</x:v>
      </x:c>
      <x:c r="F90" s="97" t="str">
        <x:v>preserved original or derivative record</x:v>
      </x:c>
    </x:row>
    <x:row r="91">
      <x:c r="A91" s="97" t="str">
        <x:v>RECORD-plymouth-colony-records-vol1_1639-marriage</x:v>
      </x:c>
      <x:c r="B91" s="97" t="str">
        <x:v>plymouth-colony-records-vol1_1639-marriage.pdf</x:v>
      </x:c>
      <x:c r="C91" s="97" t="str"/>
      <x:c r="D91" s="97" t="str"/>
      <x:c r="E91" s="97" t="str">
        <x:v>243bba40de735bf7deedf4046c40f190526cb1c5cc891ef97a348248067d6cbd</x:v>
      </x:c>
      <x:c r="F91" s="97" t="str">
        <x:v>preserved original or derivative record</x:v>
      </x:c>
    </x:row>
    <x:row r="92">
      <x:c r="A92" s="97" t="str">
        <x:v>RECORD-relief-mcnaughton_mother-pension-index</x:v>
      </x:c>
      <x:c r="B92" s="97" t="str">
        <x:v>relief-mcnaughton_mother-pension-index.jpg</x:v>
      </x:c>
      <x:c r="C92" s="97" t="str"/>
      <x:c r="D92" s="97" t="str"/>
      <x:c r="E92" s="97" t="str">
        <x:v>4c481d5447084325803d01ea3fb19e1485b4d96fd24cc06c3c83ed32580e90f7</x:v>
      </x:c>
      <x:c r="F92" s="97" t="str">
        <x:v>preserved original or derivative record</x:v>
      </x:c>
    </x:row>
  </x:sheetData>
  <x:pageMargins left="0.7" right="0.7" top="0.75" bottom="0.75" header="0.3" footer="0.3"/>
  <x:tableParts count="1">
    <x:tablePart xmlns:r="http://schemas.openxmlformats.org/officeDocument/2006/relationships" r:id="R421f2bc3b10a4ce0"/>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30" hidden="0" customWidth="1"/>
    <x:col min="4" max="4" width="35" hidden="0" customWidth="1"/>
    <x:col min="5" max="5" width="30" hidden="0" customWidth="1"/>
    <x:col min="6" max="6" width="35" hidden="0" customWidth="1"/>
    <x:col min="7" max="7" width="32" hidden="0" customWidth="1"/>
    <x:col min="8" max="8" width="28" hidden="0" customWidth="1"/>
  </x:cols>
  <x:sheetData>
    <x:row r="1" ht="30" customHeight="1">
      <x:c r="A1" s="102" t="str">
        <x:v>individual_id</x:v>
      </x:c>
      <x:c r="B1" s="102" t="str">
        <x:v>name</x:v>
      </x:c>
      <x:c r="C1" s="102" t="str">
        <x:v>birth</x:v>
      </x:c>
      <x:c r="D1" s="102" t="str">
        <x:v>birth_status</x:v>
      </x:c>
      <x:c r="E1" s="102" t="str">
        <x:v>death</x:v>
      </x:c>
      <x:c r="F1" s="102" t="str">
        <x:v>death_status</x:v>
      </x:c>
      <x:c r="G1" s="102" t="str">
        <x:v>overall_status</x:v>
      </x:c>
      <x:c r="H1" s="102" t="str">
        <x:v>source_refs</x:v>
      </x:c>
    </x:row>
    <x:row r="2">
      <x:c r="A2" s="97" t="str">
        <x:v>I001</x:v>
      </x:c>
      <x:c r="B2" s="97" t="str">
        <x:v>Fredric Muller Vollmer</x:v>
      </x:c>
      <x:c r="C2" s="97" t="str"/>
      <x:c r="D2" s="97" t="str">
        <x:v>withheld—living/private</x:v>
      </x:c>
      <x:c r="E2" s="97" t="str"/>
      <x:c r="F2" s="97" t="str">
        <x:v>withheld—living/private</x:v>
      </x:c>
      <x:c r="G2" s="97" t="str">
        <x:v>withheld—living/private</x:v>
      </x:c>
      <x:c r="H2" s="97" t="str">
        <x:v>S1</x:v>
      </x:c>
    </x:row>
    <x:row r="3">
      <x:c r="A3" s="97" t="str">
        <x:v>I002</x:v>
      </x:c>
      <x:c r="B3" s="97" t="str">
        <x:v>Jan Muller Vollmer</x:v>
      </x:c>
      <x:c r="C3" s="97" t="str"/>
      <x:c r="D3" s="97" t="str">
        <x:v>withheld—living/private</x:v>
      </x:c>
      <x:c r="E3" s="97" t="str"/>
      <x:c r="F3" s="97" t="str">
        <x:v>withheld—living/private</x:v>
      </x:c>
      <x:c r="G3" s="97" t="str">
        <x:v>withheld—living/private</x:v>
      </x:c>
      <x:c r="H3" s="97" t="str">
        <x:v>S1;S2;S27;S28</x:v>
      </x:c>
    </x:row>
    <x:row r="4">
      <x:c r="A4" s="97" t="str">
        <x:v>I003</x:v>
      </x:c>
      <x:c r="B4" s="97" t="str">
        <x:v>Arthur John Muller</x:v>
      </x:c>
      <x:c r="C4" s="97" t="str">
        <x:v>12 MAY 1925; Detroit, Michigan</x:v>
      </x:c>
      <x:c r="D4" s="97" t="str">
        <x:v>recorded</x:v>
      </x:c>
      <x:c r="E4" s="97" t="str">
        <x:v>9 JAN 2005; Bellingham, Washington</x:v>
      </x:c>
      <x:c r="F4" s="97" t="str">
        <x:v>recorded</x:v>
      </x:c>
      <x:c r="G4" s="97" t="str">
        <x:v>complete</x:v>
      </x:c>
      <x:c r="H4" s="97" t="str">
        <x:v>S2;S5;S27;S48</x:v>
      </x:c>
    </x:row>
    <x:row r="5">
      <x:c r="A5" s="97" t="str">
        <x:v>I004</x:v>
      </x:c>
      <x:c r="B5" s="97" t="str">
        <x:v>Anne Rives McCormick Muller</x:v>
      </x:c>
      <x:c r="C5" s="97" t="str">
        <x:v>30 MAY 1927</x:v>
      </x:c>
      <x:c r="D5" s="97" t="str">
        <x:v>recorded</x:v>
      </x:c>
      <x:c r="E5" s="97" t="str">
        <x:v>2016</x:v>
      </x:c>
      <x:c r="F5" s="97" t="str">
        <x:v>recorded</x:v>
      </x:c>
      <x:c r="G5" s="97" t="str">
        <x:v>complete</x:v>
      </x:c>
      <x:c r="H5" s="97" t="str">
        <x:v>S1;S8;S27</x:v>
      </x:c>
    </x:row>
    <x:row r="6">
      <x:c r="A6" s="97" t="str">
        <x:v>I005</x:v>
      </x:c>
      <x:c r="B6" s="97" t="str">
        <x:v>Arthur Herman Muller</x:v>
      </x:c>
      <x:c r="C6" s="97" t="str">
        <x:v>28 NOV 1896; Highland Falls, Orange, New York</x:v>
      </x:c>
      <x:c r="D6" s="97" t="str">
        <x:v>recorded</x:v>
      </x:c>
      <x:c r="E6" s="97" t="str">
        <x:v>NOV 1966; Detroit, Wayne, Michigan</x:v>
      </x:c>
      <x:c r="F6" s="97" t="str">
        <x:v>recorded</x:v>
      </x:c>
      <x:c r="G6" s="97" t="str">
        <x:v>complete</x:v>
      </x:c>
      <x:c r="H6" s="97" t="str">
        <x:v>S2;S27;S48</x:v>
      </x:c>
    </x:row>
    <x:row r="7">
      <x:c r="A7" s="97" t="str">
        <x:v>I006</x:v>
      </x:c>
      <x:c r="B7" s="97" t="str">
        <x:v>Elma Anna Lee Muller</x:v>
      </x:c>
      <x:c r="C7" s="97" t="str">
        <x:v>14 JAN 1897; Michigan</x:v>
      </x:c>
      <x:c r="D7" s="97" t="str">
        <x:v>recorded</x:v>
      </x:c>
      <x:c r="E7" s="97" t="str">
        <x:v>26 DEC 1972; Detroit, Wayne, Michigan</x:v>
      </x:c>
      <x:c r="F7" s="97" t="str">
        <x:v>recorded</x:v>
      </x:c>
      <x:c r="G7" s="97" t="str">
        <x:v>complete</x:v>
      </x:c>
      <x:c r="H7" s="97" t="str">
        <x:v>S2;S3;S24;S27</x:v>
      </x:c>
    </x:row>
    <x:row r="8">
      <x:c r="A8" s="97" t="str">
        <x:v>I007</x:v>
      </x:c>
      <x:c r="B8" s="97" t="str">
        <x:v>Charles Ellsworth McCormick II</x:v>
      </x:c>
      <x:c r="C8" s="97" t="str">
        <x:v>12 JUL 1896; Kentucky</x:v>
      </x:c>
      <x:c r="D8" s="97" t="str">
        <x:v>recorded</x:v>
      </x:c>
      <x:c r="E8" s="97" t="str">
        <x:v>9 SEP 1978; Asheville, North Carolina</x:v>
      </x:c>
      <x:c r="F8" s="97" t="str">
        <x:v>recorded</x:v>
      </x:c>
      <x:c r="G8" s="97" t="str">
        <x:v>complete</x:v>
      </x:c>
      <x:c r="H8" s="97" t="str">
        <x:v>S1;S25;S27</x:v>
      </x:c>
    </x:row>
    <x:row r="9">
      <x:c r="A9" s="97" t="str">
        <x:v>I008</x:v>
      </x:c>
      <x:c r="B9" s="97" t="str">
        <x:v>Eloise Alcyone Slaughter McCormick</x:v>
      </x:c>
      <x:c r="C9" s="97" t="str">
        <x:v>25 AUG 1903; Alabama</x:v>
      </x:c>
      <x:c r="D9" s="97" t="str">
        <x:v>recorded</x:v>
      </x:c>
      <x:c r="E9" s="97" t="str">
        <x:v>10 FEB 1994; Los Angeles County, California</x:v>
      </x:c>
      <x:c r="F9" s="97" t="str">
        <x:v>recorded</x:v>
      </x:c>
      <x:c r="G9" s="97" t="str">
        <x:v>complete</x:v>
      </x:c>
      <x:c r="H9" s="97" t="str">
        <x:v>S1;S8;S27</x:v>
      </x:c>
    </x:row>
    <x:row r="10">
      <x:c r="A10" s="97" t="str">
        <x:v>I009</x:v>
      </x:c>
      <x:c r="B10" s="97" t="str">
        <x:v>Christian August Vollrath Muller</x:v>
      </x:c>
      <x:c r="C10" s="97" t="str">
        <x:v>ABOUT 1866</x:v>
      </x:c>
      <x:c r="D10" s="97" t="str">
        <x:v>recorded</x:v>
      </x:c>
      <x:c r="E10" s="97" t="str">
        <x:v>1922</x:v>
      </x:c>
      <x:c r="F10" s="97" t="str">
        <x:v>recorded</x:v>
      </x:c>
      <x:c r="G10" s="97" t="str">
        <x:v>complete</x:v>
      </x:c>
      <x:c r="H10" s="97" t="str">
        <x:v>S2;S27</x:v>
      </x:c>
    </x:row>
    <x:row r="11">
      <x:c r="A11" s="97" t="str">
        <x:v>I010</x:v>
      </x:c>
      <x:c r="B11" s="97" t="str">
        <x:v>Henrietta Kleitz</x:v>
      </x:c>
      <x:c r="C11" s="97" t="str">
        <x:v>1871; New York, New York</x:v>
      </x:c>
      <x:c r="D11" s="97" t="str">
        <x:v>recorded</x:v>
      </x:c>
      <x:c r="E11" s="97" t="str"/>
      <x:c r="F11" s="97" t="str">
        <x:v>unresolved—no supported date found</x:v>
      </x:c>
      <x:c r="G11" s="97" t="str">
        <x:v>partial</x:v>
      </x:c>
      <x:c r="H11" s="97" t="str">
        <x:v>S2;S21;S27</x:v>
      </x:c>
    </x:row>
    <x:row r="12">
      <x:c r="A12" s="97" t="str">
        <x:v>I013</x:v>
      </x:c>
      <x:c r="B12" s="97" t="str">
        <x:v>Elmer Ellsworth Lee</x:v>
      </x:c>
      <x:c r="C12" s="97" t="str">
        <x:v>ABOUT 1863; Michigan</x:v>
      </x:c>
      <x:c r="D12" s="97" t="str">
        <x:v>recorded</x:v>
      </x:c>
      <x:c r="E12" s="97" t="str">
        <x:v>8 JUL 1941; Detroit, Michigan</x:v>
      </x:c>
      <x:c r="F12" s="97" t="str">
        <x:v>recorded</x:v>
      </x:c>
      <x:c r="G12" s="97" t="str">
        <x:v>complete</x:v>
      </x:c>
      <x:c r="H12" s="97" t="str">
        <x:v>S2;S3;S6;S24;S27</x:v>
      </x:c>
    </x:row>
    <x:row r="13">
      <x:c r="A13" s="97" t="str">
        <x:v>I014</x:v>
      </x:c>
      <x:c r="B13" s="97" t="str">
        <x:v>Mary Wilhelmina Ohmer</x:v>
      </x:c>
      <x:c r="C13" s="97" t="str">
        <x:v>BET 1864 AND 1865; Pennsylvania</x:v>
      </x:c>
      <x:c r="D13" s="97" t="str">
        <x:v>recorded</x:v>
      </x:c>
      <x:c r="E13" s="97" t="str"/>
      <x:c r="F13" s="97" t="str">
        <x:v>unresolved—no supported date found</x:v>
      </x:c>
      <x:c r="G13" s="97" t="str">
        <x:v>partial</x:v>
      </x:c>
      <x:c r="H13" s="97" t="str">
        <x:v>S2;S24;S27;S46</x:v>
      </x:c>
    </x:row>
    <x:row r="14">
      <x:c r="A14" s="97" t="str">
        <x:v>I017</x:v>
      </x:c>
      <x:c r="B14" s="97" t="str">
        <x:v>Lorenz Muller</x:v>
      </x:c>
      <x:c r="C14" s="97" t="str"/>
      <x:c r="D14" s="97" t="str">
        <x:v>unresolved—no supported date found</x:v>
      </x:c>
      <x:c r="E14" s="97" t="str"/>
      <x:c r="F14" s="97" t="str">
        <x:v>unresolved—no supported date found</x:v>
      </x:c>
      <x:c r="G14" s="97" t="str">
        <x:v>unresolved</x:v>
      </x:c>
      <x:c r="H14" s="97" t="str">
        <x:v>S2</x:v>
      </x:c>
    </x:row>
    <x:row r="15">
      <x:c r="A15" s="97" t="str">
        <x:v>I018</x:v>
      </x:c>
      <x:c r="B15" s="97" t="str">
        <x:v>Pauline Vollrath</x:v>
      </x:c>
      <x:c r="C15" s="97" t="str"/>
      <x:c r="D15" s="97" t="str">
        <x:v>unresolved—no supported date found</x:v>
      </x:c>
      <x:c r="E15" s="97" t="str"/>
      <x:c r="F15" s="97" t="str">
        <x:v>unresolved—no supported date found</x:v>
      </x:c>
      <x:c r="G15" s="97" t="str">
        <x:v>unresolved</x:v>
      </x:c>
      <x:c r="H15" s="97" t="str">
        <x:v>S2</x:v>
      </x:c>
    </x:row>
    <x:row r="16">
      <x:c r="A16" s="97" t="str">
        <x:v>I019</x:v>
      </x:c>
      <x:c r="B16" s="97" t="str">
        <x:v>Lambert Kleitz</x:v>
      </x:c>
      <x:c r="C16" s="97" t="str">
        <x:v>1840; Alsace, France</x:v>
      </x:c>
      <x:c r="D16" s="97" t="str">
        <x:v>recorded</x:v>
      </x:c>
      <x:c r="E16" s="97" t="str"/>
      <x:c r="F16" s="97" t="str">
        <x:v>unresolved—no supported date found</x:v>
      </x:c>
      <x:c r="G16" s="97" t="str">
        <x:v>partial</x:v>
      </x:c>
      <x:c r="H16" s="97" t="str">
        <x:v>S2;S21;S48</x:v>
      </x:c>
    </x:row>
    <x:row r="17">
      <x:c r="A17" s="97" t="str">
        <x:v>I020</x:v>
      </x:c>
      <x:c r="B17" s="97" t="str">
        <x:v>Elizabeth Wüst</x:v>
      </x:c>
      <x:c r="C17" s="97" t="str">
        <x:v>1837; Bavaria</x:v>
      </x:c>
      <x:c r="D17" s="97" t="str">
        <x:v>recorded</x:v>
      </x:c>
      <x:c r="E17" s="97" t="str">
        <x:v>ABOUT 1907</x:v>
      </x:c>
      <x:c r="F17" s="97" t="str">
        <x:v>recorded</x:v>
      </x:c>
      <x:c r="G17" s="97" t="str">
        <x:v>complete</x:v>
      </x:c>
      <x:c r="H17" s="97" t="str">
        <x:v>S2;S21</x:v>
      </x:c>
    </x:row>
    <x:row r="18">
      <x:c r="A18" s="97" t="str">
        <x:v>I021</x:v>
      </x:c>
      <x:c r="B18" s="97" t="str">
        <x:v>Jacob Wüst</x:v>
      </x:c>
      <x:c r="C18" s="97" t="str">
        <x:v>Bavaria</x:v>
      </x:c>
      <x:c r="D18" s="97" t="str">
        <x:v>place or placeholder only—date unresolved</x:v>
      </x:c>
      <x:c r="E18" s="97" t="str"/>
      <x:c r="F18" s="97" t="str">
        <x:v>unresolved—no supported date found</x:v>
      </x:c>
      <x:c r="G18" s="97" t="str">
        <x:v>unresolved</x:v>
      </x:c>
      <x:c r="H18" s="97" t="str">
        <x:v>S21</x:v>
      </x:c>
    </x:row>
    <x:row r="19">
      <x:c r="A19" s="97" t="str">
        <x:v>I022</x:v>
      </x:c>
      <x:c r="B19" s="97" t="str">
        <x:v>Hubbard Stone Lee</x:v>
      </x:c>
      <x:c r="C19" s="97" t="str">
        <x:v>6 JUL 1822; Connecticut</x:v>
      </x:c>
      <x:c r="D19" s="97" t="str">
        <x:v>recorded</x:v>
      </x:c>
      <x:c r="E19" s="97" t="str">
        <x:v>22 APR 1901; Bloomfield, Oakland County, Michigan</x:v>
      </x:c>
      <x:c r="F19" s="97" t="str">
        <x:v>recorded</x:v>
      </x:c>
      <x:c r="G19" s="97" t="str">
        <x:v>complete</x:v>
      </x:c>
      <x:c r="H19" s="97" t="str">
        <x:v>S6;S7</x:v>
      </x:c>
    </x:row>
    <x:row r="20">
      <x:c r="A20" s="97" t="str">
        <x:v>I023</x:v>
      </x:c>
      <x:c r="B20" s="97" t="str">
        <x:v>Sarah M. Willitts</x:v>
      </x:c>
      <x:c r="C20" s="97" t="str">
        <x:v>1831; Birmingham, Oakland County, Michigan</x:v>
      </x:c>
      <x:c r="D20" s="97" t="str">
        <x:v>recorded</x:v>
      </x:c>
      <x:c r="E20" s="97" t="str">
        <x:v>1913</x:v>
      </x:c>
      <x:c r="F20" s="97" t="str">
        <x:v>recorded</x:v>
      </x:c>
      <x:c r="G20" s="97" t="str">
        <x:v>complete</x:v>
      </x:c>
      <x:c r="H20" s="97" t="str">
        <x:v>S6;S7</x:v>
      </x:c>
    </x:row>
    <x:row r="21">
      <x:c r="A21" s="97" t="str">
        <x:v>I024</x:v>
      </x:c>
      <x:c r="B21" s="97" t="str">
        <x:v>Elon Lee</x:v>
      </x:c>
      <x:c r="C21" s="97" t="str">
        <x:v>12 MAR 1786; Guilford, New Haven County, Connecticut</x:v>
      </x:c>
      <x:c r="D21" s="97" t="str">
        <x:v>recorded</x:v>
      </x:c>
      <x:c r="E21" s="97" t="str">
        <x:v>22 DEC 1856; Guilford, New Haven County, Connecticut</x:v>
      </x:c>
      <x:c r="F21" s="97" t="str">
        <x:v>recorded</x:v>
      </x:c>
      <x:c r="G21" s="97" t="str">
        <x:v>complete</x:v>
      </x:c>
      <x:c r="H21" s="97" t="str">
        <x:v>S7</x:v>
      </x:c>
    </x:row>
    <x:row r="22">
      <x:c r="A22" s="97" t="str">
        <x:v>I025</x:v>
      </x:c>
      <x:c r="B22" s="97" t="str">
        <x:v>Grace Stone</x:v>
      </x:c>
      <x:c r="C22" s="97" t="str">
        <x:v>27 APR 1788; Guilford, New Haven County, Connecticut</x:v>
      </x:c>
      <x:c r="D22" s="97" t="str">
        <x:v>recorded</x:v>
      </x:c>
      <x:c r="E22" s="97" t="str">
        <x:v>18 MAY 1847; Guilford, New Haven County, Connecticut</x:v>
      </x:c>
      <x:c r="F22" s="97" t="str">
        <x:v>recorded</x:v>
      </x:c>
      <x:c r="G22" s="97" t="str">
        <x:v>complete</x:v>
      </x:c>
      <x:c r="H22" s="97" t="str">
        <x:v>S7</x:v>
      </x:c>
    </x:row>
    <x:row r="23">
      <x:c r="A23" s="97" t="str">
        <x:v>I026</x:v>
      </x:c>
      <x:c r="B23" s="97" t="str">
        <x:v>William Lee</x:v>
      </x:c>
      <x:c r="C23" s="97" t="str">
        <x:v>ABOUT 1741</x:v>
      </x:c>
      <x:c r="D23" s="97" t="str">
        <x:v>recorded</x:v>
      </x:c>
      <x:c r="E23" s="97" t="str">
        <x:v>29 APR 1795; Guilford, New Haven County, Connecticut</x:v>
      </x:c>
      <x:c r="F23" s="97" t="str">
        <x:v>recorded</x:v>
      </x:c>
      <x:c r="G23" s="97" t="str">
        <x:v>complete</x:v>
      </x:c>
      <x:c r="H23" s="97" t="str">
        <x:v>S7</x:v>
      </x:c>
    </x:row>
    <x:row r="24">
      <x:c r="A24" s="97" t="str">
        <x:v>I027</x:v>
      </x:c>
      <x:c r="B24" s="97" t="str">
        <x:v>Eunice Hotchkiss</x:v>
      </x:c>
      <x:c r="C24" s="97" t="str">
        <x:v>ABOUT 1754</x:v>
      </x:c>
      <x:c r="D24" s="97" t="str">
        <x:v>recorded</x:v>
      </x:c>
      <x:c r="E24" s="97" t="str">
        <x:v>27 FEB 1827</x:v>
      </x:c>
      <x:c r="F24" s="97" t="str">
        <x:v>recorded</x:v>
      </x:c>
      <x:c r="G24" s="97" t="str">
        <x:v>complete</x:v>
      </x:c>
      <x:c r="H24" s="97" t="str">
        <x:v>S7</x:v>
      </x:c>
    </x:row>
    <x:row r="25">
      <x:c r="A25" s="97" t="str">
        <x:v>I028</x:v>
      </x:c>
      <x:c r="B25" s="97" t="str">
        <x:v>John Evarts Stone</x:v>
      </x:c>
      <x:c r="C25" s="97" t="str">
        <x:v>28 NOV 1760; Guilford, New Haven County, Connecticut</x:v>
      </x:c>
      <x:c r="D25" s="97" t="str">
        <x:v>recorded</x:v>
      </x:c>
      <x:c r="E25" s="97" t="str">
        <x:v>29 JAN 1852; Guilford, New Haven County, Connecticut</x:v>
      </x:c>
      <x:c r="F25" s="97" t="str">
        <x:v>recorded</x:v>
      </x:c>
      <x:c r="G25" s="97" t="str">
        <x:v>complete</x:v>
      </x:c>
      <x:c r="H25" s="97" t="str">
        <x:v>S7</x:v>
      </x:c>
    </x:row>
    <x:row r="26">
      <x:c r="A26" s="97" t="str">
        <x:v>I029</x:v>
      </x:c>
      <x:c r="B26" s="97" t="str">
        <x:v>Eunice Goldsmith</x:v>
      </x:c>
      <x:c r="C26" s="97" t="str">
        <x:v>28 MAY 1764</x:v>
      </x:c>
      <x:c r="D26" s="97" t="str">
        <x:v>recorded</x:v>
      </x:c>
      <x:c r="E26" s="97" t="str">
        <x:v>28 APR 1852</x:v>
      </x:c>
      <x:c r="F26" s="97" t="str">
        <x:v>recorded</x:v>
      </x:c>
      <x:c r="G26" s="97" t="str">
        <x:v>complete</x:v>
      </x:c>
      <x:c r="H26" s="97" t="str">
        <x:v>S7</x:v>
      </x:c>
    </x:row>
    <x:row r="27">
      <x:c r="A27" s="97" t="str">
        <x:v>I030</x:v>
      </x:c>
      <x:c r="B27" s="97" t="str">
        <x:v>Ebenezer Lee</x:v>
      </x:c>
      <x:c r="C27" s="97" t="str">
        <x:v>25 FEB 1698/99</x:v>
      </x:c>
      <x:c r="D27" s="97" t="str">
        <x:v>recorded</x:v>
      </x:c>
      <x:c r="E27" s="97" t="str">
        <x:v>24 SEP 1751</x:v>
      </x:c>
      <x:c r="F27" s="97" t="str">
        <x:v>recorded</x:v>
      </x:c>
      <x:c r="G27" s="97" t="str">
        <x:v>complete</x:v>
      </x:c>
      <x:c r="H27" s="97" t="str">
        <x:v>S7</x:v>
      </x:c>
    </x:row>
    <x:row r="28">
      <x:c r="A28" s="97" t="str">
        <x:v>I031</x:v>
      </x:c>
      <x:c r="B28" s="97" t="str">
        <x:v>Sarah Chidsey</x:v>
      </x:c>
      <x:c r="C28" s="97" t="str"/>
      <x:c r="D28" s="97" t="str">
        <x:v>unresolved—no supported date found</x:v>
      </x:c>
      <x:c r="E28" s="97" t="str">
        <x:v>7 MAR 1778</x:v>
      </x:c>
      <x:c r="F28" s="97" t="str">
        <x:v>recorded</x:v>
      </x:c>
      <x:c r="G28" s="97" t="str">
        <x:v>partial</x:v>
      </x:c>
      <x:c r="H28" s="97" t="str">
        <x:v>S7</x:v>
      </x:c>
    </x:row>
    <x:row r="29">
      <x:c r="A29" s="97" t="str">
        <x:v>I032</x:v>
      </x:c>
      <x:c r="B29" s="97" t="str">
        <x:v>Mark Hotchkiss</x:v>
      </x:c>
      <x:c r="C29" s="97" t="str">
        <x:v>1 JUL 1714</x:v>
      </x:c>
      <x:c r="D29" s="97" t="str">
        <x:v>recorded</x:v>
      </x:c>
      <x:c r="E29" s="97" t="str">
        <x:v>19 NOV 1775</x:v>
      </x:c>
      <x:c r="F29" s="97" t="str">
        <x:v>recorded</x:v>
      </x:c>
      <x:c r="G29" s="97" t="str">
        <x:v>complete</x:v>
      </x:c>
      <x:c r="H29" s="97" t="str">
        <x:v>S7</x:v>
      </x:c>
    </x:row>
    <x:row r="30">
      <x:c r="A30" s="97" t="str">
        <x:v>I033</x:v>
      </x:c>
      <x:c r="B30" s="97" t="str">
        <x:v>Miriam Lee</x:v>
      </x:c>
      <x:c r="C30" s="97" t="str"/>
      <x:c r="D30" s="97" t="str">
        <x:v>unresolved—no supported date found</x:v>
      </x:c>
      <x:c r="E30" s="97" t="str">
        <x:v>31 MAR 1788</x:v>
      </x:c>
      <x:c r="F30" s="97" t="str">
        <x:v>recorded</x:v>
      </x:c>
      <x:c r="G30" s="97" t="str">
        <x:v>partial</x:v>
      </x:c>
      <x:c r="H30" s="97" t="str">
        <x:v>S7</x:v>
      </x:c>
    </x:row>
    <x:row r="31">
      <x:c r="A31" s="97" t="str">
        <x:v>I034</x:v>
      </x:c>
      <x:c r="B31" s="97" t="str">
        <x:v>Asher Stone</x:v>
      </x:c>
      <x:c r="C31" s="97" t="str">
        <x:v>23 JAN 1738/39; Guilford, New Haven County, Connecticut</x:v>
      </x:c>
      <x:c r="D31" s="97" t="str">
        <x:v>recorded</x:v>
      </x:c>
      <x:c r="E31" s="97" t="str">
        <x:v>27 SEP 1766; Guilford, New Haven County, Connecticut</x:v>
      </x:c>
      <x:c r="F31" s="97" t="str">
        <x:v>recorded</x:v>
      </x:c>
      <x:c r="G31" s="97" t="str">
        <x:v>complete</x:v>
      </x:c>
      <x:c r="H31" s="97" t="str">
        <x:v>S7</x:v>
      </x:c>
    </x:row>
    <x:row r="32">
      <x:c r="A32" s="97" t="str">
        <x:v>I035</x:v>
      </x:c>
      <x:c r="B32" s="97" t="str">
        <x:v>Carine Ward</x:v>
      </x:c>
      <x:c r="C32" s="97" t="str">
        <x:v>31 MAY 1740</x:v>
      </x:c>
      <x:c r="D32" s="97" t="str">
        <x:v>recorded</x:v>
      </x:c>
      <x:c r="E32" s="97" t="str">
        <x:v>27 OCT 1818</x:v>
      </x:c>
      <x:c r="F32" s="97" t="str">
        <x:v>recorded</x:v>
      </x:c>
      <x:c r="G32" s="97" t="str">
        <x:v>complete</x:v>
      </x:c>
      <x:c r="H32" s="97" t="str">
        <x:v>S7</x:v>
      </x:c>
    </x:row>
    <x:row r="33">
      <x:c r="A33" s="97" t="str">
        <x:v>I036</x:v>
      </x:c>
      <x:c r="B33" s="97" t="str">
        <x:v>Edward Lee</x:v>
      </x:c>
      <x:c r="C33" s="97" t="str">
        <x:v>ABOUT 1656</x:v>
      </x:c>
      <x:c r="D33" s="97" t="str">
        <x:v>recorded</x:v>
      </x:c>
      <x:c r="E33" s="97" t="str"/>
      <x:c r="F33" s="97" t="str">
        <x:v>unresolved—no supported date found</x:v>
      </x:c>
      <x:c r="G33" s="97" t="str">
        <x:v>partial</x:v>
      </x:c>
      <x:c r="H33" s="97" t="str">
        <x:v>S7</x:v>
      </x:c>
    </x:row>
    <x:row r="34">
      <x:c r="A34" s="97" t="str">
        <x:v>I037</x:v>
      </x:c>
      <x:c r="B34" s="97" t="str">
        <x:v>Abigail Stevens</x:v>
      </x:c>
      <x:c r="C34" s="97" t="str"/>
      <x:c r="D34" s="97" t="str">
        <x:v>unresolved—no supported date found</x:v>
      </x:c>
      <x:c r="E34" s="97" t="str">
        <x:v>AUG 1727</x:v>
      </x:c>
      <x:c r="F34" s="97" t="str">
        <x:v>recorded</x:v>
      </x:c>
      <x:c r="G34" s="97" t="str">
        <x:v>partial</x:v>
      </x:c>
      <x:c r="H34" s="97" t="str">
        <x:v>S7</x:v>
      </x:c>
    </x:row>
    <x:row r="35">
      <x:c r="A35" s="97" t="str">
        <x:v>I038</x:v>
      </x:c>
      <x:c r="B35" s="97" t="str">
        <x:v>Joseph Chidsey</x:v>
      </x:c>
      <x:c r="C35" s="97" t="str"/>
      <x:c r="D35" s="97" t="str">
        <x:v>unresolved—no supported date found</x:v>
      </x:c>
      <x:c r="E35" s="97" t="str"/>
      <x:c r="F35" s="97" t="str">
        <x:v>unresolved—no supported date found</x:v>
      </x:c>
      <x:c r="G35" s="97" t="str">
        <x:v>unresolved</x:v>
      </x:c>
      <x:c r="H35" s="97" t="str">
        <x:v>S7</x:v>
      </x:c>
    </x:row>
    <x:row r="36">
      <x:c r="A36" s="97" t="str">
        <x:v>I039</x:v>
      </x:c>
      <x:c r="B36" s="97" t="str">
        <x:v>Joseph Hotchkiss</x:v>
      </x:c>
      <x:c r="C36" s="97" t="str">
        <x:v>3 JUN 1678</x:v>
      </x:c>
      <x:c r="D36" s="97" t="str">
        <x:v>recorded</x:v>
      </x:c>
      <x:c r="E36" s="97" t="str">
        <x:v>31 JAN 1740</x:v>
      </x:c>
      <x:c r="F36" s="97" t="str">
        <x:v>recorded</x:v>
      </x:c>
      <x:c r="G36" s="97" t="str">
        <x:v>complete</x:v>
      </x:c>
      <x:c r="H36" s="97" t="str">
        <x:v>S7</x:v>
      </x:c>
    </x:row>
    <x:row r="37">
      <x:c r="A37" s="97" t="str">
        <x:v>I040</x:v>
      </x:c>
      <x:c r="B37" s="97" t="str">
        <x:v>Hannah Cruttenden</x:v>
      </x:c>
      <x:c r="C37" s="97" t="str">
        <x:v>ABOUT 1679</x:v>
      </x:c>
      <x:c r="D37" s="97" t="str">
        <x:v>recorded</x:v>
      </x:c>
      <x:c r="E37" s="97" t="str">
        <x:v>28 MAR 1756</x:v>
      </x:c>
      <x:c r="F37" s="97" t="str">
        <x:v>recorded</x:v>
      </x:c>
      <x:c r="G37" s="97" t="str">
        <x:v>complete</x:v>
      </x:c>
      <x:c r="H37" s="97" t="str">
        <x:v>S7</x:v>
      </x:c>
    </x:row>
    <x:row r="38">
      <x:c r="A38" s="97" t="str">
        <x:v>I041</x:v>
      </x:c>
      <x:c r="B38" s="97" t="str">
        <x:v>Caleb Stone Jr.</x:v>
      </x:c>
      <x:c r="C38" s="97" t="str">
        <x:v>7 MAY 1714; probably Guilford, Connecticut</x:v>
      </x:c>
      <x:c r="D38" s="97" t="str">
        <x:v>recorded</x:v>
      </x:c>
      <x:c r="E38" s="97" t="str">
        <x:v>28 JUL 1788; Guilford, Connecticut</x:v>
      </x:c>
      <x:c r="F38" s="97" t="str">
        <x:v>recorded</x:v>
      </x:c>
      <x:c r="G38" s="97" t="str">
        <x:v>complete</x:v>
      </x:c>
      <x:c r="H38" s="97" t="str">
        <x:v>S7</x:v>
      </x:c>
    </x:row>
    <x:row r="39">
      <x:c r="A39" s="97" t="str">
        <x:v>I042</x:v>
      </x:c>
      <x:c r="B39" s="97" t="str">
        <x:v>Rebecca Evarts</x:v>
      </x:c>
      <x:c r="C39" s="97" t="str">
        <x:v>ABOUT 1715</x:v>
      </x:c>
      <x:c r="D39" s="97" t="str">
        <x:v>recorded</x:v>
      </x:c>
      <x:c r="E39" s="97" t="str">
        <x:v>5 SEP 1795</x:v>
      </x:c>
      <x:c r="F39" s="97" t="str">
        <x:v>recorded</x:v>
      </x:c>
      <x:c r="G39" s="97" t="str">
        <x:v>complete</x:v>
      </x:c>
      <x:c r="H39" s="97" t="str">
        <x:v>S7</x:v>
      </x:c>
    </x:row>
    <x:row r="40">
      <x:c r="A40" s="97" t="str">
        <x:v>I043</x:v>
      </x:c>
      <x:c r="B40" s="97" t="str">
        <x:v>William Ward</x:v>
      </x:c>
      <x:c r="C40" s="97" t="str">
        <x:v>7 JAN 1705; Wallingford, New Haven County, Connecticut</x:v>
      </x:c>
      <x:c r="D40" s="97" t="str">
        <x:v>recorded</x:v>
      </x:c>
      <x:c r="E40" s="97" t="str">
        <x:v>19 DEC 1761</x:v>
      </x:c>
      <x:c r="F40" s="97" t="str">
        <x:v>recorded</x:v>
      </x:c>
      <x:c r="G40" s="97" t="str">
        <x:v>complete</x:v>
      </x:c>
      <x:c r="H40" s="97" t="str">
        <x:v>S7</x:v>
      </x:c>
    </x:row>
    <x:row r="41">
      <x:c r="A41" s="97" t="str">
        <x:v>I044</x:v>
      </x:c>
      <x:c r="B41" s="97" t="str">
        <x:v>Abigail Crampton</x:v>
      </x:c>
      <x:c r="C41" s="97" t="str">
        <x:v>17 OCT 1704</x:v>
      </x:c>
      <x:c r="D41" s="97" t="str">
        <x:v>recorded</x:v>
      </x:c>
      <x:c r="E41" s="97" t="str">
        <x:v>4 NOV 1757</x:v>
      </x:c>
      <x:c r="F41" s="97" t="str">
        <x:v>recorded</x:v>
      </x:c>
      <x:c r="G41" s="97" t="str">
        <x:v>complete</x:v>
      </x:c>
      <x:c r="H41" s="97" t="str">
        <x:v>S7</x:v>
      </x:c>
    </x:row>
    <x:row r="42">
      <x:c r="A42" s="97" t="str">
        <x:v>I045</x:v>
      </x:c>
      <x:c r="B42" s="97" t="str">
        <x:v>Thomas Stevens</x:v>
      </x:c>
      <x:c r="C42" s="97" t="str"/>
      <x:c r="D42" s="97" t="str">
        <x:v>unresolved—no supported date found</x:v>
      </x:c>
      <x:c r="E42" s="97" t="str"/>
      <x:c r="F42" s="97" t="str">
        <x:v>unresolved—no supported date found</x:v>
      </x:c>
      <x:c r="G42" s="97" t="str">
        <x:v>unresolved</x:v>
      </x:c>
      <x:c r="H42" s="97" t="str">
        <x:v>S7</x:v>
      </x:c>
    </x:row>
    <x:row r="43">
      <x:c r="A43" s="97" t="str">
        <x:v>I046</x:v>
      </x:c>
      <x:c r="B43" s="97" t="str">
        <x:v>John Hotchkiss</x:v>
      </x:c>
      <x:c r="C43" s="97" t="str">
        <x:v>ABOUT 1643</x:v>
      </x:c>
      <x:c r="D43" s="97" t="str">
        <x:v>recorded</x:v>
      </x:c>
      <x:c r="E43" s="97" t="str">
        <x:v>BY 23 SEP 1689</x:v>
      </x:c>
      <x:c r="F43" s="97" t="str">
        <x:v>recorded</x:v>
      </x:c>
      <x:c r="G43" s="97" t="str">
        <x:v>complete</x:v>
      </x:c>
      <x:c r="H43" s="97" t="str">
        <x:v>S7</x:v>
      </x:c>
    </x:row>
    <x:row r="44">
      <x:c r="A44" s="97" t="str">
        <x:v>I047</x:v>
      </x:c>
      <x:c r="B44" s="97" t="str">
        <x:v>Elizabeth Peck</x:v>
      </x:c>
      <x:c r="C44" s="97" t="str"/>
      <x:c r="D44" s="97" t="str">
        <x:v>unresolved—no supported date found</x:v>
      </x:c>
      <x:c r="E44" s="97" t="str"/>
      <x:c r="F44" s="97" t="str">
        <x:v>unresolved—no supported date found</x:v>
      </x:c>
      <x:c r="G44" s="97" t="str">
        <x:v>unresolved</x:v>
      </x:c>
      <x:c r="H44" s="97" t="str">
        <x:v>S7</x:v>
      </x:c>
    </x:row>
    <x:row r="45">
      <x:c r="A45" s="97" t="str">
        <x:v>I048</x:v>
      </x:c>
      <x:c r="B45" s="97" t="str">
        <x:v>Isaac Cruttenden</x:v>
      </x:c>
      <x:c r="C45" s="97" t="str">
        <x:v>ABOUT 1643</x:v>
      </x:c>
      <x:c r="D45" s="97" t="str">
        <x:v>recorded</x:v>
      </x:c>
      <x:c r="E45" s="97" t="str">
        <x:v>13 JUL 1685</x:v>
      </x:c>
      <x:c r="F45" s="97" t="str">
        <x:v>recorded</x:v>
      </x:c>
      <x:c r="G45" s="97" t="str">
        <x:v>complete</x:v>
      </x:c>
      <x:c r="H45" s="97" t="str">
        <x:v>S7</x:v>
      </x:c>
    </x:row>
    <x:row r="46">
      <x:c r="A46" s="97" t="str">
        <x:v>I049</x:v>
      </x:c>
      <x:c r="B46" s="97" t="str">
        <x:v>Lydia Thompson</x:v>
      </x:c>
      <x:c r="C46" s="97" t="str">
        <x:v>BAPTIZED 24 JUL 1647; New Haven, Connecticut</x:v>
      </x:c>
      <x:c r="D46" s="97" t="str">
        <x:v>recorded</x:v>
      </x:c>
      <x:c r="E46" s="97" t="str">
        <x:v>DEC 1729</x:v>
      </x:c>
      <x:c r="F46" s="97" t="str">
        <x:v>recorded</x:v>
      </x:c>
      <x:c r="G46" s="97" t="str">
        <x:v>complete</x:v>
      </x:c>
      <x:c r="H46" s="97" t="str">
        <x:v>S7</x:v>
      </x:c>
    </x:row>
    <x:row r="47">
      <x:c r="A47" s="97" t="str">
        <x:v>I050</x:v>
      </x:c>
      <x:c r="B47" s="97" t="str">
        <x:v>Caleb Stone</x:v>
      </x:c>
      <x:c r="C47" s="97" t="str">
        <x:v>10 NOV 1685</x:v>
      </x:c>
      <x:c r="D47" s="97" t="str">
        <x:v>recorded</x:v>
      </x:c>
      <x:c r="E47" s="97" t="str">
        <x:v>25 MAY 1765</x:v>
      </x:c>
      <x:c r="F47" s="97" t="str">
        <x:v>recorded</x:v>
      </x:c>
      <x:c r="G47" s="97" t="str">
        <x:v>complete</x:v>
      </x:c>
      <x:c r="H47" s="97" t="str">
        <x:v>S7</x:v>
      </x:c>
    </x:row>
    <x:row r="48">
      <x:c r="A48" s="97" t="str">
        <x:v>I051</x:v>
      </x:c>
      <x:c r="B48" s="97" t="str">
        <x:v>Sarah Meigs</x:v>
      </x:c>
      <x:c r="C48" s="97" t="str">
        <x:v>ABOUT 1691</x:v>
      </x:c>
      <x:c r="D48" s="97" t="str">
        <x:v>recorded</x:v>
      </x:c>
      <x:c r="E48" s="97" t="str">
        <x:v>4 MAY 1775</x:v>
      </x:c>
      <x:c r="F48" s="97" t="str">
        <x:v>recorded</x:v>
      </x:c>
      <x:c r="G48" s="97" t="str">
        <x:v>complete</x:v>
      </x:c>
      <x:c r="H48" s="97" t="str">
        <x:v>S7</x:v>
      </x:c>
    </x:row>
    <x:row r="49">
      <x:c r="A49" s="97" t="str">
        <x:v>I052</x:v>
      </x:c>
      <x:c r="B49" s="97" t="str">
        <x:v>James Evarts</x:v>
      </x:c>
      <x:c r="C49" s="97" t="str">
        <x:v>18 FEB 1672</x:v>
      </x:c>
      <x:c r="D49" s="97" t="str">
        <x:v>recorded</x:v>
      </x:c>
      <x:c r="E49" s="97" t="str">
        <x:v>6 APR 1751</x:v>
      </x:c>
      <x:c r="F49" s="97" t="str">
        <x:v>recorded</x:v>
      </x:c>
      <x:c r="G49" s="97" t="str">
        <x:v>complete</x:v>
      </x:c>
      <x:c r="H49" s="97" t="str">
        <x:v>S7</x:v>
      </x:c>
    </x:row>
    <x:row r="50">
      <x:c r="A50" s="97" t="str">
        <x:v>I053</x:v>
      </x:c>
      <x:c r="B50" s="97" t="str">
        <x:v>William Ward</x:v>
      </x:c>
      <x:c r="C50" s="97" t="str">
        <x:v>18 OCT 1678; Wallingford, New Haven County, Connecticut</x:v>
      </x:c>
      <x:c r="D50" s="97" t="str">
        <x:v>recorded</x:v>
      </x:c>
      <x:c r="E50" s="97" t="str">
        <x:v>19 DEC 1767; Wallingford, New Haven County, Connecticut</x:v>
      </x:c>
      <x:c r="F50" s="97" t="str">
        <x:v>recorded</x:v>
      </x:c>
      <x:c r="G50" s="97" t="str">
        <x:v>complete</x:v>
      </x:c>
      <x:c r="H50" s="97" t="str">
        <x:v>S7</x:v>
      </x:c>
    </x:row>
    <x:row r="51">
      <x:c r="A51" s="97" t="str">
        <x:v>I054</x:v>
      </x:c>
      <x:c r="B51" s="97" t="str">
        <x:v>Lettice Beach</x:v>
      </x:c>
      <x:c r="C51" s="97" t="str">
        <x:v>24 DEC 1679; Wallingford, New Haven County, Connecticut</x:v>
      </x:c>
      <x:c r="D51" s="97" t="str">
        <x:v>recorded</x:v>
      </x:c>
      <x:c r="E51" s="97" t="str"/>
      <x:c r="F51" s="97" t="str">
        <x:v>unresolved—no supported date found</x:v>
      </x:c>
      <x:c r="G51" s="97" t="str">
        <x:v>partial</x:v>
      </x:c>
      <x:c r="H51" s="97" t="str">
        <x:v>S7</x:v>
      </x:c>
    </x:row>
    <x:row r="52">
      <x:c r="A52" s="97" t="str">
        <x:v>I055</x:v>
      </x:c>
      <x:c r="B52" s="97" t="str">
        <x:v>John Crampton</x:v>
      </x:c>
      <x:c r="C52" s="97" t="str"/>
      <x:c r="D52" s="97" t="str">
        <x:v>unresolved—no supported date found</x:v>
      </x:c>
      <x:c r="E52" s="97" t="str"/>
      <x:c r="F52" s="97" t="str">
        <x:v>unresolved—no supported date found</x:v>
      </x:c>
      <x:c r="G52" s="97" t="str">
        <x:v>unresolved</x:v>
      </x:c>
      <x:c r="H52" s="97" t="str">
        <x:v>S7</x:v>
      </x:c>
    </x:row>
    <x:row r="53">
      <x:c r="A53" s="97" t="str">
        <x:v>I056</x:v>
      </x:c>
      <x:c r="B53" s="97" t="str">
        <x:v>Hannah Evarts</x:v>
      </x:c>
      <x:c r="C53" s="97" t="str"/>
      <x:c r="D53" s="97" t="str">
        <x:v>unresolved—no supported date found</x:v>
      </x:c>
      <x:c r="E53" s="97" t="str"/>
      <x:c r="F53" s="97" t="str">
        <x:v>unresolved—no supported date found</x:v>
      </x:c>
      <x:c r="G53" s="97" t="str">
        <x:v>unresolved</x:v>
      </x:c>
      <x:c r="H53" s="97" t="str">
        <x:v>S7</x:v>
      </x:c>
    </x:row>
    <x:row r="54">
      <x:c r="A54" s="97" t="str">
        <x:v>I057</x:v>
      </x:c>
      <x:c r="B54" s="97" t="str">
        <x:v>Samuel Hotchkiss</x:v>
      </x:c>
      <x:c r="C54" s="97" t="str"/>
      <x:c r="D54" s="97" t="str">
        <x:v>unresolved—no supported date found</x:v>
      </x:c>
      <x:c r="E54" s="97" t="str">
        <x:v>28 DEC 1663; New Haven, Connecticut</x:v>
      </x:c>
      <x:c r="F54" s="97" t="str">
        <x:v>recorded</x:v>
      </x:c>
      <x:c r="G54" s="97" t="str">
        <x:v>partial</x:v>
      </x:c>
      <x:c r="H54" s="97" t="str">
        <x:v>S7</x:v>
      </x:c>
    </x:row>
    <x:row r="55">
      <x:c r="A55" s="97" t="str">
        <x:v>I058</x:v>
      </x:c>
      <x:c r="B55" s="97" t="str">
        <x:v>Elizabeth Cleverly</x:v>
      </x:c>
      <x:c r="C55" s="97" t="str"/>
      <x:c r="D55" s="97" t="str">
        <x:v>unresolved—no supported date found</x:v>
      </x:c>
      <x:c r="E55" s="97" t="str">
        <x:v>ABOUT 1681</x:v>
      </x:c>
      <x:c r="F55" s="97" t="str">
        <x:v>recorded</x:v>
      </x:c>
      <x:c r="G55" s="97" t="str">
        <x:v>partial</x:v>
      </x:c>
      <x:c r="H55" s="97" t="str">
        <x:v>S7</x:v>
      </x:c>
    </x:row>
    <x:row r="56">
      <x:c r="A56" s="97" t="str">
        <x:v>I059</x:v>
      </x:c>
      <x:c r="B56" s="97" t="str">
        <x:v>Abraham Cruttenden</x:v>
      </x:c>
      <x:c r="C56" s="97" t="str"/>
      <x:c r="D56" s="97" t="str">
        <x:v>unresolved—no supported date found</x:v>
      </x:c>
      <x:c r="E56" s="97" t="str">
        <x:v>JAN 1683</x:v>
      </x:c>
      <x:c r="F56" s="97" t="str">
        <x:v>recorded</x:v>
      </x:c>
      <x:c r="G56" s="97" t="str">
        <x:v>partial</x:v>
      </x:c>
      <x:c r="H56" s="97" t="str">
        <x:v>S7</x:v>
      </x:c>
    </x:row>
    <x:row r="57">
      <x:c r="A57" s="97" t="str">
        <x:v>I060</x:v>
      </x:c>
      <x:c r="B57" s="97" t="str">
        <x:v>Mary</x:v>
      </x:c>
      <x:c r="C57" s="97" t="str"/>
      <x:c r="D57" s="97" t="str">
        <x:v>unresolved—no supported date found</x:v>
      </x:c>
      <x:c r="E57" s="97" t="str">
        <x:v>ABOUT 1664</x:v>
      </x:c>
      <x:c r="F57" s="97" t="str">
        <x:v>recorded</x:v>
      </x:c>
      <x:c r="G57" s="97" t="str">
        <x:v>partial</x:v>
      </x:c>
      <x:c r="H57" s="97" t="str">
        <x:v>S7</x:v>
      </x:c>
    </x:row>
    <x:row r="58">
      <x:c r="A58" s="97" t="str">
        <x:v>I061</x:v>
      </x:c>
      <x:c r="B58" s="97" t="str">
        <x:v>Anthony Thompson</x:v>
      </x:c>
      <x:c r="C58" s="97" t="str">
        <x:v>ABOUT 1612</x:v>
      </x:c>
      <x:c r="D58" s="97" t="str">
        <x:v>recorded</x:v>
      </x:c>
      <x:c r="E58" s="97" t="str">
        <x:v>SEP 1648</x:v>
      </x:c>
      <x:c r="F58" s="97" t="str">
        <x:v>recorded</x:v>
      </x:c>
      <x:c r="G58" s="97" t="str">
        <x:v>complete</x:v>
      </x:c>
      <x:c r="H58" s="97" t="str">
        <x:v>S7</x:v>
      </x:c>
    </x:row>
    <x:row r="59">
      <x:c r="A59" s="97" t="str">
        <x:v>I062</x:v>
      </x:c>
      <x:c r="B59" s="97" t="str">
        <x:v>Katherine</x:v>
      </x:c>
      <x:c r="C59" s="97" t="str"/>
      <x:c r="D59" s="97" t="str">
        <x:v>unresolved—no supported date found</x:v>
      </x:c>
      <x:c r="E59" s="97" t="str"/>
      <x:c r="F59" s="97" t="str">
        <x:v>unresolved—no supported date found</x:v>
      </x:c>
      <x:c r="G59" s="97" t="str">
        <x:v>unresolved</x:v>
      </x:c>
      <x:c r="H59" s="97" t="str">
        <x:v>S7</x:v>
      </x:c>
    </x:row>
    <x:row r="60">
      <x:c r="A60" s="97" t="str">
        <x:v>I063</x:v>
      </x:c>
      <x:c r="B60" s="97" t="str">
        <x:v>Nathaniel Stone</x:v>
      </x:c>
      <x:c r="C60" s="97" t="str">
        <x:v>2 FEB 1648; Guilford, New Haven County, Connecticut</x:v>
      </x:c>
      <x:c r="D60" s="97" t="str">
        <x:v>recorded</x:v>
      </x:c>
      <x:c r="E60" s="97" t="str">
        <x:v>11 AUG 1709</x:v>
      </x:c>
      <x:c r="F60" s="97" t="str">
        <x:v>recorded</x:v>
      </x:c>
      <x:c r="G60" s="97" t="str">
        <x:v>complete</x:v>
      </x:c>
      <x:c r="H60" s="97" t="str">
        <x:v>S7</x:v>
      </x:c>
    </x:row>
    <x:row r="61">
      <x:c r="A61" s="97" t="str">
        <x:v>I064</x:v>
      </x:c>
      <x:c r="B61" s="97" t="str">
        <x:v>Mary Bartlett</x:v>
      </x:c>
      <x:c r="C61" s="97" t="str">
        <x:v>1 FEB 1655</x:v>
      </x:c>
      <x:c r="D61" s="97" t="str">
        <x:v>recorded</x:v>
      </x:c>
      <x:c r="E61" s="97" t="str">
        <x:v>5 NOV 1724</x:v>
      </x:c>
      <x:c r="F61" s="97" t="str">
        <x:v>recorded</x:v>
      </x:c>
      <x:c r="G61" s="97" t="str">
        <x:v>complete</x:v>
      </x:c>
      <x:c r="H61" s="97" t="str">
        <x:v>S7</x:v>
      </x:c>
    </x:row>
    <x:row r="62">
      <x:c r="A62" s="97" t="str">
        <x:v>I065</x:v>
      </x:c>
      <x:c r="B62" s="97" t="str">
        <x:v>John Meigs</x:v>
      </x:c>
      <x:c r="C62" s="97" t="str">
        <x:v>28 FEB 1641</x:v>
      </x:c>
      <x:c r="D62" s="97" t="str">
        <x:v>recorded</x:v>
      </x:c>
      <x:c r="E62" s="97" t="str">
        <x:v>9 NOV 1713</x:v>
      </x:c>
      <x:c r="F62" s="97" t="str">
        <x:v>recorded</x:v>
      </x:c>
      <x:c r="G62" s="97" t="str">
        <x:v>complete</x:v>
      </x:c>
      <x:c r="H62" s="97" t="str">
        <x:v>S7</x:v>
      </x:c>
    </x:row>
    <x:row r="63">
      <x:c r="A63" s="97" t="str">
        <x:v>I066</x:v>
      </x:c>
      <x:c r="B63" s="97" t="str">
        <x:v>Sarah Wilcockson</x:v>
      </x:c>
      <x:c r="C63" s="97" t="str">
        <x:v>26 OCT 1648; Stratford, Fairfield County, Connecticut</x:v>
      </x:c>
      <x:c r="D63" s="97" t="str">
        <x:v>recorded</x:v>
      </x:c>
      <x:c r="E63" s="97" t="str">
        <x:v>24 NOV 1691</x:v>
      </x:c>
      <x:c r="F63" s="97" t="str">
        <x:v>recorded</x:v>
      </x:c>
      <x:c r="G63" s="97" t="str">
        <x:v>complete</x:v>
      </x:c>
      <x:c r="H63" s="97" t="str">
        <x:v>S7</x:v>
      </x:c>
    </x:row>
    <x:row r="64">
      <x:c r="A64" s="97" t="str">
        <x:v>I067</x:v>
      </x:c>
      <x:c r="B64" s="97" t="str">
        <x:v>Daniel Evarts</x:v>
      </x:c>
      <x:c r="C64" s="97" t="str">
        <x:v>ABOUT 1645</x:v>
      </x:c>
      <x:c r="D64" s="97" t="str">
        <x:v>recorded</x:v>
      </x:c>
      <x:c r="E64" s="97" t="str">
        <x:v>5 DEC 1692</x:v>
      </x:c>
      <x:c r="F64" s="97" t="str">
        <x:v>recorded</x:v>
      </x:c>
      <x:c r="G64" s="97" t="str">
        <x:v>complete</x:v>
      </x:c>
      <x:c r="H64" s="97" t="str">
        <x:v>S7</x:v>
      </x:c>
    </x:row>
    <x:row r="65">
      <x:c r="A65" s="97" t="str">
        <x:v>I068</x:v>
      </x:c>
      <x:c r="B65" s="97" t="str">
        <x:v>Rebecca Dowd</x:v>
      </x:c>
      <x:c r="C65" s="97" t="str"/>
      <x:c r="D65" s="97" t="str">
        <x:v>unresolved—no supported date found</x:v>
      </x:c>
      <x:c r="E65" s="97" t="str">
        <x:v>16 OCT 1703</x:v>
      </x:c>
      <x:c r="F65" s="97" t="str">
        <x:v>recorded</x:v>
      </x:c>
      <x:c r="G65" s="97" t="str">
        <x:v>partial</x:v>
      </x:c>
      <x:c r="H65" s="97" t="str">
        <x:v>S7</x:v>
      </x:c>
    </x:row>
    <x:row r="66">
      <x:c r="A66" s="97" t="str">
        <x:v>I069</x:v>
      </x:c>
      <x:c r="B66" s="97" t="str">
        <x:v>Andrew Ward Jr.</x:v>
      </x:c>
      <x:c r="C66" s="97" t="str">
        <x:v>ABOUT 1644</x:v>
      </x:c>
      <x:c r="D66" s="97" t="str">
        <x:v>recorded</x:v>
      </x:c>
      <x:c r="E66" s="97" t="str">
        <x:v>ABOUT 1690</x:v>
      </x:c>
      <x:c r="F66" s="97" t="str">
        <x:v>recorded</x:v>
      </x:c>
      <x:c r="G66" s="97" t="str">
        <x:v>complete</x:v>
      </x:c>
      <x:c r="H66" s="97" t="str">
        <x:v>S7</x:v>
      </x:c>
    </x:row>
    <x:row r="67">
      <x:c r="A67" s="97" t="str">
        <x:v>I070</x:v>
      </x:c>
      <x:c r="B67" s="97" t="str">
        <x:v>Trial Meigs</x:v>
      </x:c>
      <x:c r="C67" s="97" t="str">
        <x:v>ABOUT 1646; probably New Haven, Connecticut</x:v>
      </x:c>
      <x:c r="D67" s="97" t="str">
        <x:v>recorded</x:v>
      </x:c>
      <x:c r="E67" s="97" t="str">
        <x:v>ABOUT 1690</x:v>
      </x:c>
      <x:c r="F67" s="97" t="str">
        <x:v>recorded</x:v>
      </x:c>
      <x:c r="G67" s="97" t="str">
        <x:v>complete</x:v>
      </x:c>
      <x:c r="H67" s="97" t="str">
        <x:v>S7</x:v>
      </x:c>
    </x:row>
    <x:row r="68">
      <x:c r="A68" s="97" t="str">
        <x:v>I071</x:v>
      </x:c>
      <x:c r="B68" s="97" t="str">
        <x:v>John Beach</x:v>
      </x:c>
      <x:c r="C68" s="97" t="str">
        <x:v>19 OCT 1655; Milford, New Haven County, Connecticut</x:v>
      </x:c>
      <x:c r="D68" s="97" t="str">
        <x:v>recorded</x:v>
      </x:c>
      <x:c r="E68" s="97" t="str">
        <x:v>ABOUT 1709</x:v>
      </x:c>
      <x:c r="F68" s="97" t="str">
        <x:v>recorded</x:v>
      </x:c>
      <x:c r="G68" s="97" t="str">
        <x:v>complete</x:v>
      </x:c>
      <x:c r="H68" s="97" t="str">
        <x:v>S7</x:v>
      </x:c>
    </x:row>
    <x:row r="69">
      <x:c r="A69" s="97" t="str">
        <x:v>I072</x:v>
      </x:c>
      <x:c r="B69" s="97" t="str">
        <x:v>Mary Royce</x:v>
      </x:c>
      <x:c r="C69" s="97" t="str">
        <x:v>ABOUT 1658</x:v>
      </x:c>
      <x:c r="D69" s="97" t="str">
        <x:v>recorded</x:v>
      </x:c>
      <x:c r="E69" s="97" t="str"/>
      <x:c r="F69" s="97" t="str">
        <x:v>unresolved—no supported date found</x:v>
      </x:c>
      <x:c r="G69" s="97" t="str">
        <x:v>partial</x:v>
      </x:c>
      <x:c r="H69" s="97" t="str">
        <x:v>S7</x:v>
      </x:c>
    </x:row>
    <x:row r="70">
      <x:c r="A70" s="97" t="str">
        <x:v>I073</x:v>
      </x:c>
      <x:c r="B70" s="97" t="str">
        <x:v>John Stone</x:v>
      </x:c>
      <x:c r="C70" s="97" t="str">
        <x:v>ABOUT 1610</x:v>
      </x:c>
      <x:c r="D70" s="97" t="str">
        <x:v>recorded</x:v>
      </x:c>
      <x:c r="E70" s="97" t="str">
        <x:v>FEB 1687; Guilford, New Haven County, Connecticut</x:v>
      </x:c>
      <x:c r="F70" s="97" t="str">
        <x:v>recorded</x:v>
      </x:c>
      <x:c r="G70" s="97" t="str">
        <x:v>complete</x:v>
      </x:c>
      <x:c r="H70" s="97" t="str">
        <x:v>S7</x:v>
      </x:c>
    </x:row>
    <x:row r="71">
      <x:c r="A71" s="97" t="str">
        <x:v>I074</x:v>
      </x:c>
      <x:c r="B71" s="97" t="str">
        <x:v>Mary</x:v>
      </x:c>
      <x:c r="C71" s="97" t="str"/>
      <x:c r="D71" s="97" t="str">
        <x:v>unresolved—no supported date found</x:v>
      </x:c>
      <x:c r="E71" s="97" t="str">
        <x:v>FEB 1687; Guilford, New Haven County, Connecticut</x:v>
      </x:c>
      <x:c r="F71" s="97" t="str">
        <x:v>recorded</x:v>
      </x:c>
      <x:c r="G71" s="97" t="str">
        <x:v>partial</x:v>
      </x:c>
      <x:c r="H71" s="97" t="str">
        <x:v>S7</x:v>
      </x:c>
    </x:row>
    <x:row r="72">
      <x:c r="A72" s="97" t="str">
        <x:v>I075</x:v>
      </x:c>
      <x:c r="B72" s="97" t="str">
        <x:v>Vincent Meigs</x:v>
      </x:c>
      <x:c r="C72" s="97" t="str">
        <x:v>ABOUT 1583</x:v>
      </x:c>
      <x:c r="D72" s="97" t="str">
        <x:v>recorded</x:v>
      </x:c>
      <x:c r="E72" s="97" t="str">
        <x:v>DEC 1658; Killingworth, Middlesex County, Connecticut</x:v>
      </x:c>
      <x:c r="F72" s="97" t="str">
        <x:v>recorded</x:v>
      </x:c>
      <x:c r="G72" s="97" t="str">
        <x:v>complete</x:v>
      </x:c>
      <x:c r="H72" s="97" t="str">
        <x:v>S7</x:v>
      </x:c>
    </x:row>
    <x:row r="73">
      <x:c r="A73" s="97" t="str">
        <x:v>I076</x:v>
      </x:c>
      <x:c r="B73" s="97" t="str">
        <x:v>Tamasin Fry</x:v>
      </x:c>
      <x:c r="C73" s="97" t="str"/>
      <x:c r="D73" s="97" t="str">
        <x:v>unresolved—no supported date found</x:v>
      </x:c>
      <x:c r="E73" s="97" t="str">
        <x:v>AFTER 28 AUG 1671</x:v>
      </x:c>
      <x:c r="F73" s="97" t="str">
        <x:v>recorded</x:v>
      </x:c>
      <x:c r="G73" s="97" t="str">
        <x:v>partial</x:v>
      </x:c>
      <x:c r="H73" s="97" t="str">
        <x:v>S7</x:v>
      </x:c>
    </x:row>
    <x:row r="74">
      <x:c r="A74" s="97" t="str">
        <x:v>I077</x:v>
      </x:c>
      <x:c r="B74" s="97" t="str">
        <x:v>William Wilcockson</x:v>
      </x:c>
      <x:c r="C74" s="97" t="str">
        <x:v>ABOUT 1601; St. Albans, Hertfordshire, England</x:v>
      </x:c>
      <x:c r="D74" s="97" t="str">
        <x:v>recorded</x:v>
      </x:c>
      <x:c r="E74" s="97" t="str">
        <x:v>1651/52; Cambridge, Massachusetts</x:v>
      </x:c>
      <x:c r="F74" s="97" t="str">
        <x:v>recorded</x:v>
      </x:c>
      <x:c r="G74" s="97" t="str">
        <x:v>complete</x:v>
      </x:c>
      <x:c r="H74" s="97" t="str">
        <x:v>S7</x:v>
      </x:c>
    </x:row>
    <x:row r="75">
      <x:c r="A75" s="97" t="str">
        <x:v>I078</x:v>
      </x:c>
      <x:c r="B75" s="97" t="str">
        <x:v>Margaret Harvey</x:v>
      </x:c>
      <x:c r="C75" s="97" t="str"/>
      <x:c r="D75" s="97" t="str">
        <x:v>unresolved—no supported date found</x:v>
      </x:c>
      <x:c r="E75" s="97" t="str"/>
      <x:c r="F75" s="97" t="str">
        <x:v>unresolved—no supported date found</x:v>
      </x:c>
      <x:c r="G75" s="97" t="str">
        <x:v>unresolved</x:v>
      </x:c>
      <x:c r="H75" s="97" t="str">
        <x:v>S7</x:v>
      </x:c>
    </x:row>
    <x:row r="76">
      <x:c r="A76" s="97" t="str">
        <x:v>I079</x:v>
      </x:c>
      <x:c r="B76" s="97" t="str">
        <x:v>John Evarts</x:v>
      </x:c>
      <x:c r="C76" s="97" t="str">
        <x:v>ABOUT 1600</x:v>
      </x:c>
      <x:c r="D76" s="97" t="str">
        <x:v>recorded</x:v>
      </x:c>
      <x:c r="E76" s="97" t="str">
        <x:v>BURIED 10 MAY 1669; Guilford, New Haven County, Connecticut</x:v>
      </x:c>
      <x:c r="F76" s="97" t="str">
        <x:v>recorded</x:v>
      </x:c>
      <x:c r="G76" s="97" t="str">
        <x:v>complete</x:v>
      </x:c>
      <x:c r="H76" s="97" t="str">
        <x:v>S7</x:v>
      </x:c>
    </x:row>
    <x:row r="77">
      <x:c r="A77" s="97" t="str">
        <x:v>I080</x:v>
      </x:c>
      <x:c r="B77" s="97" t="str">
        <x:v>Elizabeth</x:v>
      </x:c>
      <x:c r="C77" s="97" t="str"/>
      <x:c r="D77" s="97" t="str">
        <x:v>unresolved—no supported date found</x:v>
      </x:c>
      <x:c r="E77" s="97" t="str"/>
      <x:c r="F77" s="97" t="str">
        <x:v>unresolved—no supported date found</x:v>
      </x:c>
      <x:c r="G77" s="97" t="str">
        <x:v>unresolved</x:v>
      </x:c>
      <x:c r="H77" s="97" t="str">
        <x:v>S7</x:v>
      </x:c>
    </x:row>
    <x:row r="78">
      <x:c r="A78" s="97" t="str">
        <x:v>I081</x:v>
      </x:c>
      <x:c r="B78" s="97" t="str">
        <x:v>Henry Dowd</x:v>
      </x:c>
      <x:c r="C78" s="97" t="str"/>
      <x:c r="D78" s="97" t="str">
        <x:v>unresolved—no supported date found</x:v>
      </x:c>
      <x:c r="E78" s="97" t="str"/>
      <x:c r="F78" s="97" t="str">
        <x:v>unresolved—no supported date found</x:v>
      </x:c>
      <x:c r="G78" s="97" t="str">
        <x:v>unresolved</x:v>
      </x:c>
      <x:c r="H78" s="97" t="str">
        <x:v>S7</x:v>
      </x:c>
    </x:row>
    <x:row r="79">
      <x:c r="A79" s="97" t="str">
        <x:v>I082</x:v>
      </x:c>
      <x:c r="B79" s="97" t="str">
        <x:v>Andrew Ward</x:v>
      </x:c>
      <x:c r="C79" s="97" t="str">
        <x:v>ABOUT 1603</x:v>
      </x:c>
      <x:c r="D79" s="97" t="str">
        <x:v>recorded</x:v>
      </x:c>
      <x:c r="E79" s="97" t="str">
        <x:v>1659</x:v>
      </x:c>
      <x:c r="F79" s="97" t="str">
        <x:v>recorded</x:v>
      </x:c>
      <x:c r="G79" s="97" t="str">
        <x:v>complete</x:v>
      </x:c>
      <x:c r="H79" s="97" t="str">
        <x:v>S7</x:v>
      </x:c>
    </x:row>
    <x:row r="80">
      <x:c r="A80" s="97" t="str">
        <x:v>I083</x:v>
      </x:c>
      <x:c r="B80" s="97" t="str">
        <x:v>Hester Sherman</x:v>
      </x:c>
      <x:c r="C80" s="97" t="str">
        <x:v>BAPTIZED 1 APR 1606; Dedham, Essex, England</x:v>
      </x:c>
      <x:c r="D80" s="97" t="str">
        <x:v>recorded</x:v>
      </x:c>
      <x:c r="E80" s="97" t="str">
        <x:v>1665/66</x:v>
      </x:c>
      <x:c r="F80" s="97" t="str">
        <x:v>recorded</x:v>
      </x:c>
      <x:c r="G80" s="97" t="str">
        <x:v>complete</x:v>
      </x:c>
      <x:c r="H80" s="97" t="str">
        <x:v>S7</x:v>
      </x:c>
    </x:row>
    <x:row r="81">
      <x:c r="A81" s="97" t="str">
        <x:v>I084</x:v>
      </x:c>
      <x:c r="B81" s="97" t="str">
        <x:v>Thomas Beach</x:v>
      </x:c>
      <x:c r="C81" s="97" t="str"/>
      <x:c r="D81" s="97" t="str">
        <x:v>unresolved—no supported date found</x:v>
      </x:c>
      <x:c r="E81" s="97" t="str">
        <x:v>BY 31 MAY 1662; Milford, New Haven County, Connecticut</x:v>
      </x:c>
      <x:c r="F81" s="97" t="str">
        <x:v>recorded</x:v>
      </x:c>
      <x:c r="G81" s="97" t="str">
        <x:v>partial</x:v>
      </x:c>
      <x:c r="H81" s="97" t="str">
        <x:v>S7</x:v>
      </x:c>
    </x:row>
    <x:row r="82">
      <x:c r="A82" s="97" t="str">
        <x:v>I085</x:v>
      </x:c>
      <x:c r="B82" s="97" t="str">
        <x:v>Sarah Platt</x:v>
      </x:c>
      <x:c r="C82" s="97" t="str">
        <x:v>BAPTIZED 11 SEP 1636; Ware, Hertfordshire, England</x:v>
      </x:c>
      <x:c r="D82" s="97" t="str">
        <x:v>recorded</x:v>
      </x:c>
      <x:c r="E82" s="97" t="str">
        <x:v>15 MAY 1670; Milford, New Haven County, Connecticut</x:v>
      </x:c>
      <x:c r="F82" s="97" t="str">
        <x:v>recorded</x:v>
      </x:c>
      <x:c r="G82" s="97" t="str">
        <x:v>complete</x:v>
      </x:c>
      <x:c r="H82" s="97" t="str">
        <x:v>S7</x:v>
      </x:c>
    </x:row>
    <x:row r="83">
      <x:c r="A83" s="97" t="str">
        <x:v>I086</x:v>
      </x:c>
      <x:c r="B83" s="97" t="str">
        <x:v>Jonathan Royce</x:v>
      </x:c>
      <x:c r="C83" s="97" t="str"/>
      <x:c r="D83" s="97" t="str">
        <x:v>unresolved—no supported date found</x:v>
      </x:c>
      <x:c r="E83" s="97" t="str">
        <x:v>ABOUT 1690</x:v>
      </x:c>
      <x:c r="F83" s="97" t="str">
        <x:v>recorded</x:v>
      </x:c>
      <x:c r="G83" s="97" t="str">
        <x:v>partial</x:v>
      </x:c>
      <x:c r="H83" s="97" t="str">
        <x:v>S7</x:v>
      </x:c>
    </x:row>
    <x:row r="84">
      <x:c r="A84" s="97" t="str">
        <x:v>I087</x:v>
      </x:c>
      <x:c r="B84" s="97" t="str">
        <x:v>Ann Spinning</x:v>
      </x:c>
      <x:c r="C84" s="97" t="str"/>
      <x:c r="D84" s="97" t="str">
        <x:v>unresolved—no supported date found</x:v>
      </x:c>
      <x:c r="E84" s="97" t="str">
        <x:v>ABOUT 1658</x:v>
      </x:c>
      <x:c r="F84" s="97" t="str">
        <x:v>recorded</x:v>
      </x:c>
      <x:c r="G84" s="97" t="str">
        <x:v>partial</x:v>
      </x:c>
      <x:c r="H84" s="97" t="str">
        <x:v>S7</x:v>
      </x:c>
    </x:row>
    <x:row r="85">
      <x:c r="A85" s="97" t="str">
        <x:v>I088</x:v>
      </x:c>
      <x:c r="B85" s="97" t="str">
        <x:v>James Harvey</x:v>
      </x:c>
      <x:c r="C85" s="97" t="str"/>
      <x:c r="D85" s="97" t="str">
        <x:v>unresolved—no supported date found</x:v>
      </x:c>
      <x:c r="E85" s="97" t="str"/>
      <x:c r="F85" s="97" t="str">
        <x:v>unresolved—no supported date found</x:v>
      </x:c>
      <x:c r="G85" s="97" t="str">
        <x:v>unresolved</x:v>
      </x:c>
      <x:c r="H85" s="97" t="str">
        <x:v>S7</x:v>
      </x:c>
    </x:row>
    <x:row r="86">
      <x:c r="A86" s="97" t="str">
        <x:v>I089</x:v>
      </x:c>
      <x:c r="B86" s="97" t="str">
        <x:v>Edmund Sherman</x:v>
      </x:c>
      <x:c r="C86" s="97" t="str">
        <x:v>ABOUT 1572; probably Dedham, Essex, England</x:v>
      </x:c>
      <x:c r="D86" s="97" t="str">
        <x:v>recorded</x:v>
      </x:c>
      <x:c r="E86" s="97" t="str">
        <x:v>1640/41; New Haven, Connecticut</x:v>
      </x:c>
      <x:c r="F86" s="97" t="str">
        <x:v>recorded</x:v>
      </x:c>
      <x:c r="G86" s="97" t="str">
        <x:v>complete</x:v>
      </x:c>
      <x:c r="H86" s="97" t="str">
        <x:v>S7</x:v>
      </x:c>
    </x:row>
    <x:row r="87">
      <x:c r="A87" s="97" t="str">
        <x:v>I090</x:v>
      </x:c>
      <x:c r="B87" s="97" t="str">
        <x:v>Grace Makin</x:v>
      </x:c>
      <x:c r="C87" s="97" t="str">
        <x:v>ABOUT 1578</x:v>
      </x:c>
      <x:c r="D87" s="97" t="str">
        <x:v>recorded</x:v>
      </x:c>
      <x:c r="E87" s="97" t="str">
        <x:v>AFTER 14 JUN 1643</x:v>
      </x:c>
      <x:c r="F87" s="97" t="str">
        <x:v>recorded</x:v>
      </x:c>
      <x:c r="G87" s="97" t="str">
        <x:v>complete</x:v>
      </x:c>
      <x:c r="H87" s="97" t="str">
        <x:v>S7</x:v>
      </x:c>
    </x:row>
    <x:row r="88">
      <x:c r="A88" s="97" t="str">
        <x:v>I091</x:v>
      </x:c>
      <x:c r="B88" s="97" t="str">
        <x:v>Unknown Beach</x:v>
      </x:c>
      <x:c r="C88" s="97" t="str"/>
      <x:c r="D88" s="97" t="str">
        <x:v>unresolved—no supported date found</x:v>
      </x:c>
      <x:c r="E88" s="97" t="str"/>
      <x:c r="F88" s="97" t="str">
        <x:v>unresolved—no supported date found</x:v>
      </x:c>
      <x:c r="G88" s="97" t="str">
        <x:v>unresolved</x:v>
      </x:c>
      <x:c r="H88" s="97" t="str">
        <x:v>S7</x:v>
      </x:c>
    </x:row>
    <x:row r="89">
      <x:c r="A89" s="97" t="str">
        <x:v>I092</x:v>
      </x:c>
      <x:c r="B89" s="97" t="str">
        <x:v>Richard Platt</x:v>
      </x:c>
      <x:c r="C89" s="97" t="str">
        <x:v>BAPTIZED 6 MAY 1604; Ware, Hertfordshire, England</x:v>
      </x:c>
      <x:c r="D89" s="97" t="str">
        <x:v>recorded</x:v>
      </x:c>
      <x:c r="E89" s="97" t="str">
        <x:v>BY 13 FEB 1684/85; Milford, New Haven County, Connecticut</x:v>
      </x:c>
      <x:c r="F89" s="97" t="str">
        <x:v>recorded</x:v>
      </x:c>
      <x:c r="G89" s="97" t="str">
        <x:v>complete</x:v>
      </x:c>
      <x:c r="H89" s="97" t="str">
        <x:v>S7</x:v>
      </x:c>
    </x:row>
    <x:row r="90">
      <x:c r="A90" s="97" t="str">
        <x:v>I093</x:v>
      </x:c>
      <x:c r="B90" s="97" t="str">
        <x:v>Mary Wood</x:v>
      </x:c>
      <x:c r="C90" s="97" t="str">
        <x:v>BAPTIZED 10 NOV 1605; Roydon, Essex, England</x:v>
      </x:c>
      <x:c r="D90" s="97" t="str">
        <x:v>recorded</x:v>
      </x:c>
      <x:c r="E90" s="97" t="str">
        <x:v>BURIED 24 MAR 1675/76; Milford, New Haven County, Connecticut</x:v>
      </x:c>
      <x:c r="F90" s="97" t="str">
        <x:v>recorded</x:v>
      </x:c>
      <x:c r="G90" s="97" t="str">
        <x:v>complete</x:v>
      </x:c>
      <x:c r="H90" s="97" t="str">
        <x:v>S7</x:v>
      </x:c>
    </x:row>
    <x:row r="91">
      <x:c r="A91" s="97" t="str">
        <x:v>I094</x:v>
      </x:c>
      <x:c r="B91" s="97" t="str">
        <x:v>Robert Royce</x:v>
      </x:c>
      <x:c r="C91" s="97" t="str"/>
      <x:c r="D91" s="97" t="str">
        <x:v>unresolved—no supported date found</x:v>
      </x:c>
      <x:c r="E91" s="97" t="str">
        <x:v>ABOUT 1676; New London, Connecticut</x:v>
      </x:c>
      <x:c r="F91" s="97" t="str">
        <x:v>recorded</x:v>
      </x:c>
      <x:c r="G91" s="97" t="str">
        <x:v>partial</x:v>
      </x:c>
      <x:c r="H91" s="97" t="str">
        <x:v>S7</x:v>
      </x:c>
    </x:row>
    <x:row r="92">
      <x:c r="A92" s="97" t="str">
        <x:v>I095</x:v>
      </x:c>
      <x:c r="B92" s="97" t="str">
        <x:v>Mary</x:v>
      </x:c>
      <x:c r="C92" s="97" t="str">
        <x:v>ABOUT 1609</x:v>
      </x:c>
      <x:c r="D92" s="97" t="str">
        <x:v>recorded</x:v>
      </x:c>
      <x:c r="E92" s="97" t="str">
        <x:v>ABOUT 1696; Wallingford, Connecticut</x:v>
      </x:c>
      <x:c r="F92" s="97" t="str">
        <x:v>recorded</x:v>
      </x:c>
      <x:c r="G92" s="97" t="str">
        <x:v>complete</x:v>
      </x:c>
      <x:c r="H92" s="97" t="str">
        <x:v>S7</x:v>
      </x:c>
    </x:row>
    <x:row r="93">
      <x:c r="A93" s="97" t="str">
        <x:v>I096</x:v>
      </x:c>
      <x:c r="B93" s="97" t="str">
        <x:v>Humphrey Spinning</x:v>
      </x:c>
      <x:c r="C93" s="97" t="str"/>
      <x:c r="D93" s="97" t="str">
        <x:v>unresolved—no supported date found</x:v>
      </x:c>
      <x:c r="E93" s="97" t="str"/>
      <x:c r="F93" s="97" t="str">
        <x:v>unresolved—no supported date found</x:v>
      </x:c>
      <x:c r="G93" s="97" t="str">
        <x:v>unresolved</x:v>
      </x:c>
      <x:c r="H93" s="97" t="str">
        <x:v>S7</x:v>
      </x:c>
    </x:row>
    <x:row r="94">
      <x:c r="A94" s="97" t="str">
        <x:v>I097</x:v>
      </x:c>
      <x:c r="B94" s="97" t="str">
        <x:v>Edmund Sherman</x:v>
      </x:c>
      <x:c r="C94" s="97" t="str">
        <x:v>ABOUT 1548</x:v>
      </x:c>
      <x:c r="D94" s="97" t="str">
        <x:v>recorded</x:v>
      </x:c>
      <x:c r="E94" s="97" t="str">
        <x:v>BURIED 22 DEC 1600; Dedham, Essex, England</x:v>
      </x:c>
      <x:c r="F94" s="97" t="str">
        <x:v>recorded</x:v>
      </x:c>
      <x:c r="G94" s="97" t="str">
        <x:v>complete</x:v>
      </x:c>
      <x:c r="H94" s="97" t="str">
        <x:v>S7</x:v>
      </x:c>
    </x:row>
    <x:row r="95">
      <x:c r="A95" s="97" t="str">
        <x:v>I098</x:v>
      </x:c>
      <x:c r="B95" s="97" t="str">
        <x:v>Anne Pellett</x:v>
      </x:c>
      <x:c r="C95" s="97" t="str">
        <x:v>ABOUT 1549; probably Steyning, Sussex, England</x:v>
      </x:c>
      <x:c r="D95" s="97" t="str">
        <x:v>recorded</x:v>
      </x:c>
      <x:c r="E95" s="97" t="str">
        <x:v>BURIED 8 JUN 1584; Dedham, Essex, England</x:v>
      </x:c>
      <x:c r="F95" s="97" t="str">
        <x:v>recorded</x:v>
      </x:c>
      <x:c r="G95" s="97" t="str">
        <x:v>complete</x:v>
      </x:c>
      <x:c r="H95" s="97" t="str">
        <x:v>S7</x:v>
      </x:c>
    </x:row>
    <x:row r="96">
      <x:c r="A96" s="97" t="str">
        <x:v>I099</x:v>
      </x:c>
      <x:c r="B96" s="97" t="str">
        <x:v>Tobias Makin</x:v>
      </x:c>
      <x:c r="C96" s="97" t="str"/>
      <x:c r="D96" s="97" t="str">
        <x:v>unresolved—no supported date found</x:v>
      </x:c>
      <x:c r="E96" s="97" t="str">
        <x:v>1610; probably Fingringhoe, Essex, England</x:v>
      </x:c>
      <x:c r="F96" s="97" t="str">
        <x:v>recorded</x:v>
      </x:c>
      <x:c r="G96" s="97" t="str">
        <x:v>partial</x:v>
      </x:c>
      <x:c r="H96" s="97" t="str">
        <x:v>S7</x:v>
      </x:c>
    </x:row>
    <x:row r="97">
      <x:c r="A97" s="97" t="str">
        <x:v>I100</x:v>
      </x:c>
      <x:c r="B97" s="97" t="str">
        <x:v>Katherine Westbrome</x:v>
      </x:c>
      <x:c r="C97" s="97" t="str"/>
      <x:c r="D97" s="97" t="str">
        <x:v>unresolved—no supported date found</x:v>
      </x:c>
      <x:c r="E97" s="97" t="str"/>
      <x:c r="F97" s="97" t="str">
        <x:v>unresolved—no supported date found</x:v>
      </x:c>
      <x:c r="G97" s="97" t="str">
        <x:v>unresolved</x:v>
      </x:c>
      <x:c r="H97" s="97" t="str">
        <x:v>S7</x:v>
      </x:c>
    </x:row>
    <x:row r="98">
      <x:c r="A98" s="97" t="str">
        <x:v>I101</x:v>
      </x:c>
      <x:c r="B98" s="97" t="str">
        <x:v>George Platt</x:v>
      </x:c>
      <x:c r="C98" s="97" t="str">
        <x:v>BAPTIZED 13 MAY 1582; Ware, Hertfordshire, England</x:v>
      </x:c>
      <x:c r="D98" s="97" t="str">
        <x:v>recorded</x:v>
      </x:c>
      <x:c r="E98" s="97" t="str">
        <x:v>BURIED 20 APR 1609; Ware, Hertfordshire, England</x:v>
      </x:c>
      <x:c r="F98" s="97" t="str">
        <x:v>recorded</x:v>
      </x:c>
      <x:c r="G98" s="97" t="str">
        <x:v>complete</x:v>
      </x:c>
      <x:c r="H98" s="97" t="str">
        <x:v>S7</x:v>
      </x:c>
    </x:row>
    <x:row r="99">
      <x:c r="A99" s="97" t="str">
        <x:v>I102</x:v>
      </x:c>
      <x:c r="B99" s="97" t="str">
        <x:v>Mary</x:v>
      </x:c>
      <x:c r="C99" s="97" t="str"/>
      <x:c r="D99" s="97" t="str">
        <x:v>unresolved—no supported date found</x:v>
      </x:c>
      <x:c r="E99" s="97" t="str"/>
      <x:c r="F99" s="97" t="str">
        <x:v>unresolved—no supported date found</x:v>
      </x:c>
      <x:c r="G99" s="97" t="str">
        <x:v>unresolved</x:v>
      </x:c>
      <x:c r="H99" s="97" t="str">
        <x:v>S7</x:v>
      </x:c>
    </x:row>
    <x:row r="100">
      <x:c r="A100" s="97" t="str">
        <x:v>I103</x:v>
      </x:c>
      <x:c r="B100" s="97" t="str">
        <x:v>John Wood</x:v>
      </x:c>
      <x:c r="C100" s="97" t="str"/>
      <x:c r="D100" s="97" t="str">
        <x:v>unresolved—no supported date found</x:v>
      </x:c>
      <x:c r="E100" s="97" t="str"/>
      <x:c r="F100" s="97" t="str">
        <x:v>unresolved—no supported date found</x:v>
      </x:c>
      <x:c r="G100" s="97" t="str">
        <x:v>unresolved</x:v>
      </x:c>
      <x:c r="H100" s="97" t="str">
        <x:v>S7</x:v>
      </x:c>
    </x:row>
    <x:row r="101">
      <x:c r="A101" s="97" t="str">
        <x:v>I104</x:v>
      </x:c>
      <x:c r="B101" s="97" t="str">
        <x:v>Jane</x:v>
      </x:c>
      <x:c r="C101" s="97" t="str"/>
      <x:c r="D101" s="97" t="str">
        <x:v>unresolved—no supported date found</x:v>
      </x:c>
      <x:c r="E101" s="97" t="str"/>
      <x:c r="F101" s="97" t="str">
        <x:v>unresolved—no supported date found</x:v>
      </x:c>
      <x:c r="G101" s="97" t="str">
        <x:v>unresolved</x:v>
      </x:c>
      <x:c r="H101" s="97" t="str">
        <x:v>S7</x:v>
      </x:c>
    </x:row>
    <x:row r="102">
      <x:c r="A102" s="97" t="str">
        <x:v>I105</x:v>
      </x:c>
      <x:c r="B102" s="97" t="str">
        <x:v>Henry Sherman</x:v>
      </x:c>
      <x:c r="C102" s="97" t="str">
        <x:v>ABOUT 1512</x:v>
      </x:c>
      <x:c r="D102" s="97" t="str">
        <x:v>recorded</x:v>
      </x:c>
      <x:c r="E102" s="97" t="str">
        <x:v>1589/90</x:v>
      </x:c>
      <x:c r="F102" s="97" t="str">
        <x:v>recorded</x:v>
      </x:c>
      <x:c r="G102" s="97" t="str">
        <x:v>complete</x:v>
      </x:c>
      <x:c r="H102" s="97" t="str">
        <x:v>S7</x:v>
      </x:c>
    </x:row>
    <x:row r="103">
      <x:c r="A103" s="97" t="str">
        <x:v>I106</x:v>
      </x:c>
      <x:c r="B103" s="97" t="str">
        <x:v>Agnes</x:v>
      </x:c>
      <x:c r="C103" s="97" t="str"/>
      <x:c r="D103" s="97" t="str">
        <x:v>unresolved—no supported date found</x:v>
      </x:c>
      <x:c r="E103" s="97" t="str">
        <x:v>BURIED 14 OCT 1580; Dedham, Essex, England</x:v>
      </x:c>
      <x:c r="F103" s="97" t="str">
        <x:v>recorded</x:v>
      </x:c>
      <x:c r="G103" s="97" t="str">
        <x:v>partial</x:v>
      </x:c>
      <x:c r="H103" s="97" t="str">
        <x:v>S7</x:v>
      </x:c>
    </x:row>
    <x:row r="104">
      <x:c r="A104" s="97" t="str">
        <x:v>I107</x:v>
      </x:c>
      <x:c r="B104" s="97" t="str">
        <x:v>William Pellett</x:v>
      </x:c>
      <x:c r="C104" s="97" t="str"/>
      <x:c r="D104" s="97" t="str">
        <x:v>unresolved—no supported date found</x:v>
      </x:c>
      <x:c r="E104" s="97" t="str"/>
      <x:c r="F104" s="97" t="str">
        <x:v>unresolved—no supported date found</x:v>
      </x:c>
      <x:c r="G104" s="97" t="str">
        <x:v>unresolved</x:v>
      </x:c>
      <x:c r="H104" s="97" t="str">
        <x:v>S7</x:v>
      </x:c>
    </x:row>
    <x:row r="105">
      <x:c r="A105" s="97" t="str">
        <x:v>I108</x:v>
      </x:c>
      <x:c r="B105" s="97" t="str">
        <x:v>John Makin</x:v>
      </x:c>
      <x:c r="C105" s="97" t="str"/>
      <x:c r="D105" s="97" t="str">
        <x:v>unresolved—no supported date found</x:v>
      </x:c>
      <x:c r="E105" s="97" t="str">
        <x:v>AFTER 16 MAR 1562/63</x:v>
      </x:c>
      <x:c r="F105" s="97" t="str">
        <x:v>recorded</x:v>
      </x:c>
      <x:c r="G105" s="97" t="str">
        <x:v>partial</x:v>
      </x:c>
      <x:c r="H105" s="97" t="str">
        <x:v>S7</x:v>
      </x:c>
    </x:row>
    <x:row r="106">
      <x:c r="A106" s="97" t="str">
        <x:v>I109</x:v>
      </x:c>
      <x:c r="B106" s="97" t="str">
        <x:v>Agnes</x:v>
      </x:c>
      <x:c r="C106" s="97" t="str"/>
      <x:c r="D106" s="97" t="str">
        <x:v>unresolved—no supported date found</x:v>
      </x:c>
      <x:c r="E106" s="97" t="str"/>
      <x:c r="F106" s="97" t="str">
        <x:v>unresolved—no supported date found</x:v>
      </x:c>
      <x:c r="G106" s="97" t="str">
        <x:v>unresolved</x:v>
      </x:c>
      <x:c r="H106" s="97" t="str">
        <x:v>S7</x:v>
      </x:c>
    </x:row>
    <x:row r="107">
      <x:c r="A107" s="97" t="str">
        <x:v>I110</x:v>
      </x:c>
      <x:c r="B107" s="97" t="str">
        <x:v>Thomas Westbrome</x:v>
      </x:c>
      <x:c r="C107" s="97" t="str"/>
      <x:c r="D107" s="97" t="str">
        <x:v>unresolved—no supported date found</x:v>
      </x:c>
      <x:c r="E107" s="97" t="str"/>
      <x:c r="F107" s="97" t="str">
        <x:v>unresolved—no supported date found</x:v>
      </x:c>
      <x:c r="G107" s="97" t="str">
        <x:v>unresolved</x:v>
      </x:c>
      <x:c r="H107" s="97" t="str">
        <x:v>S7</x:v>
      </x:c>
    </x:row>
    <x:row r="108">
      <x:c r="A108" s="97" t="str">
        <x:v>I111</x:v>
      </x:c>
      <x:c r="B108" s="97" t="str">
        <x:v>Elizabeth</x:v>
      </x:c>
      <x:c r="C108" s="97" t="str"/>
      <x:c r="D108" s="97" t="str">
        <x:v>unresolved—no supported date found</x:v>
      </x:c>
      <x:c r="E108" s="97" t="str"/>
      <x:c r="F108" s="97" t="str">
        <x:v>unresolved—no supported date found</x:v>
      </x:c>
      <x:c r="G108" s="97" t="str">
        <x:v>unresolved</x:v>
      </x:c>
      <x:c r="H108" s="97" t="str">
        <x:v>S7</x:v>
      </x:c>
    </x:row>
    <x:row r="109">
      <x:c r="A109" s="97" t="str">
        <x:v>I112</x:v>
      </x:c>
      <x:c r="B109" s="97" t="str">
        <x:v>Simon Platt</x:v>
      </x:c>
      <x:c r="C109" s="97" t="str">
        <x:v>ABOUT 1533</x:v>
      </x:c>
      <x:c r="D109" s="97" t="str">
        <x:v>recorded</x:v>
      </x:c>
      <x:c r="E109" s="97" t="str">
        <x:v>BURIED 12 APR 1594; Ware, Hertfordshire, England</x:v>
      </x:c>
      <x:c r="F109" s="97" t="str">
        <x:v>recorded</x:v>
      </x:c>
      <x:c r="G109" s="97" t="str">
        <x:v>complete</x:v>
      </x:c>
      <x:c r="H109" s="97" t="str">
        <x:v>S7</x:v>
      </x:c>
    </x:row>
    <x:row r="110">
      <x:c r="A110" s="97" t="str">
        <x:v>I113</x:v>
      </x:c>
      <x:c r="B110" s="97" t="str">
        <x:v>Elizabeth</x:v>
      </x:c>
      <x:c r="C110" s="97" t="str"/>
      <x:c r="D110" s="97" t="str">
        <x:v>unresolved—no supported date found</x:v>
      </x:c>
      <x:c r="E110" s="97" t="str">
        <x:v>BURIED 21 JUL 1598; Ware, Hertfordshire, England</x:v>
      </x:c>
      <x:c r="F110" s="97" t="str">
        <x:v>recorded</x:v>
      </x:c>
      <x:c r="G110" s="97" t="str">
        <x:v>partial</x:v>
      </x:c>
      <x:c r="H110" s="97" t="str">
        <x:v>S7</x:v>
      </x:c>
    </x:row>
    <x:row r="111">
      <x:c r="A111" s="97" t="str">
        <x:v>I114</x:v>
      </x:c>
      <x:c r="B111" s="97" t="str">
        <x:v>Charles Ellsworth McCormick I</x:v>
      </x:c>
      <x:c r="C111" s="97" t="str">
        <x:v>26 FEB 1862; Shepherdsville, Bullitt County, Kentucky</x:v>
      </x:c>
      <x:c r="D111" s="97" t="str">
        <x:v>recorded</x:v>
      </x:c>
      <x:c r="E111" s="97" t="str">
        <x:v>1911</x:v>
      </x:c>
      <x:c r="F111" s="97" t="str">
        <x:v>recorded</x:v>
      </x:c>
      <x:c r="G111" s="97" t="str">
        <x:v>complete</x:v>
      </x:c>
      <x:c r="H111" s="97" t="str">
        <x:v>S3;S14;S22;S27</x:v>
      </x:c>
    </x:row>
    <x:row r="112">
      <x:c r="A112" s="97" t="str">
        <x:v>I115</x:v>
      </x:c>
      <x:c r="B112" s="97" t="str">
        <x:v>Mary Moore Brooks</x:v>
      </x:c>
      <x:c r="C112" s="97" t="str">
        <x:v>1874</x:v>
      </x:c>
      <x:c r="D112" s="97" t="str">
        <x:v>recorded</x:v>
      </x:c>
      <x:c r="E112" s="97" t="str">
        <x:v>1964</x:v>
      </x:c>
      <x:c r="F112" s="97" t="str">
        <x:v>recorded</x:v>
      </x:c>
      <x:c r="G112" s="97" t="str">
        <x:v>complete</x:v>
      </x:c>
      <x:c r="H112" s="97" t="str">
        <x:v>S3;S17;S27</x:v>
      </x:c>
    </x:row>
    <x:row r="113">
      <x:c r="A113" s="97" t="str">
        <x:v>I116</x:v>
      </x:c>
      <x:c r="B113" s="97" t="str">
        <x:v>Edward H. McCormick</x:v>
      </x:c>
      <x:c r="C113" s="97" t="str">
        <x:v>1838</x:v>
      </x:c>
      <x:c r="D113" s="97" t="str">
        <x:v>recorded</x:v>
      </x:c>
      <x:c r="E113" s="97" t="str">
        <x:v>1871</x:v>
      </x:c>
      <x:c r="F113" s="97" t="str">
        <x:v>recorded</x:v>
      </x:c>
      <x:c r="G113" s="97" t="str">
        <x:v>complete</x:v>
      </x:c>
      <x:c r="H113" s="97" t="str">
        <x:v>S14;S15;S16</x:v>
      </x:c>
    </x:row>
    <x:row r="114">
      <x:c r="A114" s="97" t="str">
        <x:v>I117</x:v>
      </x:c>
      <x:c r="B114" s="97" t="str">
        <x:v>Martha Ann Annie O’Brien</x:v>
      </x:c>
      <x:c r="C114" s="97" t="str">
        <x:v>1841</x:v>
      </x:c>
      <x:c r="D114" s="97" t="str">
        <x:v>recorded</x:v>
      </x:c>
      <x:c r="E114" s="97" t="str">
        <x:v>1889</x:v>
      </x:c>
      <x:c r="F114" s="97" t="str">
        <x:v>recorded</x:v>
      </x:c>
      <x:c r="G114" s="97" t="str">
        <x:v>complete</x:v>
      </x:c>
      <x:c r="H114" s="97" t="str">
        <x:v>S14;S16</x:v>
      </x:c>
    </x:row>
    <x:row r="115">
      <x:c r="A115" s="97" t="str">
        <x:v>I118</x:v>
      </x:c>
      <x:c r="B115" s="97" t="str">
        <x:v>Charles McCormick</x:v>
      </x:c>
      <x:c r="C115" s="97" t="str">
        <x:v>ABOUT 1802; Kentucky or Virginia</x:v>
      </x:c>
      <x:c r="D115" s="97" t="str">
        <x:v>recorded</x:v>
      </x:c>
      <x:c r="E115" s="97" t="str"/>
      <x:c r="F115" s="97" t="str">
        <x:v>unresolved—no supported date found</x:v>
      </x:c>
      <x:c r="G115" s="97" t="str">
        <x:v>partial</x:v>
      </x:c>
      <x:c r="H115" s="97" t="str">
        <x:v>S15</x:v>
      </x:c>
    </x:row>
    <x:row r="116">
      <x:c r="A116" s="97" t="str">
        <x:v>I119</x:v>
      </x:c>
      <x:c r="B116" s="97" t="str">
        <x:v>Elizabeth McCormick</x:v>
      </x:c>
      <x:c r="C116" s="97" t="str">
        <x:v>ABOUT 1808; Kentucky</x:v>
      </x:c>
      <x:c r="D116" s="97" t="str">
        <x:v>recorded</x:v>
      </x:c>
      <x:c r="E116" s="97" t="str"/>
      <x:c r="F116" s="97" t="str">
        <x:v>unresolved—no supported date found</x:v>
      </x:c>
      <x:c r="G116" s="97" t="str">
        <x:v>partial</x:v>
      </x:c>
      <x:c r="H116" s="97" t="str">
        <x:v>S15</x:v>
      </x:c>
    </x:row>
    <x:row r="117">
      <x:c r="A117" s="97" t="str">
        <x:v>I120</x:v>
      </x:c>
      <x:c r="B117" s="97" t="str">
        <x:v>Abram Field Brooks</x:v>
      </x:c>
      <x:c r="C117" s="97" t="str">
        <x:v>1844</x:v>
      </x:c>
      <x:c r="D117" s="97" t="str">
        <x:v>recorded</x:v>
      </x:c>
      <x:c r="E117" s="97" t="str">
        <x:v>1892</x:v>
      </x:c>
      <x:c r="F117" s="97" t="str">
        <x:v>recorded</x:v>
      </x:c>
      <x:c r="G117" s="97" t="str">
        <x:v>complete</x:v>
      </x:c>
      <x:c r="H117" s="97" t="str">
        <x:v>S17</x:v>
      </x:c>
    </x:row>
    <x:row r="118">
      <x:c r="A118" s="97" t="str">
        <x:v>I121</x:v>
      </x:c>
      <x:c r="B118" s="97" t="str">
        <x:v>Mary P. Mollie Moore</x:v>
      </x:c>
      <x:c r="C118" s="97" t="str">
        <x:v>1852</x:v>
      </x:c>
      <x:c r="D118" s="97" t="str">
        <x:v>recorded</x:v>
      </x:c>
      <x:c r="E118" s="97" t="str">
        <x:v>1940</x:v>
      </x:c>
      <x:c r="F118" s="97" t="str">
        <x:v>recorded</x:v>
      </x:c>
      <x:c r="G118" s="97" t="str">
        <x:v>complete</x:v>
      </x:c>
      <x:c r="H118" s="97" t="str">
        <x:v>S17</x:v>
      </x:c>
    </x:row>
    <x:row r="119">
      <x:c r="A119" s="97" t="str">
        <x:v>I122</x:v>
      </x:c>
      <x:c r="B119" s="97" t="str">
        <x:v>Solomon Neal Brooks</x:v>
      </x:c>
      <x:c r="C119" s="97" t="str">
        <x:v>18 MAR 1818</x:v>
      </x:c>
      <x:c r="D119" s="97" t="str">
        <x:v>recorded</x:v>
      </x:c>
      <x:c r="E119" s="97" t="str">
        <x:v>1890</x:v>
      </x:c>
      <x:c r="F119" s="97" t="str">
        <x:v>recorded</x:v>
      </x:c>
      <x:c r="G119" s="97" t="str">
        <x:v>complete</x:v>
      </x:c>
      <x:c r="H119" s="97" t="str">
        <x:v>S17;S18</x:v>
      </x:c>
    </x:row>
    <x:row r="120">
      <x:c r="A120" s="97" t="str">
        <x:v>I123</x:v>
      </x:c>
      <x:c r="B120" s="97" t="str">
        <x:v>Elizabeth Field</x:v>
      </x:c>
      <x:c r="C120" s="97" t="str">
        <x:v>ABOUT 1827</x:v>
      </x:c>
      <x:c r="D120" s="97" t="str">
        <x:v>recorded</x:v>
      </x:c>
      <x:c r="E120" s="97" t="str">
        <x:v>1 MAY 1905</x:v>
      </x:c>
      <x:c r="F120" s="97" t="str">
        <x:v>recorded</x:v>
      </x:c>
      <x:c r="G120" s="97" t="str">
        <x:v>complete</x:v>
      </x:c>
      <x:c r="H120" s="97" t="str">
        <x:v>S17</x:v>
      </x:c>
    </x:row>
    <x:row r="121">
      <x:c r="A121" s="97" t="str">
        <x:v>I124</x:v>
      </x:c>
      <x:c r="B121" s="97" t="str">
        <x:v>Christopher O’Brien</x:v>
      </x:c>
      <x:c r="C121" s="97" t="str">
        <x:v>ABOUT 1815</x:v>
      </x:c>
      <x:c r="D121" s="97" t="str">
        <x:v>recorded</x:v>
      </x:c>
      <x:c r="E121" s="97" t="str"/>
      <x:c r="F121" s="97" t="str">
        <x:v>unresolved—no supported date found</x:v>
      </x:c>
      <x:c r="G121" s="97" t="str">
        <x:v>partial</x:v>
      </x:c>
      <x:c r="H121" s="97" t="str">
        <x:v>S14</x:v>
      </x:c>
    </x:row>
    <x:row r="122">
      <x:c r="A122" s="97" t="str">
        <x:v>I125</x:v>
      </x:c>
      <x:c r="B122" s="97" t="str">
        <x:v>Sophronia Simmons</x:v>
      </x:c>
      <x:c r="C122" s="97" t="str">
        <x:v>ABOUT 1824</x:v>
      </x:c>
      <x:c r="D122" s="97" t="str">
        <x:v>recorded</x:v>
      </x:c>
      <x:c r="E122" s="97" t="str"/>
      <x:c r="F122" s="97" t="str">
        <x:v>unresolved—no supported date found</x:v>
      </x:c>
      <x:c r="G122" s="97" t="str">
        <x:v>partial</x:v>
      </x:c>
      <x:c r="H122" s="97" t="str">
        <x:v>S14</x:v>
      </x:c>
    </x:row>
    <x:row r="123">
      <x:c r="A123" s="97" t="str">
        <x:v>I126</x:v>
      </x:c>
      <x:c r="B123" s="97" t="str">
        <x:v>Joseph Anderson Brooks</x:v>
      </x:c>
      <x:c r="C123" s="97" t="str"/>
      <x:c r="D123" s="97" t="str">
        <x:v>unresolved—no supported date found</x:v>
      </x:c>
      <x:c r="E123" s="97" t="str">
        <x:v>1845/46</x:v>
      </x:c>
      <x:c r="F123" s="97" t="str">
        <x:v>recorded</x:v>
      </x:c>
      <x:c r="G123" s="97" t="str">
        <x:v>partial</x:v>
      </x:c>
      <x:c r="H123" s="97" t="str">
        <x:v>S18;S19</x:v>
      </x:c>
    </x:row>
    <x:row r="124">
      <x:c r="A124" s="97" t="str">
        <x:v>I127</x:v>
      </x:c>
      <x:c r="B124" s="97" t="str">
        <x:v>Joseph Brooks</x:v>
      </x:c>
      <x:c r="C124" s="97" t="str"/>
      <x:c r="D124" s="97" t="str">
        <x:v>unresolved—no supported date found</x:v>
      </x:c>
      <x:c r="E124" s="97" t="str">
        <x:v>1818</x:v>
      </x:c>
      <x:c r="F124" s="97" t="str">
        <x:v>recorded</x:v>
      </x:c>
      <x:c r="G124" s="97" t="str">
        <x:v>partial</x:v>
      </x:c>
      <x:c r="H124" s="97" t="str">
        <x:v>S19</x:v>
      </x:c>
    </x:row>
    <x:row r="125">
      <x:c r="A125" s="97" t="str">
        <x:v>I128</x:v>
      </x:c>
      <x:c r="B125" s="97" t="str">
        <x:v>Abram Field</x:v>
      </x:c>
      <x:c r="C125" s="97" t="str"/>
      <x:c r="D125" s="97" t="str">
        <x:v>unresolved—no supported date found</x:v>
      </x:c>
      <x:c r="E125" s="97" t="str"/>
      <x:c r="F125" s="97" t="str">
        <x:v>unresolved—no supported date found</x:v>
      </x:c>
      <x:c r="G125" s="97" t="str">
        <x:v>unresolved</x:v>
      </x:c>
      <x:c r="H125" s="97" t="str">
        <x:v>S17</x:v>
      </x:c>
    </x:row>
    <x:row r="126">
      <x:c r="A126" s="97" t="str">
        <x:v>I129</x:v>
      </x:c>
      <x:c r="B126" s="97" t="str">
        <x:v>Elizabeth Simmons</x:v>
      </x:c>
      <x:c r="C126" s="97" t="str"/>
      <x:c r="D126" s="97" t="str">
        <x:v>unresolved—no supported date found</x:v>
      </x:c>
      <x:c r="E126" s="97" t="str"/>
      <x:c r="F126" s="97" t="str">
        <x:v>unresolved—no supported date found</x:v>
      </x:c>
      <x:c r="G126" s="97" t="str">
        <x:v>unresolved</x:v>
      </x:c>
      <x:c r="H126" s="97" t="str">
        <x:v>S17</x:v>
      </x:c>
    </x:row>
    <x:row r="127">
      <x:c r="A127" s="97" t="str">
        <x:v>I130</x:v>
      </x:c>
      <x:c r="B127" s="97" t="str">
        <x:v>Isaac Bush Slaughter Sr.</x:v>
      </x:c>
      <x:c r="C127" s="97" t="str">
        <x:v>28 FEB 1857; Perdue Hill, Monroe County, Alabama</x:v>
      </x:c>
      <x:c r="D127" s="97" t="str">
        <x:v>recorded</x:v>
      </x:c>
      <x:c r="E127" s="97" t="str">
        <x:v>30 APR 1937; Edinburg, Texas</x:v>
      </x:c>
      <x:c r="F127" s="97" t="str">
        <x:v>recorded</x:v>
      </x:c>
      <x:c r="G127" s="97" t="str">
        <x:v>complete</x:v>
      </x:c>
      <x:c r="H127" s="97" t="str">
        <x:v>S4;S8;S23;S27</x:v>
      </x:c>
    </x:row>
    <x:row r="128">
      <x:c r="A128" s="97" t="str">
        <x:v>I131</x:v>
      </x:c>
      <x:c r="B128" s="97" t="str">
        <x:v>Lula Arnelia Rives</x:v>
      </x:c>
      <x:c r="C128" s="97" t="str">
        <x:v>30/31 JAN 1872; Benton, Lowndes County, Alabama</x:v>
      </x:c>
      <x:c r="D128" s="97" t="str">
        <x:v>recorded</x:v>
      </x:c>
      <x:c r="E128" s="97" t="str">
        <x:v>2 SEP 1957; Sparks, Maryland</x:v>
      </x:c>
      <x:c r="F128" s="97" t="str">
        <x:v>recorded</x:v>
      </x:c>
      <x:c r="G128" s="97" t="str">
        <x:v>complete</x:v>
      </x:c>
      <x:c r="H128" s="97" t="str">
        <x:v>S4;S8;S9;S27</x:v>
      </x:c>
    </x:row>
    <x:row r="129">
      <x:c r="A129" s="97" t="str">
        <x:v>I132</x:v>
      </x:c>
      <x:c r="B129" s="97" t="str">
        <x:v>Nancy Brooks</x:v>
      </x:c>
      <x:c r="C129" s="97" t="str"/>
      <x:c r="D129" s="97" t="str">
        <x:v>unresolved—no supported date found</x:v>
      </x:c>
      <x:c r="E129" s="97" t="str"/>
      <x:c r="F129" s="97" t="str">
        <x:v>unresolved—no supported date found</x:v>
      </x:c>
      <x:c r="G129" s="97" t="str">
        <x:v>unresolved</x:v>
      </x:c>
      <x:c r="H129" s="97" t="str">
        <x:v>S19</x:v>
      </x:c>
    </x:row>
    <x:row r="130">
      <x:c r="A130" s="97" t="str">
        <x:v>I133</x:v>
      </x:c>
      <x:c r="B130" s="97" t="str">
        <x:v>John Wesley Slaughter</x:v>
      </x:c>
      <x:c r="C130" s="97" t="str"/>
      <x:c r="D130" s="97" t="str">
        <x:v>unresolved—no supported date found</x:v>
      </x:c>
      <x:c r="E130" s="97" t="str"/>
      <x:c r="F130" s="97" t="str">
        <x:v>unresolved—no supported date found</x:v>
      </x:c>
      <x:c r="G130" s="97" t="str">
        <x:v>unresolved</x:v>
      </x:c>
      <x:c r="H130" s="97" t="str">
        <x:v>S23</x:v>
      </x:c>
    </x:row>
    <x:row r="131">
      <x:c r="A131" s="97" t="str">
        <x:v>I134</x:v>
      </x:c>
      <x:c r="B131" s="97" t="str">
        <x:v>Sarah C. Bush</x:v>
      </x:c>
      <x:c r="C131" s="97" t="str"/>
      <x:c r="D131" s="97" t="str">
        <x:v>unresolved—no supported date found</x:v>
      </x:c>
      <x:c r="E131" s="97" t="str"/>
      <x:c r="F131" s="97" t="str">
        <x:v>unresolved—no supported date found</x:v>
      </x:c>
      <x:c r="G131" s="97" t="str">
        <x:v>unresolved</x:v>
      </x:c>
      <x:c r="H131" s="97" t="str">
        <x:v>S23</x:v>
      </x:c>
    </x:row>
    <x:row r="132">
      <x:c r="A132" s="97" t="str">
        <x:v>I135</x:v>
      </x:c>
      <x:c r="B132" s="97" t="str">
        <x:v>Robert Calhoun Rives</x:v>
      </x:c>
      <x:c r="C132" s="97" t="str">
        <x:v>9 NOV 1842; Benton, Lowndes County, Alabama</x:v>
      </x:c>
      <x:c r="D132" s="97" t="str">
        <x:v>recorded</x:v>
      </x:c>
      <x:c r="E132" s="97" t="str">
        <x:v>16 MAY 1885; Benton, Lowndes County, Alabama</x:v>
      </x:c>
      <x:c r="F132" s="97" t="str">
        <x:v>recorded</x:v>
      </x:c>
      <x:c r="G132" s="97" t="str">
        <x:v>complete</x:v>
      </x:c>
      <x:c r="H132" s="97" t="str">
        <x:v>S4;S9</x:v>
      </x:c>
    </x:row>
    <x:row r="133">
      <x:c r="A133" s="97" t="str">
        <x:v>I136</x:v>
      </x:c>
      <x:c r="B133" s="97" t="str">
        <x:v>Florence Estelle Agee</x:v>
      </x:c>
      <x:c r="C133" s="97" t="str">
        <x:v>7 SEP 1844; Benton, Lowndes County, Alabama</x:v>
      </x:c>
      <x:c r="D133" s="97" t="str">
        <x:v>recorded</x:v>
      </x:c>
      <x:c r="E133" s="97" t="str">
        <x:v>10 DEC 1878; Benton, Lowndes County, Alabama</x:v>
      </x:c>
      <x:c r="F133" s="97" t="str">
        <x:v>recorded</x:v>
      </x:c>
      <x:c r="G133" s="97" t="str">
        <x:v>complete</x:v>
      </x:c>
      <x:c r="H133" s="97" t="str">
        <x:v>S4;S8;S9</x:v>
      </x:c>
    </x:row>
    <x:row r="134">
      <x:c r="A134" s="97" t="str">
        <x:v>I137</x:v>
      </x:c>
      <x:c r="B134" s="97" t="str">
        <x:v>Robert Rives</x:v>
      </x:c>
      <x:c r="C134" s="97" t="str">
        <x:v>28 MAY/AUG 1801; South Carolina</x:v>
      </x:c>
      <x:c r="D134" s="97" t="str">
        <x:v>recorded</x:v>
      </x:c>
      <x:c r="E134" s="97" t="str">
        <x:v>30 SEP 1877; Benton, Lowndes County, Alabama</x:v>
      </x:c>
      <x:c r="F134" s="97" t="str">
        <x:v>recorded</x:v>
      </x:c>
      <x:c r="G134" s="97" t="str">
        <x:v>complete</x:v>
      </x:c>
      <x:c r="H134" s="97" t="str">
        <x:v>S4;S9;S10</x:v>
      </x:c>
    </x:row>
    <x:row r="135">
      <x:c r="A135" s="97" t="str">
        <x:v>I138</x:v>
      </x:c>
      <x:c r="B135" s="97" t="str">
        <x:v>Amelia Harrison</x:v>
      </x:c>
      <x:c r="C135" s="97" t="str">
        <x:v>21 DEC 1804; Fairfield District, South Carolina</x:v>
      </x:c>
      <x:c r="D135" s="97" t="str">
        <x:v>recorded</x:v>
      </x:c>
      <x:c r="E135" s="97" t="str">
        <x:v>13 MAR 1883; South Carolina</x:v>
      </x:c>
      <x:c r="F135" s="97" t="str">
        <x:v>recorded</x:v>
      </x:c>
      <x:c r="G135" s="97" t="str">
        <x:v>complete</x:v>
      </x:c>
      <x:c r="H135" s="97" t="str">
        <x:v>S4;S20</x:v>
      </x:c>
    </x:row>
    <x:row r="136">
      <x:c r="A136" s="97" t="str">
        <x:v>I139</x:v>
      </x:c>
      <x:c r="B136" s="97" t="str">
        <x:v>Green Rives</x:v>
      </x:c>
      <x:c r="C136" s="97" t="str">
        <x:v>10 JAN 1763; Virginia</x:v>
      </x:c>
      <x:c r="D136" s="97" t="str">
        <x:v>recorded</x:v>
      </x:c>
      <x:c r="E136" s="97" t="str">
        <x:v>26 OCT 1812; Columbia, South Carolina</x:v>
      </x:c>
      <x:c r="F136" s="97" t="str">
        <x:v>recorded</x:v>
      </x:c>
      <x:c r="G136" s="97" t="str">
        <x:v>complete</x:v>
      </x:c>
      <x:c r="H136" s="97" t="str">
        <x:v>S4;S10</x:v>
      </x:c>
    </x:row>
    <x:row r="137">
      <x:c r="A137" s="97" t="str">
        <x:v>I140</x:v>
      </x:c>
      <x:c r="B137" s="97" t="str">
        <x:v>Mary Ridley Jones</x:v>
      </x:c>
      <x:c r="C137" s="97" t="str">
        <x:v>5 MAR 1769; South Carolina</x:v>
      </x:c>
      <x:c r="D137" s="97" t="str">
        <x:v>recorded</x:v>
      </x:c>
      <x:c r="E137" s="97" t="str">
        <x:v>27 MAR 1843; Benton, Lowndes County, Alabama</x:v>
      </x:c>
      <x:c r="F137" s="97" t="str">
        <x:v>recorded</x:v>
      </x:c>
      <x:c r="G137" s="97" t="str">
        <x:v>complete</x:v>
      </x:c>
      <x:c r="H137" s="97" t="str">
        <x:v>S4;S10</x:v>
      </x:c>
    </x:row>
    <x:row r="138">
      <x:c r="A138" s="97" t="str">
        <x:v>I141</x:v>
      </x:c>
      <x:c r="B138" s="97" t="str">
        <x:v>William Rives</x:v>
      </x:c>
      <x:c r="C138" s="97" t="str">
        <x:v>ABOUT 1737; Brunswick County, Virginia</x:v>
      </x:c>
      <x:c r="D138" s="97" t="str">
        <x:v>recorded</x:v>
      </x:c>
      <x:c r="E138" s="97" t="str">
        <x:v>1783; Camden District, South Carolina</x:v>
      </x:c>
      <x:c r="F138" s="97" t="str">
        <x:v>recorded</x:v>
      </x:c>
      <x:c r="G138" s="97" t="str">
        <x:v>complete</x:v>
      </x:c>
      <x:c r="H138" s="97" t="str">
        <x:v>S4;S10;S11</x:v>
      </x:c>
    </x:row>
    <x:row r="139">
      <x:c r="A139" s="97" t="str">
        <x:v>I142</x:v>
      </x:c>
      <x:c r="B139" s="97" t="str">
        <x:v>Lucy Wyche</x:v>
      </x:c>
      <x:c r="C139" s="97" t="str">
        <x:v>Brunswick County, Virginia</x:v>
      </x:c>
      <x:c r="D139" s="97" t="str">
        <x:v>place or placeholder only—date unresolved</x:v>
      </x:c>
      <x:c r="E139" s="97" t="str"/>
      <x:c r="F139" s="97" t="str">
        <x:v>unresolved—no supported date found</x:v>
      </x:c>
      <x:c r="G139" s="97" t="str">
        <x:v>unresolved</x:v>
      </x:c>
      <x:c r="H139" s="97" t="str">
        <x:v>S4;S10;S11</x:v>
      </x:c>
    </x:row>
    <x:row r="140">
      <x:c r="A140" s="97" t="str">
        <x:v>I143</x:v>
      </x:c>
      <x:c r="B140" s="97" t="str">
        <x:v>Timothy Rives</x:v>
      </x:c>
      <x:c r="C140" s="97" t="str">
        <x:v>ABOUT 1710</x:v>
      </x:c>
      <x:c r="D140" s="97" t="str">
        <x:v>recorded</x:v>
      </x:c>
      <x:c r="E140" s="97" t="str">
        <x:v>ABOUT 1772</x:v>
      </x:c>
      <x:c r="F140" s="97" t="str">
        <x:v>recorded</x:v>
      </x:c>
      <x:c r="G140" s="97" t="str">
        <x:v>complete</x:v>
      </x:c>
      <x:c r="H140" s="97" t="str">
        <x:v>S4;S11;S12</x:v>
      </x:c>
    </x:row>
    <x:row r="141">
      <x:c r="A141" s="97" t="str">
        <x:v>I144</x:v>
      </x:c>
      <x:c r="B141" s="97" t="str">
        <x:v>Hester Rives</x:v>
      </x:c>
      <x:c r="C141" s="97" t="str"/>
      <x:c r="D141" s="97" t="str">
        <x:v>unresolved—no supported date found</x:v>
      </x:c>
      <x:c r="E141" s="97" t="str">
        <x:v>AFTER 23 AUG 1772</x:v>
      </x:c>
      <x:c r="F141" s="97" t="str">
        <x:v>recorded</x:v>
      </x:c>
      <x:c r="G141" s="97" t="str">
        <x:v>partial</x:v>
      </x:c>
      <x:c r="H141" s="97" t="str">
        <x:v>S4;S12</x:v>
      </x:c>
    </x:row>
    <x:row r="142">
      <x:c r="A142" s="97" t="str">
        <x:v>I145</x:v>
      </x:c>
      <x:c r="B142" s="97" t="str">
        <x:v>Darling Jones</x:v>
      </x:c>
      <x:c r="C142" s="97" t="str"/>
      <x:c r="D142" s="97" t="str">
        <x:v>unresolved—no supported date found</x:v>
      </x:c>
      <x:c r="E142" s="97" t="str"/>
      <x:c r="F142" s="97" t="str">
        <x:v>unresolved—no supported date found</x:v>
      </x:c>
      <x:c r="G142" s="97" t="str">
        <x:v>unresolved</x:v>
      </x:c>
      <x:c r="H142" s="97" t="str">
        <x:v>S10</x:v>
      </x:c>
    </x:row>
    <x:row r="143">
      <x:c r="A143" s="97" t="str">
        <x:v>I146</x:v>
      </x:c>
      <x:c r="B143" s="97" t="str">
        <x:v>Susannah Jones</x:v>
      </x:c>
      <x:c r="C143" s="97" t="str"/>
      <x:c r="D143" s="97" t="str">
        <x:v>unresolved—no supported date found</x:v>
      </x:c>
      <x:c r="E143" s="97" t="str"/>
      <x:c r="F143" s="97" t="str">
        <x:v>unresolved—no supported date found</x:v>
      </x:c>
      <x:c r="G143" s="97" t="str">
        <x:v>unresolved</x:v>
      </x:c>
      <x:c r="H143" s="97" t="str">
        <x:v>S10</x:v>
      </x:c>
    </x:row>
    <x:row r="144">
      <x:c r="A144" s="97" t="str">
        <x:v>I147</x:v>
      </x:c>
      <x:c r="B144" s="97" t="str">
        <x:v>William Harrison</x:v>
      </x:c>
      <x:c r="C144" s="97" t="str"/>
      <x:c r="D144" s="97" t="str">
        <x:v>unresolved—no supported date found</x:v>
      </x:c>
      <x:c r="E144" s="97" t="str">
        <x:v>1836</x:v>
      </x:c>
      <x:c r="F144" s="97" t="str">
        <x:v>recorded</x:v>
      </x:c>
      <x:c r="G144" s="97" t="str">
        <x:v>partial</x:v>
      </x:c>
      <x:c r="H144" s="97" t="str">
        <x:v>S20</x:v>
      </x:c>
    </x:row>
    <x:row r="145">
      <x:c r="A145" s="97" t="str">
        <x:v>I148</x:v>
      </x:c>
      <x:c r="B145" s="97" t="str">
        <x:v>Ann Perry</x:v>
      </x:c>
      <x:c r="C145" s="97" t="str"/>
      <x:c r="D145" s="97" t="str">
        <x:v>unresolved—no supported date found</x:v>
      </x:c>
      <x:c r="E145" s="97" t="str">
        <x:v>FALL 1816</x:v>
      </x:c>
      <x:c r="F145" s="97" t="str">
        <x:v>recorded</x:v>
      </x:c>
      <x:c r="G145" s="97" t="str">
        <x:v>partial</x:v>
      </x:c>
      <x:c r="H145" s="97" t="str">
        <x:v>S20</x:v>
      </x:c>
    </x:row>
    <x:row r="146">
      <x:c r="A146" s="97" t="str">
        <x:v>I149</x:v>
      </x:c>
      <x:c r="B146" s="97" t="str">
        <x:v>Col. William Rives</x:v>
      </x:c>
      <x:c r="C146" s="97" t="str">
        <x:v>ABOUT 1683; Prince George County, Virginia</x:v>
      </x:c>
      <x:c r="D146" s="97" t="str">
        <x:v>recorded</x:v>
      </x:c>
      <x:c r="E146" s="97" t="str">
        <x:v>BEFORE 1 MAR 1746</x:v>
      </x:c>
      <x:c r="F146" s="97" t="str">
        <x:v>recorded</x:v>
      </x:c>
      <x:c r="G146" s="97" t="str">
        <x:v>complete</x:v>
      </x:c>
      <x:c r="H146" s="97" t="str">
        <x:v>S4;S12</x:v>
      </x:c>
    </x:row>
    <x:row r="147">
      <x:c r="A147" s="97" t="str">
        <x:v>I150</x:v>
      </x:c>
      <x:c r="B147" s="97" t="str">
        <x:v>Elizabeth Rives</x:v>
      </x:c>
      <x:c r="C147" s="97" t="str"/>
      <x:c r="D147" s="97" t="str">
        <x:v>unresolved—no supported date found</x:v>
      </x:c>
      <x:c r="E147" s="97" t="str">
        <x:v>BEFORE 1759; Prince George County, Virginia</x:v>
      </x:c>
      <x:c r="F147" s="97" t="str">
        <x:v>recorded</x:v>
      </x:c>
      <x:c r="G147" s="97" t="str">
        <x:v>partial</x:v>
      </x:c>
      <x:c r="H147" s="97" t="str">
        <x:v>S4;S12</x:v>
      </x:c>
    </x:row>
    <x:row r="148">
      <x:c r="A148" s="97" t="str">
        <x:v>I151</x:v>
      </x:c>
      <x:c r="B148" s="97" t="str">
        <x:v>George Rives</x:v>
      </x:c>
      <x:c r="C148" s="97" t="str">
        <x:v>ABOUT 1660; Prince George County, Virginia</x:v>
      </x:c>
      <x:c r="D148" s="97" t="str">
        <x:v>recorded</x:v>
      </x:c>
      <x:c r="E148" s="97" t="str">
        <x:v>AFTER 8 SEP 1719</x:v>
      </x:c>
      <x:c r="F148" s="97" t="str">
        <x:v>recorded</x:v>
      </x:c>
      <x:c r="G148" s="97" t="str">
        <x:v>complete</x:v>
      </x:c>
      <x:c r="H148" s="97" t="str">
        <x:v>S4;S13</x:v>
      </x:c>
    </x:row>
    <x:row r="149">
      <x:c r="A149" s="97" t="str">
        <x:v>I152</x:v>
      </x:c>
      <x:c r="B149" s="97" t="str">
        <x:v>Peter Wyche</x:v>
      </x:c>
      <x:c r="C149" s="97" t="str"/>
      <x:c r="D149" s="97" t="str">
        <x:v>unresolved—no supported date found</x:v>
      </x:c>
      <x:c r="E149" s="97" t="str"/>
      <x:c r="F149" s="97" t="str">
        <x:v>unresolved—no supported date found</x:v>
      </x:c>
      <x:c r="G149" s="97" t="str">
        <x:v>unresolved</x:v>
      </x:c>
      <x:c r="H149" s="97" t="str">
        <x:v>S11</x:v>
      </x:c>
    </x:row>
    <x:row r="150">
      <x:c r="A150" s="97" t="str">
        <x:v>I153</x:v>
      </x:c>
      <x:c r="B150" s="97" t="str">
        <x:v>Alice Wyche</x:v>
      </x:c>
      <x:c r="C150" s="97" t="str"/>
      <x:c r="D150" s="97" t="str">
        <x:v>unresolved—no supported date found</x:v>
      </x:c>
      <x:c r="E150" s="97" t="str"/>
      <x:c r="F150" s="97" t="str">
        <x:v>unresolved—no supported date found</x:v>
      </x:c>
      <x:c r="G150" s="97" t="str">
        <x:v>unresolved</x:v>
      </x:c>
      <x:c r="H150" s="97" t="str">
        <x:v>S11</x:v>
      </x:c>
    </x:row>
    <x:row r="151">
      <x:c r="A151" s="97" t="str">
        <x:v>I154</x:v>
      </x:c>
      <x:c r="B151" s="97" t="str">
        <x:v>William Raiford Agee</x:v>
      </x:c>
      <x:c r="C151" s="97" t="str">
        <x:v>13 AUG 1806; Buckingham County, Virginia</x:v>
      </x:c>
      <x:c r="D151" s="97" t="str">
        <x:v>recorded</x:v>
      </x:c>
      <x:c r="E151" s="97" t="str">
        <x:v>31 AUG 1870; Alabama</x:v>
      </x:c>
      <x:c r="F151" s="97" t="str">
        <x:v>recorded</x:v>
      </x:c>
      <x:c r="G151" s="97" t="str">
        <x:v>complete</x:v>
      </x:c>
      <x:c r="H151" s="97" t="str">
        <x:v>S8</x:v>
      </x:c>
    </x:row>
    <x:row r="152">
      <x:c r="A152" s="97" t="str">
        <x:v>I155</x:v>
      </x:c>
      <x:c r="B152" s="97" t="str">
        <x:v>Elvina Hill</x:v>
      </x:c>
      <x:c r="C152" s="97" t="str"/>
      <x:c r="D152" s="97" t="str">
        <x:v>unresolved—no supported date found</x:v>
      </x:c>
      <x:c r="E152" s="97" t="str"/>
      <x:c r="F152" s="97" t="str">
        <x:v>unresolved—no supported date found</x:v>
      </x:c>
      <x:c r="G152" s="97" t="str">
        <x:v>unresolved</x:v>
      </x:c>
      <x:c r="H152" s="97" t="str">
        <x:v>S8</x:v>
      </x:c>
    </x:row>
    <x:row r="153">
      <x:c r="A153" s="97" t="str">
        <x:v>I157</x:v>
      </x:c>
      <x:c r="B153" s="97" t="str">
        <x:v>William Rives</x:v>
      </x:c>
      <x:c r="C153" s="97" t="str">
        <x:v>ABOUT 1636; Oxfordshire, England</x:v>
      </x:c>
      <x:c r="D153" s="97" t="str">
        <x:v>recorded</x:v>
      </x:c>
      <x:c r="E153" s="97" t="str">
        <x:v>AFTER 1695; Surry County, Virginia</x:v>
      </x:c>
      <x:c r="F153" s="97" t="str">
        <x:v>recorded</x:v>
      </x:c>
      <x:c r="G153" s="97" t="str">
        <x:v>complete</x:v>
      </x:c>
      <x:c r="H153" s="97" t="str">
        <x:v>S4;S13</x:v>
      </x:c>
    </x:row>
    <x:row r="154">
      <x:c r="A154" s="97" t="str">
        <x:v>I158</x:v>
      </x:c>
      <x:c r="B154" s="97" t="str">
        <x:v>Reuben Harrison</x:v>
      </x:c>
      <x:c r="C154" s="97" t="str"/>
      <x:c r="D154" s="97" t="str">
        <x:v>unresolved—no supported date found</x:v>
      </x:c>
      <x:c r="E154" s="97" t="str">
        <x:v>1835</x:v>
      </x:c>
      <x:c r="F154" s="97" t="str">
        <x:v>recorded</x:v>
      </x:c>
      <x:c r="G154" s="97" t="str">
        <x:v>partial</x:v>
      </x:c>
      <x:c r="H154" s="97" t="str">
        <x:v>S20</x:v>
      </x:c>
    </x:row>
    <x:row r="155">
      <x:c r="A155" s="97" t="str">
        <x:v>I159</x:v>
      </x:c>
      <x:c r="B155" s="97" t="str">
        <x:v>Nancy Harrison</x:v>
      </x:c>
      <x:c r="C155" s="97" t="str"/>
      <x:c r="D155" s="97" t="str">
        <x:v>unresolved—no supported date found</x:v>
      </x:c>
      <x:c r="E155" s="97" t="str"/>
      <x:c r="F155" s="97" t="str">
        <x:v>unresolved—no supported date found</x:v>
      </x:c>
      <x:c r="G155" s="97" t="str">
        <x:v>unresolved</x:v>
      </x:c>
      <x:c r="H155" s="97" t="str">
        <x:v>S20</x:v>
      </x:c>
    </x:row>
    <x:row r="156">
      <x:c r="A156" s="97" t="str">
        <x:v>I160</x:v>
      </x:c>
      <x:c r="B156" s="97" t="str">
        <x:v>James Perry</x:v>
      </x:c>
      <x:c r="C156" s="97" t="str"/>
      <x:c r="D156" s="97" t="str">
        <x:v>unresolved—no supported date found</x:v>
      </x:c>
      <x:c r="E156" s="97" t="str">
        <x:v>AFTER 14 APR 1806 / BEFORE 1825; Kershaw District, South Carolina</x:v>
      </x:c>
      <x:c r="F156" s="97" t="str">
        <x:v>recorded</x:v>
      </x:c>
      <x:c r="G156" s="97" t="str">
        <x:v>partial</x:v>
      </x:c>
      <x:c r="H156" s="97" t="str">
        <x:v>S20</x:v>
      </x:c>
    </x:row>
    <x:row r="157">
      <x:c r="A157" s="97" t="str">
        <x:v>I161</x:v>
      </x:c>
      <x:c r="B157" s="97" t="str">
        <x:v>Noah Agee</x:v>
      </x:c>
      <x:c r="C157" s="97" t="str">
        <x:v>12 NOV 1750; Virginia</x:v>
      </x:c>
      <x:c r="D157" s="97" t="str">
        <x:v>recorded</x:v>
      </x:c>
      <x:c r="E157" s="97" t="str">
        <x:v>9 APR 1823; Alabama</x:v>
      </x:c>
      <x:c r="F157" s="97" t="str">
        <x:v>recorded</x:v>
      </x:c>
      <x:c r="G157" s="97" t="str">
        <x:v>complete</x:v>
      </x:c>
      <x:c r="H157" s="97" t="str">
        <x:v>S8</x:v>
      </x:c>
    </x:row>
    <x:row r="158">
      <x:c r="A158" s="97" t="str">
        <x:v>I162</x:v>
      </x:c>
      <x:c r="B158" s="97" t="str">
        <x:v>Martha Mask</x:v>
      </x:c>
      <x:c r="C158" s="97" t="str">
        <x:v>27 DEC 1768</x:v>
      </x:c>
      <x:c r="D158" s="97" t="str">
        <x:v>recorded</x:v>
      </x:c>
      <x:c r="E158" s="97" t="str"/>
      <x:c r="F158" s="97" t="str">
        <x:v>unresolved—no supported date found</x:v>
      </x:c>
      <x:c r="G158" s="97" t="str">
        <x:v>partial</x:v>
      </x:c>
      <x:c r="H158" s="97" t="str">
        <x:v>S8</x:v>
      </x:c>
    </x:row>
    <x:row r="159">
      <x:c r="A159" s="97" t="str">
        <x:v>I163</x:v>
      </x:c>
      <x:c r="B159" s="97" t="str">
        <x:v>William Hill</x:v>
      </x:c>
      <x:c r="C159" s="97" t="str"/>
      <x:c r="D159" s="97" t="str">
        <x:v>unresolved—no supported date found</x:v>
      </x:c>
      <x:c r="E159" s="97" t="str"/>
      <x:c r="F159" s="97" t="str">
        <x:v>unresolved—no supported date found</x:v>
      </x:c>
      <x:c r="G159" s="97" t="str">
        <x:v>unresolved</x:v>
      </x:c>
      <x:c r="H159" s="97" t="str">
        <x:v>S8</x:v>
      </x:c>
    </x:row>
    <x:row r="160">
      <x:c r="A160" s="97" t="str">
        <x:v>I164</x:v>
      </x:c>
      <x:c r="B160" s="97" t="str">
        <x:v>James Agee</x:v>
      </x:c>
      <x:c r="C160" s="97" t="str">
        <x:v>ABOUT 1725; Virginia</x:v>
      </x:c>
      <x:c r="D160" s="97" t="str">
        <x:v>recorded</x:v>
      </x:c>
      <x:c r="E160" s="97" t="str">
        <x:v>1821</x:v>
      </x:c>
      <x:c r="F160" s="97" t="str">
        <x:v>recorded</x:v>
      </x:c>
      <x:c r="G160" s="97" t="str">
        <x:v>complete</x:v>
      </x:c>
      <x:c r="H160" s="97" t="str">
        <x:v>S8</x:v>
      </x:c>
    </x:row>
    <x:row r="161">
      <x:c r="A161" s="97" t="str">
        <x:v>I165</x:v>
      </x:c>
      <x:c r="B161" s="97" t="str">
        <x:v>Mary Ford</x:v>
      </x:c>
      <x:c r="C161" s="97" t="str">
        <x:v>BET 1729 AND 1730; Virginia</x:v>
      </x:c>
      <x:c r="D161" s="97" t="str">
        <x:v>recorded</x:v>
      </x:c>
      <x:c r="E161" s="97" t="str">
        <x:v>1821</x:v>
      </x:c>
      <x:c r="F161" s="97" t="str">
        <x:v>recorded</x:v>
      </x:c>
      <x:c r="G161" s="97" t="str">
        <x:v>complete</x:v>
      </x:c>
      <x:c r="H161" s="97" t="str">
        <x:v>S8;S46</x:v>
      </x:c>
    </x:row>
    <x:row r="162">
      <x:c r="A162" s="97" t="str">
        <x:v>I166</x:v>
      </x:c>
      <x:c r="B162" s="97" t="str">
        <x:v>Mathieu Agee</x:v>
      </x:c>
      <x:c r="C162" s="97" t="str">
        <x:v>ABOUT 1670; near Nantes, France</x:v>
      </x:c>
      <x:c r="D162" s="97" t="str">
        <x:v>recorded</x:v>
      </x:c>
      <x:c r="E162" s="97" t="str">
        <x:v>Virginia</x:v>
      </x:c>
      <x:c r="F162" s="97" t="str">
        <x:v>place or placeholder only—date unresolved</x:v>
      </x:c>
      <x:c r="G162" s="97" t="str">
        <x:v>partial</x:v>
      </x:c>
      <x:c r="H162" s="97" t="str">
        <x:v>S8</x:v>
      </x:c>
    </x:row>
    <x:row r="163">
      <x:c r="A163" s="97" t="str">
        <x:v>I167</x:v>
      </x:c>
      <x:c r="B163" s="97" t="str">
        <x:v>Ann Godwin</x:v>
      </x:c>
      <x:c r="C163" s="97" t="str"/>
      <x:c r="D163" s="97" t="str">
        <x:v>unresolved—no supported date found</x:v>
      </x:c>
      <x:c r="E163" s="97" t="str"/>
      <x:c r="F163" s="97" t="str">
        <x:v>unresolved—no supported date found</x:v>
      </x:c>
      <x:c r="G163" s="97" t="str">
        <x:v>unresolved</x:v>
      </x:c>
      <x:c r="H163" s="97" t="str">
        <x:v>S8</x:v>
      </x:c>
    </x:row>
    <x:row r="164">
      <x:c r="A164" s="97" t="str">
        <x:v>I168</x:v>
      </x:c>
      <x:c r="B164" s="97" t="str">
        <x:v>James Ford</x:v>
      </x:c>
      <x:c r="C164" s="97" t="str"/>
      <x:c r="D164" s="97" t="str">
        <x:v>unresolved—no supported date found</x:v>
      </x:c>
      <x:c r="E164" s="97" t="str"/>
      <x:c r="F164" s="97" t="str">
        <x:v>unresolved—no supported date found</x:v>
      </x:c>
      <x:c r="G164" s="97" t="str">
        <x:v>unresolved</x:v>
      </x:c>
      <x:c r="H164" s="97" t="str">
        <x:v>S8</x:v>
      </x:c>
    </x:row>
    <x:row r="165">
      <x:c r="A165" s="97" t="str">
        <x:v>I169</x:v>
      </x:c>
      <x:c r="B165" s="97" t="str">
        <x:v>Ann Bondurant</x:v>
      </x:c>
      <x:c r="C165" s="97" t="str"/>
      <x:c r="D165" s="97" t="str">
        <x:v>unresolved—no supported date found</x:v>
      </x:c>
      <x:c r="E165" s="97" t="str"/>
      <x:c r="F165" s="97" t="str">
        <x:v>unresolved—no supported date found</x:v>
      </x:c>
      <x:c r="G165" s="97" t="str">
        <x:v>unresolved</x:v>
      </x:c>
      <x:c r="H165" s="97" t="str">
        <x:v>S8</x:v>
      </x:c>
    </x:row>
    <x:row r="166">
      <x:c r="A166" s="97" t="str">
        <x:v>I170</x:v>
      </x:c>
      <x:c r="B166" s="97" t="str">
        <x:v>Isaac Godwin</x:v>
      </x:c>
      <x:c r="C166" s="97" t="str"/>
      <x:c r="D166" s="97" t="str">
        <x:v>unresolved—no supported date found</x:v>
      </x:c>
      <x:c r="E166" s="97" t="str"/>
      <x:c r="F166" s="97" t="str">
        <x:v>unresolved—no supported date found</x:v>
      </x:c>
      <x:c r="G166" s="97" t="str">
        <x:v>unresolved</x:v>
      </x:c>
      <x:c r="H166" s="97" t="str">
        <x:v>S8</x:v>
      </x:c>
    </x:row>
    <x:row r="167">
      <x:c r="A167" s="97" t="str">
        <x:v>I171</x:v>
      </x:c>
      <x:c r="B167" s="97" t="str">
        <x:v>Ann Godwin</x:v>
      </x:c>
      <x:c r="C167" s="97" t="str"/>
      <x:c r="D167" s="97" t="str">
        <x:v>unresolved—no supported date found</x:v>
      </x:c>
      <x:c r="E167" s="97" t="str"/>
      <x:c r="F167" s="97" t="str">
        <x:v>unresolved—no supported date found</x:v>
      </x:c>
      <x:c r="G167" s="97" t="str">
        <x:v>unresolved</x:v>
      </x:c>
      <x:c r="H167" s="97" t="str">
        <x:v>S8</x:v>
      </x:c>
    </x:row>
    <x:row r="168">
      <x:c r="A168" s="97" t="str">
        <x:v>I172</x:v>
      </x:c>
      <x:c r="B168" s="97" t="str">
        <x:v>Anthony Agee</x:v>
      </x:c>
      <x:c r="C168" s="97" t="str"/>
      <x:c r="D168" s="97" t="str">
        <x:v>unresolved—no supported date found</x:v>
      </x:c>
      <x:c r="E168" s="97" t="str"/>
      <x:c r="F168" s="97" t="str">
        <x:v>unresolved—no supported date found</x:v>
      </x:c>
      <x:c r="G168" s="97" t="str">
        <x:v>unresolved</x:v>
      </x:c>
      <x:c r="H168" s="97" t="str">
        <x:v>S8</x:v>
      </x:c>
    </x:row>
    <x:row r="169">
      <x:c r="A169" s="97" t="str">
        <x:v>I173</x:v>
      </x:c>
      <x:c r="B169" s="97" t="str">
        <x:v>Judith Chastain</x:v>
      </x:c>
      <x:c r="C169" s="97" t="str"/>
      <x:c r="D169" s="97" t="str">
        <x:v>unresolved—no supported date found</x:v>
      </x:c>
      <x:c r="E169" s="97" t="str"/>
      <x:c r="F169" s="97" t="str">
        <x:v>unresolved—no supported date found</x:v>
      </x:c>
      <x:c r="G169" s="97" t="str">
        <x:v>unresolved</x:v>
      </x:c>
      <x:c r="H169" s="97" t="str">
        <x:v>S8</x:v>
      </x:c>
    </x:row>
    <x:row r="170">
      <x:c r="A170" s="97" t="str">
        <x:v>I174</x:v>
      </x:c>
      <x:c r="B170" s="97" t="str">
        <x:v>Jean Pierre John Peter Bondurant</x:v>
      </x:c>
      <x:c r="C170" s="97" t="str">
        <x:v>near Lyon, France</x:v>
      </x:c>
      <x:c r="D170" s="97" t="str">
        <x:v>place or placeholder only—date unresolved</x:v>
      </x:c>
      <x:c r="E170" s="97" t="str">
        <x:v>Virginia</x:v>
      </x:c>
      <x:c r="F170" s="97" t="str">
        <x:v>place or placeholder only—date unresolved</x:v>
      </x:c>
      <x:c r="G170" s="97" t="str">
        <x:v>unresolved</x:v>
      </x:c>
      <x:c r="H170" s="97" t="str">
        <x:v>S8</x:v>
      </x:c>
    </x:row>
    <x:row r="171">
      <x:c r="A171" s="97" t="str">
        <x:v>I175</x:v>
      </x:c>
      <x:c r="B171" s="97" t="str">
        <x:v>Arianna Lynn Annie Vollmer</x:v>
      </x:c>
      <x:c r="C171" s="97" t="str"/>
      <x:c r="D171" s="97" t="str">
        <x:v>not researched—privacy limited</x:v>
      </x:c>
      <x:c r="E171" s="97" t="str"/>
      <x:c r="F171" s="97" t="str">
        <x:v>not researched—privacy limited</x:v>
      </x:c>
      <x:c r="G171" s="97" t="str">
        <x:v>not researched—privacy limited</x:v>
      </x:c>
      <x:c r="H171" s="97" t="str"/>
    </x:row>
    <x:row r="172">
      <x:c r="A172" s="97" t="str">
        <x:v>I176</x:v>
      </x:c>
      <x:c r="B172" s="97" t="str">
        <x:v>Henry Richard Vollmer</x:v>
      </x:c>
      <x:c r="C172" s="97" t="str">
        <x:v>24 SEP 1934; Long Island, New York</x:v>
      </x:c>
      <x:c r="D172" s="97" t="str">
        <x:v>recorded</x:v>
      </x:c>
      <x:c r="E172" s="97" t="str">
        <x:v>4 JUL 2023</x:v>
      </x:c>
      <x:c r="F172" s="97" t="str">
        <x:v>recorded</x:v>
      </x:c>
      <x:c r="G172" s="97" t="str">
        <x:v>complete</x:v>
      </x:c>
      <x:c r="H172" s="97" t="str">
        <x:v>S28;S46;S31;S47</x:v>
      </x:c>
    </x:row>
    <x:row r="173">
      <x:c r="A173" s="97" t="str">
        <x:v>I177</x:v>
      </x:c>
      <x:c r="B173" s="97" t="str">
        <x:v>Bruce Eric Muller</x:v>
      </x:c>
      <x:c r="C173" s="97" t="str">
        <x:v>15 JUN 1958; Michigan</x:v>
      </x:c>
      <x:c r="D173" s="97" t="str">
        <x:v>recorded</x:v>
      </x:c>
      <x:c r="E173" s="97" t="str">
        <x:v>4 JUN 1972; Vancouver, Clark, Washington</x:v>
      </x:c>
      <x:c r="F173" s="97" t="str">
        <x:v>recorded</x:v>
      </x:c>
      <x:c r="G173" s="97" t="str">
        <x:v>complete</x:v>
      </x:c>
      <x:c r="H173" s="97" t="str">
        <x:v>S27;S46;S47</x:v>
      </x:c>
    </x:row>
    <x:row r="174">
      <x:c r="A174" s="97" t="str">
        <x:v>I178</x:v>
      </x:c>
      <x:c r="B174" s="97" t="str">
        <x:v>Mary Gene Muller Chaffee</x:v>
      </x:c>
      <x:c r="C174" s="97" t="str">
        <x:v>13 APR 1920; Detroit, Wayne, Michigan</x:v>
      </x:c>
      <x:c r="D174" s="97" t="str">
        <x:v>recorded</x:v>
      </x:c>
      <x:c r="E174" s="97" t="str">
        <x:v>18 AUG 1995</x:v>
      </x:c>
      <x:c r="F174" s="97" t="str">
        <x:v>recorded</x:v>
      </x:c>
      <x:c r="G174" s="97" t="str">
        <x:v>complete</x:v>
      </x:c>
      <x:c r="H174" s="97" t="str">
        <x:v>S27;S48</x:v>
      </x:c>
    </x:row>
    <x:row r="175">
      <x:c r="A175" s="97" t="str">
        <x:v>I179</x:v>
      </x:c>
      <x:c r="B175" s="97" t="str">
        <x:v>Elmer James Chaffee Jr</x:v>
      </x:c>
      <x:c r="C175" s="97" t="str">
        <x:v>1 OCT 1918; Wayne County, Michigan</x:v>
      </x:c>
      <x:c r="D175" s="97" t="str">
        <x:v>recorded</x:v>
      </x:c>
      <x:c r="E175" s="97" t="str"/>
      <x:c r="F175" s="97" t="str">
        <x:v>unresolved—no supported date found</x:v>
      </x:c>
      <x:c r="G175" s="97" t="str">
        <x:v>partial</x:v>
      </x:c>
      <x:c r="H175" s="97" t="str">
        <x:v>S27</x:v>
      </x:c>
    </x:row>
    <x:row r="176">
      <x:c r="A176" s="97" t="str">
        <x:v>I180</x:v>
      </x:c>
      <x:c r="B176" s="97" t="str">
        <x:v>Linda Chaffee</x:v>
      </x:c>
      <x:c r="C176" s="97" t="str"/>
      <x:c r="D176" s="97" t="str">
        <x:v>not researched—privacy limited</x:v>
      </x:c>
      <x:c r="E176" s="97" t="str"/>
      <x:c r="F176" s="97" t="str">
        <x:v>not researched—privacy limited</x:v>
      </x:c>
      <x:c r="G176" s="97" t="str">
        <x:v>not researched—privacy limited</x:v>
      </x:c>
      <x:c r="H176" s="97" t="str"/>
    </x:row>
    <x:row r="177">
      <x:c r="A177" s="97" t="str">
        <x:v>I181</x:v>
      </x:c>
      <x:c r="B177" s="97" t="str">
        <x:v>Lori Chaffee Mettler</x:v>
      </x:c>
      <x:c r="C177" s="97" t="str"/>
      <x:c r="D177" s="97" t="str">
        <x:v>not researched—privacy limited</x:v>
      </x:c>
      <x:c r="E177" s="97" t="str"/>
      <x:c r="F177" s="97" t="str">
        <x:v>not researched—privacy limited</x:v>
      </x:c>
      <x:c r="G177" s="97" t="str">
        <x:v>not researched—privacy limited</x:v>
      </x:c>
      <x:c r="H177" s="97" t="str"/>
    </x:row>
    <x:row r="178">
      <x:c r="A178" s="97" t="str">
        <x:v>I182</x:v>
      </x:c>
      <x:c r="B178" s="97" t="str">
        <x:v>James Chaffee</x:v>
      </x:c>
      <x:c r="C178" s="97" t="str"/>
      <x:c r="D178" s="97" t="str">
        <x:v>not researched—privacy limited</x:v>
      </x:c>
      <x:c r="E178" s="97" t="str"/>
      <x:c r="F178" s="97" t="str">
        <x:v>not researched—privacy limited</x:v>
      </x:c>
      <x:c r="G178" s="97" t="str">
        <x:v>not researched—privacy limited</x:v>
      </x:c>
      <x:c r="H178" s="97" t="str">
        <x:v>S29</x:v>
      </x:c>
    </x:row>
    <x:row r="179">
      <x:c r="A179" s="97" t="str">
        <x:v>I183</x:v>
      </x:c>
      <x:c r="B179" s="97" t="str">
        <x:v>Jane Lee Muller Swick</x:v>
      </x:c>
      <x:c r="C179" s="97" t="str">
        <x:v>7 NOV 1932; Detroit, Wayne, Michigan</x:v>
      </x:c>
      <x:c r="D179" s="97" t="str">
        <x:v>recorded</x:v>
      </x:c>
      <x:c r="E179" s="97" t="str">
        <x:v>7 NOV 2010; North Bend, Coos, Oregon</x:v>
      </x:c>
      <x:c r="F179" s="97" t="str">
        <x:v>recorded</x:v>
      </x:c>
      <x:c r="G179" s="97" t="str">
        <x:v>complete</x:v>
      </x:c>
      <x:c r="H179" s="97" t="str">
        <x:v>S27</x:v>
      </x:c>
    </x:row>
    <x:row r="180">
      <x:c r="A180" s="97" t="str">
        <x:v>I184</x:v>
      </x:c>
      <x:c r="B180" s="97" t="str">
        <x:v>Howard Swick</x:v>
      </x:c>
      <x:c r="C180" s="97" t="str"/>
      <x:c r="D180" s="97" t="str">
        <x:v>not researched—privacy limited</x:v>
      </x:c>
      <x:c r="E180" s="97" t="str"/>
      <x:c r="F180" s="97" t="str">
        <x:v>not researched—privacy limited</x:v>
      </x:c>
      <x:c r="G180" s="97" t="str">
        <x:v>not researched—privacy limited</x:v>
      </x:c>
      <x:c r="H180" s="97" t="str"/>
    </x:row>
    <x:row r="181">
      <x:c r="A181" s="97" t="str">
        <x:v>I185</x:v>
      </x:c>
      <x:c r="B181" s="97" t="str">
        <x:v>Kathy Swick Werblo</x:v>
      </x:c>
      <x:c r="C181" s="97" t="str"/>
      <x:c r="D181" s="97" t="str">
        <x:v>not researched—privacy limited</x:v>
      </x:c>
      <x:c r="E181" s="97" t="str"/>
      <x:c r="F181" s="97" t="str">
        <x:v>not researched—privacy limited</x:v>
      </x:c>
      <x:c r="G181" s="97" t="str">
        <x:v>not researched—privacy limited</x:v>
      </x:c>
      <x:c r="H181" s="97" t="str"/>
    </x:row>
    <x:row r="182">
      <x:c r="A182" s="97" t="str">
        <x:v>I186</x:v>
      </x:c>
      <x:c r="B182" s="97" t="str">
        <x:v>Dave Werblo</x:v>
      </x:c>
      <x:c r="C182" s="97" t="str"/>
      <x:c r="D182" s="97" t="str">
        <x:v>not researched—privacy limited</x:v>
      </x:c>
      <x:c r="E182" s="97" t="str"/>
      <x:c r="F182" s="97" t="str">
        <x:v>not researched—privacy limited</x:v>
      </x:c>
      <x:c r="G182" s="97" t="str">
        <x:v>not researched—privacy limited</x:v>
      </x:c>
      <x:c r="H182" s="97" t="str"/>
    </x:row>
    <x:row r="183">
      <x:c r="A183" s="97" t="str">
        <x:v>I187</x:v>
      </x:c>
      <x:c r="B183" s="97" t="str">
        <x:v>John Swick</x:v>
      </x:c>
      <x:c r="C183" s="97" t="str"/>
      <x:c r="D183" s="97" t="str">
        <x:v>not researched—privacy limited</x:v>
      </x:c>
      <x:c r="E183" s="97" t="str"/>
      <x:c r="F183" s="97" t="str">
        <x:v>not researched—privacy limited</x:v>
      </x:c>
      <x:c r="G183" s="97" t="str">
        <x:v>not researched—privacy limited</x:v>
      </x:c>
      <x:c r="H183" s="97" t="str"/>
    </x:row>
    <x:row r="184">
      <x:c r="A184" s="97" t="str">
        <x:v>I188</x:v>
      </x:c>
      <x:c r="B184" s="97" t="str">
        <x:v>Celeste</x:v>
      </x:c>
      <x:c r="C184" s="97" t="str"/>
      <x:c r="D184" s="97" t="str">
        <x:v>not researched—privacy limited</x:v>
      </x:c>
      <x:c r="E184" s="97" t="str"/>
      <x:c r="F184" s="97" t="str">
        <x:v>not researched—privacy limited</x:v>
      </x:c>
      <x:c r="G184" s="97" t="str">
        <x:v>not researched—privacy limited</x:v>
      </x:c>
      <x:c r="H184" s="97" t="str"/>
    </x:row>
    <x:row r="185">
      <x:c r="A185" s="97" t="str">
        <x:v>I189</x:v>
      </x:c>
      <x:c r="B185" s="97" t="str">
        <x:v>Susan Sue Swick Galbraith</x:v>
      </x:c>
      <x:c r="C185" s="97" t="str"/>
      <x:c r="D185" s="97" t="str">
        <x:v>not researched—privacy limited</x:v>
      </x:c>
      <x:c r="E185" s="97" t="str"/>
      <x:c r="F185" s="97" t="str">
        <x:v>not researched—privacy limited</x:v>
      </x:c>
      <x:c r="G185" s="97" t="str">
        <x:v>not researched—privacy limited</x:v>
      </x:c>
      <x:c r="H185" s="97" t="str"/>
    </x:row>
    <x:row r="186">
      <x:c r="A186" s="97" t="str">
        <x:v>I190</x:v>
      </x:c>
      <x:c r="B186" s="97" t="str">
        <x:v>Gordon Galbraith</x:v>
      </x:c>
      <x:c r="C186" s="97" t="str"/>
      <x:c r="D186" s="97" t="str">
        <x:v>not researched—privacy limited</x:v>
      </x:c>
      <x:c r="E186" s="97" t="str"/>
      <x:c r="F186" s="97" t="str">
        <x:v>not researched—privacy limited</x:v>
      </x:c>
      <x:c r="G186" s="97" t="str">
        <x:v>not researched—privacy limited</x:v>
      </x:c>
      <x:c r="H186" s="97" t="str"/>
    </x:row>
    <x:row r="187">
      <x:c r="A187" s="97" t="str">
        <x:v>I191</x:v>
      </x:c>
      <x:c r="B187" s="97" t="str">
        <x:v>Patti Swick</x:v>
      </x:c>
      <x:c r="C187" s="97" t="str"/>
      <x:c r="D187" s="97" t="str">
        <x:v>not researched—privacy limited</x:v>
      </x:c>
      <x:c r="E187" s="97" t="str"/>
      <x:c r="F187" s="97" t="str">
        <x:v>not researched—privacy limited</x:v>
      </x:c>
      <x:c r="G187" s="97" t="str">
        <x:v>not researched—privacy limited</x:v>
      </x:c>
      <x:c r="H187" s="97" t="str"/>
    </x:row>
    <x:row r="188">
      <x:c r="A188" s="97" t="str">
        <x:v>I192</x:v>
      </x:c>
      <x:c r="B188" s="97" t="str">
        <x:v>Rick Lilly</x:v>
      </x:c>
      <x:c r="C188" s="97" t="str"/>
      <x:c r="D188" s="97" t="str">
        <x:v>not researched—privacy limited</x:v>
      </x:c>
      <x:c r="E188" s="97" t="str"/>
      <x:c r="F188" s="97" t="str">
        <x:v>not researched—privacy limited</x:v>
      </x:c>
      <x:c r="G188" s="97" t="str">
        <x:v>not researched—privacy limited</x:v>
      </x:c>
      <x:c r="H188" s="97" t="str"/>
    </x:row>
    <x:row r="189">
      <x:c r="A189" s="97" t="str">
        <x:v>I193</x:v>
      </x:c>
      <x:c r="B189" s="97" t="str">
        <x:v>Philip Brooks McCormick</x:v>
      </x:c>
      <x:c r="C189" s="97" t="str">
        <x:v>10 APR 1930; Royal Oak, Oakland, Michigan</x:v>
      </x:c>
      <x:c r="D189" s="97" t="str">
        <x:v>recorded</x:v>
      </x:c>
      <x:c r="E189" s="97" t="str">
        <x:v>20 FEB 2021; Newport Beach, Orange, California</x:v>
      </x:c>
      <x:c r="F189" s="97" t="str">
        <x:v>recorded</x:v>
      </x:c>
      <x:c r="G189" s="97" t="str">
        <x:v>complete</x:v>
      </x:c>
      <x:c r="H189" s="97" t="str">
        <x:v>S27;S46</x:v>
      </x:c>
    </x:row>
    <x:row r="190">
      <x:c r="A190" s="97" t="str">
        <x:v>I194</x:v>
      </x:c>
      <x:c r="B190" s="97" t="str">
        <x:v>Elizabeth Betsy Ross McCormick</x:v>
      </x:c>
      <x:c r="C190" s="97" t="str"/>
      <x:c r="D190" s="97" t="str">
        <x:v>not researched—privacy limited</x:v>
      </x:c>
      <x:c r="E190" s="97" t="str"/>
      <x:c r="F190" s="97" t="str">
        <x:v>not researched—privacy limited</x:v>
      </x:c>
      <x:c r="G190" s="97" t="str">
        <x:v>not researched—privacy limited</x:v>
      </x:c>
      <x:c r="H190" s="97" t="str"/>
    </x:row>
    <x:row r="191">
      <x:c r="A191" s="97" t="str">
        <x:v>I195</x:v>
      </x:c>
      <x:c r="B191" s="97" t="str">
        <x:v>Sandy McCormick Hill</x:v>
      </x:c>
      <x:c r="C191" s="97" t="str"/>
      <x:c r="D191" s="97" t="str">
        <x:v>not researched—privacy limited</x:v>
      </x:c>
      <x:c r="E191" s="97" t="str"/>
      <x:c r="F191" s="97" t="str">
        <x:v>not researched—privacy limited</x:v>
      </x:c>
      <x:c r="G191" s="97" t="str">
        <x:v>not researched—privacy limited</x:v>
      </x:c>
      <x:c r="H191" s="97" t="str"/>
    </x:row>
    <x:row r="192">
      <x:c r="A192" s="97" t="str">
        <x:v>I196</x:v>
      </x:c>
      <x:c r="B192" s="97" t="str">
        <x:v>John Hill</x:v>
      </x:c>
      <x:c r="C192" s="97" t="str"/>
      <x:c r="D192" s="97" t="str">
        <x:v>not researched—privacy limited</x:v>
      </x:c>
      <x:c r="E192" s="97" t="str"/>
      <x:c r="F192" s="97" t="str">
        <x:v>not researched—privacy limited</x:v>
      </x:c>
      <x:c r="G192" s="97" t="str">
        <x:v>not researched—privacy limited</x:v>
      </x:c>
      <x:c r="H192" s="97" t="str"/>
    </x:row>
    <x:row r="193">
      <x:c r="A193" s="97" t="str">
        <x:v>I197</x:v>
      </x:c>
      <x:c r="B193" s="97" t="str">
        <x:v>Ross McCormick</x:v>
      </x:c>
      <x:c r="C193" s="97" t="str"/>
      <x:c r="D193" s="97" t="str">
        <x:v>not researched—privacy limited</x:v>
      </x:c>
      <x:c r="E193" s="97" t="str"/>
      <x:c r="F193" s="97" t="str">
        <x:v>not researched—privacy limited</x:v>
      </x:c>
      <x:c r="G193" s="97" t="str">
        <x:v>not researched—privacy limited</x:v>
      </x:c>
      <x:c r="H193" s="97" t="str"/>
    </x:row>
    <x:row r="194">
      <x:c r="A194" s="97" t="str">
        <x:v>I198</x:v>
      </x:c>
      <x:c r="B194" s="97" t="str">
        <x:v>Carrie McCormick</x:v>
      </x:c>
      <x:c r="C194" s="97" t="str"/>
      <x:c r="D194" s="97" t="str">
        <x:v>not researched—privacy limited</x:v>
      </x:c>
      <x:c r="E194" s="97" t="str"/>
      <x:c r="F194" s="97" t="str">
        <x:v>not researched—privacy limited</x:v>
      </x:c>
      <x:c r="G194" s="97" t="str">
        <x:v>not researched—privacy limited</x:v>
      </x:c>
      <x:c r="H194" s="97" t="str"/>
    </x:row>
    <x:row r="195">
      <x:c r="A195" s="97" t="str">
        <x:v>I199</x:v>
      </x:c>
      <x:c r="B195" s="97" t="str">
        <x:v>Tina McCormick</x:v>
      </x:c>
      <x:c r="C195" s="97" t="str"/>
      <x:c r="D195" s="97" t="str">
        <x:v>not researched—privacy limited</x:v>
      </x:c>
      <x:c r="E195" s="97" t="str"/>
      <x:c r="F195" s="97" t="str">
        <x:v>not researched—privacy limited</x:v>
      </x:c>
      <x:c r="G195" s="97" t="str">
        <x:v>not researched—privacy limited</x:v>
      </x:c>
      <x:c r="H195" s="97" t="str"/>
    </x:row>
    <x:row r="196">
      <x:c r="A196" s="97" t="str">
        <x:v>I200</x:v>
      </x:c>
      <x:c r="B196" s="97" t="str">
        <x:v>Charles McCormick</x:v>
      </x:c>
      <x:c r="C196" s="97" t="str"/>
      <x:c r="D196" s="97" t="str">
        <x:v>not researched—privacy limited</x:v>
      </x:c>
      <x:c r="E196" s="97" t="str"/>
      <x:c r="F196" s="97" t="str">
        <x:v>not researched—privacy limited</x:v>
      </x:c>
      <x:c r="G196" s="97" t="str">
        <x:v>not researched—privacy limited</x:v>
      </x:c>
      <x:c r="H196" s="97" t="str">
        <x:v>S27</x:v>
      </x:c>
    </x:row>
    <x:row r="197">
      <x:c r="A197" s="97" t="str">
        <x:v>I201</x:v>
      </x:c>
      <x:c r="B197" s="97" t="str">
        <x:v>Judy McCormick</x:v>
      </x:c>
      <x:c r="C197" s="97" t="str"/>
      <x:c r="D197" s="97" t="str">
        <x:v>not researched—privacy limited</x:v>
      </x:c>
      <x:c r="E197" s="97" t="str"/>
      <x:c r="F197" s="97" t="str">
        <x:v>not researched—privacy limited</x:v>
      </x:c>
      <x:c r="G197" s="97" t="str">
        <x:v>not researched—privacy limited</x:v>
      </x:c>
      <x:c r="H197" s="97" t="str"/>
    </x:row>
    <x:row r="198">
      <x:c r="A198" s="97" t="str">
        <x:v>I202</x:v>
      </x:c>
      <x:c r="B198" s="97" t="str">
        <x:v>Gwendolyn Gwen McCormick Hull</x:v>
      </x:c>
      <x:c r="C198" s="97" t="str"/>
      <x:c r="D198" s="97" t="str">
        <x:v>not researched—privacy limited</x:v>
      </x:c>
      <x:c r="E198" s="97" t="str"/>
      <x:c r="F198" s="97" t="str">
        <x:v>not researched—privacy limited</x:v>
      </x:c>
      <x:c r="G198" s="97" t="str">
        <x:v>not researched—privacy limited</x:v>
      </x:c>
      <x:c r="H198" s="97" t="str">
        <x:v>S27</x:v>
      </x:c>
    </x:row>
    <x:row r="199">
      <x:c r="A199" s="97" t="str">
        <x:v>I203</x:v>
      </x:c>
      <x:c r="B199" s="97" t="str">
        <x:v>Jim Hull</x:v>
      </x:c>
      <x:c r="C199" s="97" t="str"/>
      <x:c r="D199" s="97" t="str">
        <x:v>not researched—privacy limited</x:v>
      </x:c>
      <x:c r="E199" s="97" t="str"/>
      <x:c r="F199" s="97" t="str">
        <x:v>not researched—privacy limited</x:v>
      </x:c>
      <x:c r="G199" s="97" t="str">
        <x:v>not researched—privacy limited</x:v>
      </x:c>
      <x:c r="H199" s="97" t="str"/>
    </x:row>
    <x:row r="200">
      <x:c r="A200" s="97" t="str">
        <x:v>I204</x:v>
      </x:c>
      <x:c r="B200" s="97" t="str">
        <x:v>Carey Zaura</x:v>
      </x:c>
      <x:c r="C200" s="97" t="str"/>
      <x:c r="D200" s="97" t="str">
        <x:v>not researched—privacy limited</x:v>
      </x:c>
      <x:c r="E200" s="97" t="str"/>
      <x:c r="F200" s="97" t="str">
        <x:v>not researched—privacy limited</x:v>
      </x:c>
      <x:c r="G200" s="97" t="str">
        <x:v>not researched—privacy limited</x:v>
      </x:c>
      <x:c r="H200" s="97" t="str"/>
    </x:row>
    <x:row r="201">
      <x:c r="A201" s="97" t="str">
        <x:v>I205</x:v>
      </x:c>
      <x:c r="B201" s="97" t="str">
        <x:v>Mark Hull</x:v>
      </x:c>
      <x:c r="C201" s="97" t="str"/>
      <x:c r="D201" s="97" t="str">
        <x:v>not researched—privacy limited</x:v>
      </x:c>
      <x:c r="E201" s="97" t="str"/>
      <x:c r="F201" s="97" t="str">
        <x:v>not researched—privacy limited</x:v>
      </x:c>
      <x:c r="G201" s="97" t="str">
        <x:v>not researched—privacy limited</x:v>
      </x:c>
      <x:c r="H201" s="97" t="str"/>
    </x:row>
    <x:row r="202">
      <x:c r="A202" s="97" t="str">
        <x:v>I207</x:v>
      </x:c>
      <x:c r="B202" s="97" t="str">
        <x:v>Charles Frederic Vollmer</x:v>
      </x:c>
      <x:c r="C202" s="97" t="str">
        <x:v>6 FEB 1906; Freeport, Nassau, New York</x:v>
      </x:c>
      <x:c r="D202" s="97" t="str">
        <x:v>recorded</x:v>
      </x:c>
      <x:c r="E202" s="97" t="str">
        <x:v>11 MAR 1972; Seattle, King, Washington</x:v>
      </x:c>
      <x:c r="F202" s="97" t="str">
        <x:v>recorded</x:v>
      </x:c>
      <x:c r="G202" s="97" t="str">
        <x:v>complete</x:v>
      </x:c>
      <x:c r="H202" s="97" t="str">
        <x:v>S26;S30;S48</x:v>
      </x:c>
    </x:row>
    <x:row r="203">
      <x:c r="A203" s="97" t="str">
        <x:v>I208</x:v>
      </x:c>
      <x:c r="B203" s="97" t="str">
        <x:v>Henry John Joseph Vollmer</x:v>
      </x:c>
      <x:c r="C203" s="97" t="str">
        <x:v>10 MAY 1878; Bremen, Germany</x:v>
      </x:c>
      <x:c r="D203" s="97" t="str">
        <x:v>recorded</x:v>
      </x:c>
      <x:c r="E203" s="97" t="str">
        <x:v>26 FEB 1934; Hempstead, Nassau, New York</x:v>
      </x:c>
      <x:c r="F203" s="97" t="str">
        <x:v>recorded</x:v>
      </x:c>
      <x:c r="G203" s="97" t="str">
        <x:v>complete</x:v>
      </x:c>
      <x:c r="H203" s="97" t="str">
        <x:v>S26;S48</x:v>
      </x:c>
    </x:row>
    <x:row r="204">
      <x:c r="A204" s="97" t="str">
        <x:v>I209</x:v>
      </x:c>
      <x:c r="B204" s="97" t="str">
        <x:v>Frederick Gottlieb Vollmer</x:v>
      </x:c>
      <x:c r="C204" s="97" t="str">
        <x:v>As reported: Germany; date unknown</x:v>
      </x:c>
      <x:c r="D204" s="97" t="str">
        <x:v>place or placeholder only—date unresolved</x:v>
      </x:c>
      <x:c r="E204" s="97" t="str"/>
      <x:c r="F204" s="97" t="str">
        <x:v>unresolved—no supported date found</x:v>
      </x:c>
      <x:c r="G204" s="97" t="str">
        <x:v>unresolved</x:v>
      </x:c>
      <x:c r="H204" s="97" t="str">
        <x:v>S26</x:v>
      </x:c>
    </x:row>
    <x:row r="205">
      <x:c r="A205" s="97" t="str">
        <x:v>I210</x:v>
      </x:c>
      <x:c r="B205" s="97" t="str">
        <x:v>Mary Kalwiet</x:v>
      </x:c>
      <x:c r="C205" s="97" t="str">
        <x:v>As reported: Germany; date unknown</x:v>
      </x:c>
      <x:c r="D205" s="97" t="str">
        <x:v>place or placeholder only—date unresolved</x:v>
      </x:c>
      <x:c r="E205" s="97" t="str"/>
      <x:c r="F205" s="97" t="str">
        <x:v>unresolved—no supported date found</x:v>
      </x:c>
      <x:c r="G205" s="97" t="str">
        <x:v>unresolved</x:v>
      </x:c>
      <x:c r="H205" s="97" t="str">
        <x:v>S26</x:v>
      </x:c>
    </x:row>
    <x:row r="206">
      <x:c r="A206" s="97" t="str">
        <x:v>I211</x:v>
      </x:c>
      <x:c r="B206" s="97" t="str">
        <x:v>Metha Peper Vollmer</x:v>
      </x:c>
      <x:c r="C206" s="97" t="str">
        <x:v>14 MAR 1884; Manhattan, New York (strongly supported identification of an unnamed female birth)</x:v>
      </x:c>
      <x:c r="D206" s="97" t="str">
        <x:v>recorded</x:v>
      </x:c>
      <x:c r="E206" s="97" t="str"/>
      <x:c r="F206" s="97" t="str">
        <x:v>unresolved—no supported date found</x:v>
      </x:c>
      <x:c r="G206" s="97" t="str">
        <x:v>partial</x:v>
      </x:c>
      <x:c r="H206" s="97" t="str">
        <x:v>S26</x:v>
      </x:c>
    </x:row>
    <x:row r="207">
      <x:c r="A207" s="97" t="str">
        <x:v>I212</x:v>
      </x:c>
      <x:c r="B207" s="97" t="str">
        <x:v>George Peper</x:v>
      </x:c>
      <x:c r="C207" s="97" t="str">
        <x:v>As reported: about 1860-1861; Harsefeld, Province of Hanover, Germany</x:v>
      </x:c>
      <x:c r="D207" s="97" t="str">
        <x:v>recorded</x:v>
      </x:c>
      <x:c r="E207" s="97" t="str"/>
      <x:c r="F207" s="97" t="str">
        <x:v>unresolved—no supported date found</x:v>
      </x:c>
      <x:c r="G207" s="97" t="str">
        <x:v>partial</x:v>
      </x:c>
      <x:c r="H207" s="97" t="str">
        <x:v>S26;S48</x:v>
      </x:c>
    </x:row>
    <x:row r="208">
      <x:c r="A208" s="97" t="str">
        <x:v>I213</x:v>
      </x:c>
      <x:c r="B208" s="97" t="str">
        <x:v>Anna Sophie Stelling Peper</x:v>
      </x:c>
      <x:c r="C208" s="97" t="str">
        <x:v>As reported: about 1862-1863; Lintig, Lehe, Province of Hanover, Germany</x:v>
      </x:c>
      <x:c r="D208" s="97" t="str">
        <x:v>recorded</x:v>
      </x:c>
      <x:c r="E208" s="97" t="str"/>
      <x:c r="F208" s="97" t="str">
        <x:v>unresolved—no supported date found</x:v>
      </x:c>
      <x:c r="G208" s="97" t="str">
        <x:v>partial</x:v>
      </x:c>
      <x:c r="H208" s="97" t="str">
        <x:v>S26</x:v>
      </x:c>
    </x:row>
    <x:row r="209">
      <x:c r="A209" s="97" t="str">
        <x:v>I214</x:v>
      </x:c>
      <x:c r="B209" s="97" t="str">
        <x:v>Peter Peper</x:v>
      </x:c>
      <x:c r="C209" s="97" t="str">
        <x:v>As reported: Germany; date unknown</x:v>
      </x:c>
      <x:c r="D209" s="97" t="str">
        <x:v>place or placeholder only—date unresolved</x:v>
      </x:c>
      <x:c r="E209" s="97" t="str"/>
      <x:c r="F209" s="97" t="str">
        <x:v>unresolved—no supported date found</x:v>
      </x:c>
      <x:c r="G209" s="97" t="str">
        <x:v>unresolved</x:v>
      </x:c>
      <x:c r="H209" s="97" t="str">
        <x:v>S26</x:v>
      </x:c>
    </x:row>
    <x:row r="210">
      <x:c r="A210" s="97" t="str">
        <x:v>I215</x:v>
      </x:c>
      <x:c r="B210" s="97" t="str">
        <x:v>Meta Francke</x:v>
      </x:c>
      <x:c r="C210" s="97" t="str">
        <x:v>As reported: Germany; date unknown</x:v>
      </x:c>
      <x:c r="D210" s="97" t="str">
        <x:v>place or placeholder only—date unresolved</x:v>
      </x:c>
      <x:c r="E210" s="97" t="str"/>
      <x:c r="F210" s="97" t="str">
        <x:v>unresolved—no supported date found</x:v>
      </x:c>
      <x:c r="G210" s="97" t="str">
        <x:v>unresolved</x:v>
      </x:c>
      <x:c r="H210" s="97" t="str">
        <x:v>S26</x:v>
      </x:c>
    </x:row>
    <x:row r="211">
      <x:c r="A211" s="97" t="str">
        <x:v>I216</x:v>
      </x:c>
      <x:c r="B211" s="97" t="str">
        <x:v>Charles Stelling</x:v>
      </x:c>
      <x:c r="C211" s="97" t="str">
        <x:v>As reported: Germany; date unknown</x:v>
      </x:c>
      <x:c r="D211" s="97" t="str">
        <x:v>place or placeholder only—date unresolved</x:v>
      </x:c>
      <x:c r="E211" s="97" t="str"/>
      <x:c r="F211" s="97" t="str">
        <x:v>unresolved—no supported date found</x:v>
      </x:c>
      <x:c r="G211" s="97" t="str">
        <x:v>unresolved</x:v>
      </x:c>
      <x:c r="H211" s="97" t="str">
        <x:v>S26</x:v>
      </x:c>
    </x:row>
    <x:row r="212">
      <x:c r="A212" s="97" t="str">
        <x:v>I217</x:v>
      </x:c>
      <x:c r="B212" s="97" t="str">
        <x:v>Catharine Ahrens</x:v>
      </x:c>
      <x:c r="C212" s="97" t="str">
        <x:v>As reported: Germany; date unknown</x:v>
      </x:c>
      <x:c r="D212" s="97" t="str">
        <x:v>place or placeholder only—date unresolved</x:v>
      </x:c>
      <x:c r="E212" s="97" t="str"/>
      <x:c r="F212" s="97" t="str">
        <x:v>unresolved—no supported date found</x:v>
      </x:c>
      <x:c r="G212" s="97" t="str">
        <x:v>unresolved</x:v>
      </x:c>
      <x:c r="H212" s="97" t="str">
        <x:v>S26</x:v>
      </x:c>
    </x:row>
    <x:row r="213">
      <x:c r="A213" s="97" t="str">
        <x:v>I218</x:v>
      </x:c>
      <x:c r="B213" s="97" t="str">
        <x:v>Doris Josephine Marsh Vollmer</x:v>
      </x:c>
      <x:c r="C213" s="97" t="str">
        <x:v>5 MAY 1900; New York</x:v>
      </x:c>
      <x:c r="D213" s="97" t="str">
        <x:v>recorded</x:v>
      </x:c>
      <x:c r="E213" s="97" t="str">
        <x:v>2 JAN 1983; Camas, Clark, Washington</x:v>
      </x:c>
      <x:c r="F213" s="97" t="str">
        <x:v>recorded</x:v>
      </x:c>
      <x:c r="G213" s="97" t="str">
        <x:v>complete</x:v>
      </x:c>
      <x:c r="H213" s="97" t="str">
        <x:v>S26;S48</x:v>
      </x:c>
    </x:row>
    <x:row r="214">
      <x:c r="A214" s="97" t="str">
        <x:v>I219</x:v>
      </x:c>
      <x:c r="B214" s="97" t="str">
        <x:v>Frederick Heath Marsh</x:v>
      </x:c>
      <x:c r="C214" s="97" t="str">
        <x:v>DEC 1867; New York</x:v>
      </x:c>
      <x:c r="D214" s="97" t="str">
        <x:v>recorded</x:v>
      </x:c>
      <x:c r="E214" s="97" t="str">
        <x:v>ABT 22 AUG 1949; Rochester, Monroe, New York</x:v>
      </x:c>
      <x:c r="F214" s="97" t="str">
        <x:v>recorded</x:v>
      </x:c>
      <x:c r="G214" s="97" t="str">
        <x:v>complete</x:v>
      </x:c>
      <x:c r="H214" s="97" t="str">
        <x:v>S26;S48</x:v>
      </x:c>
    </x:row>
    <x:row r="215">
      <x:c r="A215" s="97" t="str">
        <x:v>I220</x:v>
      </x:c>
      <x:c r="B215" s="97" t="str">
        <x:v>Andrew J Marsh</x:v>
      </x:c>
      <x:c r="C215" s="97" t="str">
        <x:v>ABT 1829; New York</x:v>
      </x:c>
      <x:c r="D215" s="97" t="str">
        <x:v>recorded</x:v>
      </x:c>
      <x:c r="E215" s="97" t="str">
        <x:v>13 JUN 1917; Perry, Wyoming, New York</x:v>
      </x:c>
      <x:c r="F215" s="97" t="str">
        <x:v>recorded</x:v>
      </x:c>
      <x:c r="G215" s="97" t="str">
        <x:v>complete</x:v>
      </x:c>
      <x:c r="H215" s="97" t="str">
        <x:v>S26;S48</x:v>
      </x:c>
    </x:row>
    <x:row r="216">
      <x:c r="A216" s="97" t="str">
        <x:v>I221</x:v>
      </x:c>
      <x:c r="B216" s="97" t="str">
        <x:v>Malachi Marsh</x:v>
      </x:c>
      <x:c r="C216" s="97" t="str">
        <x:v>As reported: about 1807-1808; New York</x:v>
      </x:c>
      <x:c r="D216" s="97" t="str">
        <x:v>recorded</x:v>
      </x:c>
      <x:c r="E216" s="97" t="str"/>
      <x:c r="F216" s="97" t="str">
        <x:v>unresolved—no supported date found</x:v>
      </x:c>
      <x:c r="G216" s="97" t="str">
        <x:v>partial</x:v>
      </x:c>
      <x:c r="H216" s="97" t="str">
        <x:v>S26;S48</x:v>
      </x:c>
    </x:row>
    <x:row r="217">
      <x:c r="A217" s="97" t="str">
        <x:v>I222</x:v>
      </x:c>
      <x:c r="B217" s="97" t="str">
        <x:v>Mary Lane Marsh</x:v>
      </x:c>
      <x:c r="C217" s="97" t="str">
        <x:v>3 FEB 1807; Stewartstown, Coos, New Hampshire</x:v>
      </x:c>
      <x:c r="D217" s="97" t="str">
        <x:v>recorded</x:v>
      </x:c>
      <x:c r="E217" s="97" t="str">
        <x:v>AFT 1860; exact death unproved</x:v>
      </x:c>
      <x:c r="F217" s="97" t="str">
        <x:v>recorded</x:v>
      </x:c>
      <x:c r="G217" s="97" t="str">
        <x:v>complete</x:v>
      </x:c>
      <x:c r="H217" s="97" t="str">
        <x:v>S26</x:v>
      </x:c>
    </x:row>
    <x:row r="218">
      <x:c r="A218" s="97" t="str">
        <x:v>I223</x:v>
      </x:c>
      <x:c r="B218" s="97" t="str">
        <x:v>Stephen Lane</x:v>
      </x:c>
      <x:c r="C218" s="97" t="str">
        <x:v>8 DEC 1771; Stratham, New Hampshire</x:v>
      </x:c>
      <x:c r="D218" s="97" t="str">
        <x:v>recorded</x:v>
      </x:c>
      <x:c r="E218" s="97" t="str">
        <x:v>6 DEC 1840; Moscow (now Leicester), Livingston, New York (compiled genealogy)</x:v>
      </x:c>
      <x:c r="F218" s="97" t="str">
        <x:v>recorded</x:v>
      </x:c>
      <x:c r="G218" s="97" t="str">
        <x:v>complete</x:v>
      </x:c>
      <x:c r="H218" s="97" t="str">
        <x:v>S26</x:v>
      </x:c>
    </x:row>
    <x:row r="219">
      <x:c r="A219" s="97" t="str">
        <x:v>I224</x:v>
      </x:c>
      <x:c r="B219" s="97" t="str">
        <x:v>Lois Currier Lane</x:v>
      </x:c>
      <x:c r="C219" s="97" t="str">
        <x:v>As reported: date and place unknown</x:v>
      </x:c>
      <x:c r="D219" s="97" t="str">
        <x:v>place or placeholder only—date unresolved</x:v>
      </x:c>
      <x:c r="E219" s="97" t="str">
        <x:v>21 AUG 1859</x:v>
      </x:c>
      <x:c r="F219" s="97" t="str">
        <x:v>recorded</x:v>
      </x:c>
      <x:c r="G219" s="97" t="str">
        <x:v>partial</x:v>
      </x:c>
      <x:c r="H219" s="97" t="str">
        <x:v>S26</x:v>
      </x:c>
    </x:row>
    <x:row r="220">
      <x:c r="A220" s="97" t="str">
        <x:v>I225</x:v>
      </x:c>
      <x:c r="B220" s="97" t="str">
        <x:v>Joshua Lane</x:v>
      </x:c>
      <x:c r="C220" s="97" t="str">
        <x:v>9 FEB 1748; Stratham, New Hampshire</x:v>
      </x:c>
      <x:c r="D220" s="97" t="str">
        <x:v>recorded</x:v>
      </x:c>
      <x:c r="E220" s="97" t="str">
        <x:v>28 OCT 1813; Stratham, New Hampshire (compiled genealogy)</x:v>
      </x:c>
      <x:c r="F220" s="97" t="str">
        <x:v>recorded</x:v>
      </x:c>
      <x:c r="G220" s="97" t="str">
        <x:v>complete</x:v>
      </x:c>
      <x:c r="H220" s="97" t="str">
        <x:v>S26</x:v>
      </x:c>
    </x:row>
    <x:row r="221">
      <x:c r="A221" s="97" t="str">
        <x:v>I226</x:v>
      </x:c>
      <x:c r="B221" s="97" t="str">
        <x:v>Hannah Tilton Lane</x:v>
      </x:c>
      <x:c r="C221" s="97" t="str">
        <x:v>28 JAN 1750; New Hampshire (compiled genealogy)</x:v>
      </x:c>
      <x:c r="D221" s="97" t="str">
        <x:v>recorded</x:v>
      </x:c>
      <x:c r="E221" s="97" t="str">
        <x:v>31 DEC 1841; New Hampshire (compiled genealogy)</x:v>
      </x:c>
      <x:c r="F221" s="97" t="str">
        <x:v>recorded</x:v>
      </x:c>
      <x:c r="G221" s="97" t="str">
        <x:v>complete</x:v>
      </x:c>
      <x:c r="H221" s="97" t="str">
        <x:v>S26</x:v>
      </x:c>
    </x:row>
    <x:row r="222">
      <x:c r="A222" s="97" t="str">
        <x:v>I227</x:v>
      </x:c>
      <x:c r="B222" s="97" t="str">
        <x:v>Samuel Lane</x:v>
      </x:c>
      <x:c r="C222" s="97" t="str">
        <x:v>6 OCT 1718; Hampton, New Hampshire</x:v>
      </x:c>
      <x:c r="D222" s="97" t="str">
        <x:v>recorded</x:v>
      </x:c>
      <x:c r="E222" s="97" t="str">
        <x:v>29 DEC 1806; Stratham, New Hampshire (compiled genealogy)</x:v>
      </x:c>
      <x:c r="F222" s="97" t="str">
        <x:v>recorded</x:v>
      </x:c>
      <x:c r="G222" s="97" t="str">
        <x:v>complete</x:v>
      </x:c>
      <x:c r="H222" s="97" t="str">
        <x:v>S26</x:v>
      </x:c>
    </x:row>
    <x:row r="223">
      <x:c r="A223" s="97" t="str">
        <x:v>I228</x:v>
      </x:c>
      <x:c r="B223" s="97" t="str">
        <x:v>Mary James Lane</x:v>
      </x:c>
      <x:c r="C223" s="97" t="str">
        <x:v>3 MAR 1722; Hampton, New Hampshire</x:v>
      </x:c>
      <x:c r="D223" s="97" t="str">
        <x:v>recorded</x:v>
      </x:c>
      <x:c r="E223" s="97" t="str">
        <x:v>30 JAN 1769; Stratham, New Hampshire (compiled genealogy)</x:v>
      </x:c>
      <x:c r="F223" s="97" t="str">
        <x:v>recorded</x:v>
      </x:c>
      <x:c r="G223" s="97" t="str">
        <x:v>complete</x:v>
      </x:c>
      <x:c r="H223" s="97" t="str">
        <x:v>S26</x:v>
      </x:c>
    </x:row>
    <x:row r="224">
      <x:c r="A224" s="97" t="str">
        <x:v>I229</x:v>
      </x:c>
      <x:c r="B224" s="97" t="str">
        <x:v>Joshua Lane</x:v>
      </x:c>
      <x:c r="C224" s="97" t="str">
        <x:v>6 JUN 1696; New Hampshire</x:v>
      </x:c>
      <x:c r="D224" s="97" t="str">
        <x:v>recorded</x:v>
      </x:c>
      <x:c r="E224" s="97" t="str">
        <x:v>1766</x:v>
      </x:c>
      <x:c r="F224" s="97" t="str">
        <x:v>recorded</x:v>
      </x:c>
      <x:c r="G224" s="97" t="str">
        <x:v>complete</x:v>
      </x:c>
      <x:c r="H224" s="97" t="str">
        <x:v>S26</x:v>
      </x:c>
    </x:row>
    <x:row r="225">
      <x:c r="A225" s="97" t="str">
        <x:v>I230</x:v>
      </x:c>
      <x:c r="B225" s="97" t="str">
        <x:v>Bathsheba Robie Lane</x:v>
      </x:c>
      <x:c r="C225" s="97" t="str">
        <x:v>2 AUG 1696; Hampton, Rockingham, New Hampshire</x:v>
      </x:c>
      <x:c r="D225" s="97" t="str">
        <x:v>recorded</x:v>
      </x:c>
      <x:c r="E225" s="97" t="str">
        <x:v>13 APR 1765; Hampton, Rockingham, New Hampshire</x:v>
      </x:c>
      <x:c r="F225" s="97" t="str">
        <x:v>recorded</x:v>
      </x:c>
      <x:c r="G225" s="97" t="str">
        <x:v>complete</x:v>
      </x:c>
      <x:c r="H225" s="97" t="str">
        <x:v>S26;S46</x:v>
      </x:c>
    </x:row>
    <x:row r="226">
      <x:c r="A226" s="97" t="str">
        <x:v>I231</x:v>
      </x:c>
      <x:c r="B226" s="97" t="str">
        <x:v>Benjamin James</x:v>
      </x:c>
      <x:c r="C226" s="97" t="str">
        <x:v>As reported: date and place unknown</x:v>
      </x:c>
      <x:c r="D226" s="97" t="str">
        <x:v>place or placeholder only—date unresolved</x:v>
      </x:c>
      <x:c r="E226" s="97" t="str"/>
      <x:c r="F226" s="97" t="str">
        <x:v>unresolved—no supported date found</x:v>
      </x:c>
      <x:c r="G226" s="97" t="str">
        <x:v>unresolved</x:v>
      </x:c>
      <x:c r="H226" s="97" t="str">
        <x:v>S26</x:v>
      </x:c>
    </x:row>
    <x:row r="227">
      <x:c r="A227" s="97" t="str">
        <x:v>I232</x:v>
      </x:c>
      <x:c r="B227" s="97" t="str">
        <x:v>Susanna James</x:v>
      </x:c>
      <x:c r="C227" s="97" t="str">
        <x:v>As reported: date and place unknown</x:v>
      </x:c>
      <x:c r="D227" s="97" t="str">
        <x:v>place or placeholder only—date unresolved</x:v>
      </x:c>
      <x:c r="E227" s="97" t="str"/>
      <x:c r="F227" s="97" t="str">
        <x:v>unresolved—no supported date found</x:v>
      </x:c>
      <x:c r="G227" s="97" t="str">
        <x:v>unresolved</x:v>
      </x:c>
      <x:c r="H227" s="97" t="str">
        <x:v>S26</x:v>
      </x:c>
    </x:row>
    <x:row r="228">
      <x:c r="A228" s="97" t="str">
        <x:v>I233</x:v>
      </x:c>
      <x:c r="B228" s="97" t="str">
        <x:v>William Lane</x:v>
      </x:c>
      <x:c r="C228" s="97" t="str">
        <x:v>As reported: date and place unknown</x:v>
      </x:c>
      <x:c r="D228" s="97" t="str">
        <x:v>place or placeholder only—date unresolved</x:v>
      </x:c>
      <x:c r="E228" s="97" t="str"/>
      <x:c r="F228" s="97" t="str">
        <x:v>unresolved—no supported date found</x:v>
      </x:c>
      <x:c r="G228" s="97" t="str">
        <x:v>unresolved</x:v>
      </x:c>
      <x:c r="H228" s="97" t="str">
        <x:v>S26</x:v>
      </x:c>
    </x:row>
    <x:row r="229">
      <x:c r="A229" s="97" t="str">
        <x:v>I234</x:v>
      </x:c>
      <x:c r="B229" s="97" t="str">
        <x:v>Sarah Lane</x:v>
      </x:c>
      <x:c r="C229" s="97" t="str">
        <x:v>As reported: date and place unknown</x:v>
      </x:c>
      <x:c r="D229" s="97" t="str">
        <x:v>place or placeholder only—date unresolved</x:v>
      </x:c>
      <x:c r="E229" s="97" t="str"/>
      <x:c r="F229" s="97" t="str">
        <x:v>unresolved—no supported date found</x:v>
      </x:c>
      <x:c r="G229" s="97" t="str">
        <x:v>unresolved</x:v>
      </x:c>
      <x:c r="H229" s="97" t="str">
        <x:v>S26</x:v>
      </x:c>
    </x:row>
    <x:row r="230">
      <x:c r="A230" s="97" t="str">
        <x:v>I235</x:v>
      </x:c>
      <x:c r="B230" s="97" t="str">
        <x:v>Amelia Whitney Marsh</x:v>
      </x:c>
      <x:c r="C230" s="97" t="str">
        <x:v>ABT 1845; New York</x:v>
      </x:c>
      <x:c r="D230" s="97" t="str">
        <x:v>recorded</x:v>
      </x:c>
      <x:c r="E230" s="97" t="str">
        <x:v>1894</x:v>
      </x:c>
      <x:c r="F230" s="97" t="str">
        <x:v>recorded</x:v>
      </x:c>
      <x:c r="G230" s="97" t="str">
        <x:v>complete</x:v>
      </x:c>
      <x:c r="H230" s="97" t="str">
        <x:v>S26</x:v>
      </x:c>
    </x:row>
    <x:row r="231">
      <x:c r="A231" s="97" t="str">
        <x:v>I236</x:v>
      </x:c>
      <x:c r="B231" s="97" t="str">
        <x:v>Alvin L Whitney</x:v>
      </x:c>
      <x:c r="C231" s="97" t="str">
        <x:v>14 SEP 1803; Granville, Washington, New York (compiled genealogy)</x:v>
      </x:c>
      <x:c r="D231" s="97" t="str">
        <x:v>recorded</x:v>
      </x:c>
      <x:c r="E231" s="97" t="str">
        <x:v>5 FEB 1883; Pavilion, Genesee, New York</x:v>
      </x:c>
      <x:c r="F231" s="97" t="str">
        <x:v>recorded</x:v>
      </x:c>
      <x:c r="G231" s="97" t="str">
        <x:v>complete</x:v>
      </x:c>
      <x:c r="H231" s="97" t="str">
        <x:v>S26;S48</x:v>
      </x:c>
    </x:row>
    <x:row r="232">
      <x:c r="A232" s="97" t="str">
        <x:v>I237</x:v>
      </x:c>
      <x:c r="B232" s="97" t="str">
        <x:v>James Whitney</x:v>
      </x:c>
      <x:c r="C232" s="97" t="str">
        <x:v>27 AUG 1779; Killingly, Windham, Connecticut (compiled genealogy)</x:v>
      </x:c>
      <x:c r="D232" s="97" t="str">
        <x:v>recorded</x:v>
      </x:c>
      <x:c r="E232" s="97" t="str">
        <x:v>MAR 1817</x:v>
      </x:c>
      <x:c r="F232" s="97" t="str">
        <x:v>recorded</x:v>
      </x:c>
      <x:c r="G232" s="97" t="str">
        <x:v>complete</x:v>
      </x:c>
      <x:c r="H232" s="97" t="str">
        <x:v>S26</x:v>
      </x:c>
    </x:row>
    <x:row r="233">
      <x:c r="A233" s="97" t="str">
        <x:v>I238</x:v>
      </x:c>
      <x:c r="B233" s="97" t="str">
        <x:v>Betsey Cook Whitney</x:v>
      </x:c>
      <x:c r="C233" s="97" t="str">
        <x:v>29 JUN 1809; New York</x:v>
      </x:c>
      <x:c r="D233" s="97" t="str">
        <x:v>recorded</x:v>
      </x:c>
      <x:c r="E233" s="97" t="str">
        <x:v>4 SEP 1889</x:v>
      </x:c>
      <x:c r="F233" s="97" t="str">
        <x:v>recorded</x:v>
      </x:c>
      <x:c r="G233" s="97" t="str">
        <x:v>complete</x:v>
      </x:c>
      <x:c r="H233" s="97" t="str">
        <x:v>S26</x:v>
      </x:c>
    </x:row>
    <x:row r="234">
      <x:c r="A234" s="97" t="str">
        <x:v>I239</x:v>
      </x:c>
      <x:c r="B234" s="97" t="str">
        <x:v>Levi Cook</x:v>
      </x:c>
      <x:c r="C234" s="97" t="str">
        <x:v>26 FEB 1774; New Marlborough, Berkshire, Massachusetts</x:v>
      </x:c>
      <x:c r="D234" s="97" t="str">
        <x:v>recorded</x:v>
      </x:c>
      <x:c r="E234" s="97" t="str">
        <x:v>1 FEB 1848; Pavilion, Genesee, New York (derivative lineage record)</x:v>
      </x:c>
      <x:c r="F234" s="97" t="str">
        <x:v>recorded</x:v>
      </x:c>
      <x:c r="G234" s="97" t="str">
        <x:v>complete</x:v>
      </x:c>
      <x:c r="H234" s="97" t="str">
        <x:v>S26</x:v>
      </x:c>
    </x:row>
    <x:row r="235">
      <x:c r="A235" s="97" t="str">
        <x:v>I240</x:v>
      </x:c>
      <x:c r="B235" s="97" t="str">
        <x:v>Betsey Brown Cook</x:v>
      </x:c>
      <x:c r="C235" s="97" t="str">
        <x:v>7 JAN 1779; New Marlborough, Berkshire, Massachusetts</x:v>
      </x:c>
      <x:c r="D235" s="97" t="str">
        <x:v>recorded</x:v>
      </x:c>
      <x:c r="E235" s="97" t="str">
        <x:v>25 MAR 1843; Pavilion, Genesee, New York (derivative lineage record)</x:v>
      </x:c>
      <x:c r="F235" s="97" t="str">
        <x:v>recorded</x:v>
      </x:c>
      <x:c r="G235" s="97" t="str">
        <x:v>complete</x:v>
      </x:c>
      <x:c r="H235" s="97" t="str">
        <x:v>S26</x:v>
      </x:c>
    </x:row>
    <x:row r="236">
      <x:c r="A236" s="97" t="str">
        <x:v>I241</x:v>
      </x:c>
      <x:c r="B236" s="97" t="str">
        <x:v>Hezekiah Cook</x:v>
      </x:c>
      <x:c r="C236" s="97" t="str">
        <x:v>ABT 1728</x:v>
      </x:c>
      <x:c r="D236" s="97" t="str">
        <x:v>recorded</x:v>
      </x:c>
      <x:c r="E236" s="97" t="str">
        <x:v>APR 1793; New Marlborough, Berkshire, Massachusetts</x:v>
      </x:c>
      <x:c r="F236" s="97" t="str">
        <x:v>recorded</x:v>
      </x:c>
      <x:c r="G236" s="97" t="str">
        <x:v>complete</x:v>
      </x:c>
      <x:c r="H236" s="97" t="str">
        <x:v>S26</x:v>
      </x:c>
    </x:row>
    <x:row r="237">
      <x:c r="A237" s="97" t="str">
        <x:v>I242</x:v>
      </x:c>
      <x:c r="B237" s="97" t="str">
        <x:v>Lydia Cook</x:v>
      </x:c>
      <x:c r="C237" s="97" t="str">
        <x:v>As reported: date and place unknown</x:v>
      </x:c>
      <x:c r="D237" s="97" t="str">
        <x:v>place or placeholder only—date unresolved</x:v>
      </x:c>
      <x:c r="E237" s="97" t="str"/>
      <x:c r="F237" s="97" t="str">
        <x:v>unresolved—no supported date found</x:v>
      </x:c>
      <x:c r="G237" s="97" t="str">
        <x:v>unresolved</x:v>
      </x:c>
      <x:c r="H237" s="97" t="str">
        <x:v>S26</x:v>
      </x:c>
    </x:row>
    <x:row r="238">
      <x:c r="A238" s="97" t="str">
        <x:v>I243</x:v>
      </x:c>
      <x:c r="B238" s="97" t="str">
        <x:v>Perez Brown</x:v>
      </x:c>
      <x:c r="C238" s="97" t="str">
        <x:v>As reported: date and place unknown</x:v>
      </x:c>
      <x:c r="D238" s="97" t="str">
        <x:v>place or placeholder only—date unresolved</x:v>
      </x:c>
      <x:c r="E238" s="97" t="str"/>
      <x:c r="F238" s="97" t="str">
        <x:v>unresolved—no supported date found</x:v>
      </x:c>
      <x:c r="G238" s="97" t="str">
        <x:v>unresolved</x:v>
      </x:c>
      <x:c r="H238" s="97" t="str">
        <x:v>S26</x:v>
      </x:c>
    </x:row>
    <x:row r="239">
      <x:c r="A239" s="97" t="str">
        <x:v>I244</x:v>
      </x:c>
      <x:c r="B239" s="97" t="str">
        <x:v>Betty Brown</x:v>
      </x:c>
      <x:c r="C239" s="97" t="str">
        <x:v>As reported: date and place unknown</x:v>
      </x:c>
      <x:c r="D239" s="97" t="str">
        <x:v>place or placeholder only—date unresolved</x:v>
      </x:c>
      <x:c r="E239" s="97" t="str"/>
      <x:c r="F239" s="97" t="str">
        <x:v>unresolved—no supported date found</x:v>
      </x:c>
      <x:c r="G239" s="97" t="str">
        <x:v>unresolved</x:v>
      </x:c>
      <x:c r="H239" s="97" t="str">
        <x:v>S26</x:v>
      </x:c>
    </x:row>
    <x:row r="240">
      <x:c r="A240" s="97" t="str">
        <x:v>I245</x:v>
      </x:c>
      <x:c r="B240" s="97" t="str">
        <x:v>Joshua Cooke</x:v>
      </x:c>
      <x:c r="C240" s="97" t="str">
        <x:v>4 FEB 1682/83; Eastham, Barnstable, Massachusetts</x:v>
      </x:c>
      <x:c r="D240" s="97" t="str">
        <x:v>recorded</x:v>
      </x:c>
      <x:c r="E240" s="97" t="str">
        <x:v>BET 31 JUL 1737 AND 28 SEP 1746; probably Eastham, Barnstable, Massachusetts</x:v>
      </x:c>
      <x:c r="F240" s="97" t="str">
        <x:v>recorded</x:v>
      </x:c>
      <x:c r="G240" s="97" t="str">
        <x:v>complete</x:v>
      </x:c>
      <x:c r="H240" s="97" t="str">
        <x:v>S26;S46</x:v>
      </x:c>
    </x:row>
    <x:row r="241">
      <x:c r="A241" s="97" t="str">
        <x:v>I246</x:v>
      </x:c>
      <x:c r="B241" s="97" t="str">
        <x:v>Patience Doane</x:v>
      </x:c>
      <x:c r="C241" s="97" t="str">
        <x:v>APR 1682; Eastham, Barnstable, Massachusetts</x:v>
      </x:c>
      <x:c r="D241" s="97" t="str">
        <x:v>recorded</x:v>
      </x:c>
      <x:c r="E241" s="97" t="str">
        <x:v>AFT 28 SEP 1746; probably Middlesex County, Connecticut</x:v>
      </x:c>
      <x:c r="F241" s="97" t="str">
        <x:v>recorded</x:v>
      </x:c>
      <x:c r="G241" s="97" t="str">
        <x:v>complete</x:v>
      </x:c>
      <x:c r="H241" s="97" t="str">
        <x:v>S26;S46</x:v>
      </x:c>
    </x:row>
    <x:row r="242">
      <x:c r="A242" s="97" t="str">
        <x:v>I247</x:v>
      </x:c>
      <x:c r="B242" s="97" t="str">
        <x:v>Josiah Cooke</x:v>
      </x:c>
      <x:c r="C242" s="97" t="str">
        <x:v>ABT 1645; Plymouth or Eastham, Massachusetts (scholarly reconstruction)</x:v>
      </x:c>
      <x:c r="D242" s="97" t="str">
        <x:v>recorded</x:v>
      </x:c>
      <x:c r="E242" s="97" t="str">
        <x:v>31 JAN 1731/32; Eastham, Barnstable, Massachusetts</x:v>
      </x:c>
      <x:c r="F242" s="97" t="str">
        <x:v>recorded</x:v>
      </x:c>
      <x:c r="G242" s="97" t="str">
        <x:v>complete</x:v>
      </x:c>
      <x:c r="H242" s="97" t="str">
        <x:v>S26</x:v>
      </x:c>
    </x:row>
    <x:row r="243">
      <x:c r="A243" s="97" t="str">
        <x:v>I248</x:v>
      </x:c>
      <x:c r="B243" s="97" t="str">
        <x:v>Deborah Hopkins Cooke</x:v>
      </x:c>
      <x:c r="C243" s="97" t="str">
        <x:v>15 JUN 1648; Eastham, Barnstable, Massachusetts</x:v>
      </x:c>
      <x:c r="D243" s="97" t="str">
        <x:v>recorded</x:v>
      </x:c>
      <x:c r="E243" s="97" t="str">
        <x:v>BEF 7 DEC 1727; probably Eastham, Barnstable, Massachusetts</x:v>
      </x:c>
      <x:c r="F243" s="97" t="str">
        <x:v>recorded</x:v>
      </x:c>
      <x:c r="G243" s="97" t="str">
        <x:v>complete</x:v>
      </x:c>
      <x:c r="H243" s="97" t="str">
        <x:v>S26;S46</x:v>
      </x:c>
    </x:row>
    <x:row r="244">
      <x:c r="A244" s="97" t="str">
        <x:v>I249</x:v>
      </x:c>
      <x:c r="B244" s="97" t="str">
        <x:v>Ephraim Doane</x:v>
      </x:c>
      <x:c r="C244" s="97" t="str">
        <x:v>As reported: about 1642-1645; Plymouth Colony</x:v>
      </x:c>
      <x:c r="D244" s="97" t="str">
        <x:v>recorded</x:v>
      </x:c>
      <x:c r="E244" s="97" t="str">
        <x:v>BEF 19 APR 1700; Eastham, Barnstable, Massachusetts</x:v>
      </x:c>
      <x:c r="F244" s="97" t="str">
        <x:v>recorded</x:v>
      </x:c>
      <x:c r="G244" s="97" t="str">
        <x:v>complete</x:v>
      </x:c>
      <x:c r="H244" s="97" t="str">
        <x:v>S26</x:v>
      </x:c>
    </x:row>
    <x:row r="245">
      <x:c r="A245" s="97" t="str">
        <x:v>I250</x:v>
      </x:c>
      <x:c r="B245" s="97" t="str">
        <x:v>Mary Knowles Doane</x:v>
      </x:c>
      <x:c r="C245" s="97" t="str">
        <x:v>ABT 1644; Plymouth Colony</x:v>
      </x:c>
      <x:c r="D245" s="97" t="str">
        <x:v>recorded</x:v>
      </x:c>
      <x:c r="E245" s="97" t="str"/>
      <x:c r="F245" s="97" t="str">
        <x:v>unresolved—no supported date found</x:v>
      </x:c>
      <x:c r="G245" s="97" t="str">
        <x:v>partial</x:v>
      </x:c>
      <x:c r="H245" s="97" t="str">
        <x:v>S26</x:v>
      </x:c>
    </x:row>
    <x:row r="246">
      <x:c r="A246" s="97" t="str">
        <x:v>I251</x:v>
      </x:c>
      <x:c r="B246" s="97" t="str">
        <x:v>Giles Hopkins</x:v>
      </x:c>
      <x:c r="C246" s="97" t="str">
        <x:v>baptized 30 JAN 1607/08; Hursley, Hampshire, England</x:v>
      </x:c>
      <x:c r="D246" s="97" t="str">
        <x:v>recorded</x:v>
      </x:c>
      <x:c r="E246" s="97" t="str">
        <x:v>BET 5 MAR 1688/89 and 16 APR 1690; Eastham, Massachusetts</x:v>
      </x:c>
      <x:c r="F246" s="97" t="str">
        <x:v>recorded</x:v>
      </x:c>
      <x:c r="G246" s="97" t="str">
        <x:v>complete</x:v>
      </x:c>
      <x:c r="H246" s="97" t="str">
        <x:v>S26</x:v>
      </x:c>
    </x:row>
    <x:row r="247">
      <x:c r="A247" s="97" t="str">
        <x:v>I252</x:v>
      </x:c>
      <x:c r="B247" s="97" t="str">
        <x:v>Josiah Cooke Sr.</x:v>
      </x:c>
      <x:c r="C247" s="97" t="str">
        <x:v>ABT 1610; England</x:v>
      </x:c>
      <x:c r="D247" s="97" t="str">
        <x:v>recorded</x:v>
      </x:c>
      <x:c r="E247" s="97" t="str">
        <x:v>17 OCT 1673; Eastham, Barnstable, Massachusetts</x:v>
      </x:c>
      <x:c r="F247" s="97" t="str">
        <x:v>recorded</x:v>
      </x:c>
      <x:c r="G247" s="97" t="str">
        <x:v>complete</x:v>
      </x:c>
      <x:c r="H247" s="97" t="str">
        <x:v>S26</x:v>
      </x:c>
    </x:row>
    <x:row r="248">
      <x:c r="A248" s="97" t="str">
        <x:v>I253</x:v>
      </x:c>
      <x:c r="B248" s="97" t="str">
        <x:v>Elizabeth Ring Cooke</x:v>
      </x:c>
      <x:c r="C248" s="97" t="str">
        <x:v>As reported: about 1602-1603; England</x:v>
      </x:c>
      <x:c r="D248" s="97" t="str">
        <x:v>recorded</x:v>
      </x:c>
      <x:c r="E248" s="97" t="str">
        <x:v>BEF 3 MAY 1687; Eastham, Barnstable, Massachusetts</x:v>
      </x:c>
      <x:c r="F248" s="97" t="str">
        <x:v>recorded</x:v>
      </x:c>
      <x:c r="G248" s="97" t="str">
        <x:v>complete</x:v>
      </x:c>
      <x:c r="H248" s="97" t="str">
        <x:v>S26</x:v>
      </x:c>
    </x:row>
    <x:row r="249">
      <x:c r="A249" s="97" t="str">
        <x:v>I254</x:v>
      </x:c>
      <x:c r="B249" s="97" t="str">
        <x:v>Catherine Whelden Hopkins</x:v>
      </x:c>
      <x:c r="C249" s="97" t="str">
        <x:v>baptized 6 MAR 1616/17; Basford, Nottinghamshire, England</x:v>
      </x:c>
      <x:c r="D249" s="97" t="str">
        <x:v>recorded</x:v>
      </x:c>
      <x:c r="E249" s="97" t="str">
        <x:v>AFT 5 MAR 1688/89</x:v>
      </x:c>
      <x:c r="F249" s="97" t="str">
        <x:v>recorded</x:v>
      </x:c>
      <x:c r="G249" s="97" t="str">
        <x:v>complete</x:v>
      </x:c>
      <x:c r="H249" s="97" t="str">
        <x:v>S26</x:v>
      </x:c>
    </x:row>
    <x:row r="250">
      <x:c r="A250" s="97" t="str">
        <x:v>I255</x:v>
      </x:c>
      <x:c r="B250" s="97" t="str">
        <x:v>Stephen Hopkins</x:v>
      </x:c>
      <x:c r="C250" s="97" t="str">
        <x:v>ABT 1581; Hampshire, England</x:v>
      </x:c>
      <x:c r="D250" s="97" t="str">
        <x:v>recorded</x:v>
      </x:c>
      <x:c r="E250" s="97" t="str">
        <x:v>1644; Plymouth Colony</x:v>
      </x:c>
      <x:c r="F250" s="97" t="str">
        <x:v>recorded</x:v>
      </x:c>
      <x:c r="G250" s="97" t="str">
        <x:v>complete</x:v>
      </x:c>
      <x:c r="H250" s="97" t="str">
        <x:v>S26</x:v>
      </x:c>
    </x:row>
    <x:row r="251">
      <x:c r="A251" s="97" t="str">
        <x:v>I256</x:v>
      </x:c>
      <x:c r="B251" s="97" t="str">
        <x:v>Mary Hopkins</x:v>
      </x:c>
      <x:c r="C251" s="97" t="str">
        <x:v>As reported: date and place unknown</x:v>
      </x:c>
      <x:c r="D251" s="97" t="str">
        <x:v>place or placeholder only—date unresolved</x:v>
      </x:c>
      <x:c r="E251" s="97" t="str">
        <x:v>BEF 9 MAY 1613; Hursley, Hampshire, England</x:v>
      </x:c>
      <x:c r="F251" s="97" t="str">
        <x:v>recorded</x:v>
      </x:c>
      <x:c r="G251" s="97" t="str">
        <x:v>partial</x:v>
      </x:c>
      <x:c r="H251" s="97" t="str">
        <x:v>S26;S46</x:v>
      </x:c>
    </x:row>
    <x:row r="252">
      <x:c r="A252" s="97" t="str">
        <x:v>I257</x:v>
      </x:c>
      <x:c r="B252" s="97" t="str">
        <x:v>Gabriel Whelden</x:v>
      </x:c>
      <x:c r="C252" s="97" t="str">
        <x:v>As reported: date and place unknown</x:v>
      </x:c>
      <x:c r="D252" s="97" t="str">
        <x:v>place or placeholder only—date unresolved</x:v>
      </x:c>
      <x:c r="E252" s="97" t="str">
        <x:v>BET 11 FEB 1653/54 AND 4 APR 1654; Malden, Middlesex, Massachusetts</x:v>
      </x:c>
      <x:c r="F252" s="97" t="str">
        <x:v>recorded</x:v>
      </x:c>
      <x:c r="G252" s="97" t="str">
        <x:v>partial</x:v>
      </x:c>
      <x:c r="H252" s="97" t="str">
        <x:v>S26;S46</x:v>
      </x:c>
    </x:row>
    <x:row r="253">
      <x:c r="A253" s="97" t="str">
        <x:v>I258</x:v>
      </x:c>
      <x:c r="B253" s="97" t="str">
        <x:v>John Doane</x:v>
      </x:c>
      <x:c r="C253" s="97" t="str">
        <x:v>ABT 1590; England</x:v>
      </x:c>
      <x:c r="D253" s="97" t="str">
        <x:v>recorded</x:v>
      </x:c>
      <x:c r="E253" s="97" t="str">
        <x:v>21 FEB 1685/86; Eastham, Barnstable, Massachusetts</x:v>
      </x:c>
      <x:c r="F253" s="97" t="str">
        <x:v>recorded</x:v>
      </x:c>
      <x:c r="G253" s="97" t="str">
        <x:v>complete</x:v>
      </x:c>
      <x:c r="H253" s="97" t="str">
        <x:v>S26</x:v>
      </x:c>
    </x:row>
    <x:row r="254">
      <x:c r="A254" s="97" t="str">
        <x:v>I259</x:v>
      </x:c>
      <x:c r="B254" s="97" t="str">
        <x:v>Ann Doane</x:v>
      </x:c>
      <x:c r="C254" s="97" t="str">
        <x:v>As reported: date and place unknown</x:v>
      </x:c>
      <x:c r="D254" s="97" t="str">
        <x:v>place or placeholder only—date unresolved</x:v>
      </x:c>
      <x:c r="E254" s="97" t="str">
        <x:v>1 JUN 1654</x:v>
      </x:c>
      <x:c r="F254" s="97" t="str">
        <x:v>recorded</x:v>
      </x:c>
      <x:c r="G254" s="97" t="str">
        <x:v>partial</x:v>
      </x:c>
      <x:c r="H254" s="97" t="str">
        <x:v>S26</x:v>
      </x:c>
    </x:row>
    <x:row r="255">
      <x:c r="A255" s="97" t="str">
        <x:v>I260</x:v>
      </x:c>
      <x:c r="B255" s="97" t="str">
        <x:v>Richard Knowles</x:v>
      </x:c>
      <x:c r="C255" s="97" t="str">
        <x:v>ABT 1615; England</x:v>
      </x:c>
      <x:c r="D255" s="97" t="str">
        <x:v>recorded</x:v>
      </x:c>
      <x:c r="E255" s="97" t="str">
        <x:v>BET 1670 and 1675; Eastham, Barnstable, Massachusetts</x:v>
      </x:c>
      <x:c r="F255" s="97" t="str">
        <x:v>recorded</x:v>
      </x:c>
      <x:c r="G255" s="97" t="str">
        <x:v>complete</x:v>
      </x:c>
      <x:c r="H255" s="97" t="str">
        <x:v>S26</x:v>
      </x:c>
    </x:row>
    <x:row r="256">
      <x:c r="A256" s="97" t="str">
        <x:v>I261</x:v>
      </x:c>
      <x:c r="B256" s="97" t="str">
        <x:v>Ruth Bower Knowles</x:v>
      </x:c>
      <x:c r="C256" s="97" t="str">
        <x:v>As reported: England; date unknown</x:v>
      </x:c>
      <x:c r="D256" s="97" t="str">
        <x:v>place or placeholder only—date unresolved</x:v>
      </x:c>
      <x:c r="E256" s="97" t="str">
        <x:v>ABT 1687; Massachusetts</x:v>
      </x:c>
      <x:c r="F256" s="97" t="str">
        <x:v>recorded</x:v>
      </x:c>
      <x:c r="G256" s="97" t="str">
        <x:v>partial</x:v>
      </x:c>
      <x:c r="H256" s="97" t="str">
        <x:v>S26</x:v>
      </x:c>
    </x:row>
    <x:row r="257">
      <x:c r="A257" s="97" t="str">
        <x:v>I262</x:v>
      </x:c>
      <x:c r="B257" s="97" t="str">
        <x:v>George Bower</x:v>
      </x:c>
      <x:c r="C257" s="97" t="str">
        <x:v>As reported: England; date unknown</x:v>
      </x:c>
      <x:c r="D257" s="97" t="str">
        <x:v>place or placeholder only—date unresolved</x:v>
      </x:c>
      <x:c r="E257" s="97" t="str">
        <x:v>1656; Massachusetts (secondary)</x:v>
      </x:c>
      <x:c r="F257" s="97" t="str">
        <x:v>recorded</x:v>
      </x:c>
      <x:c r="G257" s="97" t="str">
        <x:v>partial</x:v>
      </x:c>
      <x:c r="H257" s="97" t="str">
        <x:v>S26</x:v>
      </x:c>
    </x:row>
    <x:row r="258">
      <x:c r="A258" s="97" t="str">
        <x:v>I263</x:v>
      </x:c>
      <x:c r="B258" s="97" t="str">
        <x:v>Barbara Bower</x:v>
      </x:c>
      <x:c r="C258" s="97" t="str">
        <x:v>As reported: England; date unknown</x:v>
      </x:c>
      <x:c r="D258" s="97" t="str">
        <x:v>place or placeholder only—date unresolved</x:v>
      </x:c>
      <x:c r="E258" s="97" t="str">
        <x:v>25 MAR 1644; Cambridge, Massachusetts (secondary)</x:v>
      </x:c>
      <x:c r="F258" s="97" t="str">
        <x:v>recorded</x:v>
      </x:c>
      <x:c r="G258" s="97" t="str">
        <x:v>partial</x:v>
      </x:c>
      <x:c r="H258" s="97" t="str">
        <x:v>S26</x:v>
      </x:c>
    </x:row>
    <x:row r="259">
      <x:c r="A259" s="97" t="str">
        <x:v>I264</x:v>
      </x:c>
      <x:c r="B259" s="97" t="str">
        <x:v>Carrie E McNaughton Marsh</x:v>
      </x:c>
      <x:c r="C259" s="97" t="str">
        <x:v>APR 1870; Caledonia, Livingston, New York</x:v>
      </x:c>
      <x:c r="D259" s="97" t="str">
        <x:v>recorded</x:v>
      </x:c>
      <x:c r="E259" s="97" t="str">
        <x:v>9 JUL 1918; Perry, Wyoming, New York</x:v>
      </x:c>
      <x:c r="F259" s="97" t="str">
        <x:v>recorded</x:v>
      </x:c>
      <x:c r="G259" s="97" t="str">
        <x:v>complete</x:v>
      </x:c>
      <x:c r="H259" s="97" t="str">
        <x:v>S26</x:v>
      </x:c>
    </x:row>
    <x:row r="260">
      <x:c r="A260" s="97" t="str">
        <x:v>I265</x:v>
      </x:c>
      <x:c r="B260" s="97" t="str">
        <x:v>Peter William McNaughton</x:v>
      </x:c>
      <x:c r="C260" s="97" t="str">
        <x:v>14 OCT 1834; Caledonia, Livingston, New York</x:v>
      </x:c>
      <x:c r="D260" s="97" t="str">
        <x:v>recorded</x:v>
      </x:c>
      <x:c r="E260" s="97" t="str">
        <x:v>22 JAN 1895; York, Livingston, New York</x:v>
      </x:c>
      <x:c r="F260" s="97" t="str">
        <x:v>recorded</x:v>
      </x:c>
      <x:c r="G260" s="97" t="str">
        <x:v>complete</x:v>
      </x:c>
      <x:c r="H260" s="97" t="str">
        <x:v>S26;S48</x:v>
      </x:c>
    </x:row>
    <x:row r="261">
      <x:c r="A261" s="97" t="str">
        <x:v>I266</x:v>
      </x:c>
      <x:c r="B261" s="97" t="str">
        <x:v>William McNaughton</x:v>
      </x:c>
      <x:c r="C261" s="97" t="str">
        <x:v>ABT 1804; New York</x:v>
      </x:c>
      <x:c r="D261" s="97" t="str">
        <x:v>recorded</x:v>
      </x:c>
      <x:c r="E261" s="97" t="str">
        <x:v>BEF 1855</x:v>
      </x:c>
      <x:c r="F261" s="97" t="str">
        <x:v>recorded</x:v>
      </x:c>
      <x:c r="G261" s="97" t="str">
        <x:v>complete</x:v>
      </x:c>
      <x:c r="H261" s="97" t="str">
        <x:v>S26;S48</x:v>
      </x:c>
    </x:row>
    <x:row r="262">
      <x:c r="A262" s="97" t="str">
        <x:v>I267</x:v>
      </x:c>
      <x:c r="B262" s="97" t="str">
        <x:v>Relief Gibbs McNaughton</x:v>
      </x:c>
      <x:c r="C262" s="97" t="str">
        <x:v>As reported: about 1805-1806; New York</x:v>
      </x:c>
      <x:c r="D262" s="97" t="str">
        <x:v>recorded</x:v>
      </x:c>
      <x:c r="E262" s="97" t="str"/>
      <x:c r="F262" s="97" t="str">
        <x:v>unresolved—no supported date found</x:v>
      </x:c>
      <x:c r="G262" s="97" t="str">
        <x:v>partial</x:v>
      </x:c>
      <x:c r="H262" s="97" t="str">
        <x:v>S26</x:v>
      </x:c>
    </x:row>
    <x:row r="263">
      <x:c r="A263" s="97" t="str">
        <x:v>I268</x:v>
      </x:c>
      <x:c r="B263" s="97" t="str">
        <x:v>Mary A McNaughton</x:v>
      </x:c>
      <x:c r="C263" s="97" t="str">
        <x:v>As reported: about 1841-1846; New York</x:v>
      </x:c>
      <x:c r="D263" s="97" t="str">
        <x:v>recorded</x:v>
      </x:c>
      <x:c r="E263" s="97" t="str">
        <x:v>17 DEC 1919; Caledonia, Livingston, New York</x:v>
      </x:c>
      <x:c r="F263" s="97" t="str">
        <x:v>recorded</x:v>
      </x:c>
      <x:c r="G263" s="97" t="str">
        <x:v>complete</x:v>
      </x:c>
      <x:c r="H263" s="97" t="str">
        <x:v>S26</x:v>
      </x:c>
    </x:row>
    <x:row r="264">
      <x:c r="A264" s="97" t="str">
        <x:v>I269</x:v>
      </x:c>
      <x:c r="B264" s="97" t="str">
        <x:v>Doris Ann Vollmer</x:v>
      </x:c>
      <x:c r="C264" s="97" t="str">
        <x:v>ABT 1938; Ohio</x:v>
      </x:c>
      <x:c r="D264" s="97" t="str">
        <x:v>recorded</x:v>
      </x:c>
      <x:c r="E264" s="97" t="str"/>
      <x:c r="F264" s="97" t="str">
        <x:v>not researched—privacy limited</x:v>
      </x:c>
      <x:c r="G264" s="97" t="str">
        <x:v>partial</x:v>
      </x:c>
      <x:c r="H264" s="97" t="str">
        <x:v>S27</x:v>
      </x:c>
    </x:row>
    <x:row r="265">
      <x:c r="A265" s="97" t="str">
        <x:v>I270</x:v>
      </x:c>
      <x:c r="B265" s="97" t="str">
        <x:v>Marie Anna Vollmer Seeley</x:v>
      </x:c>
      <x:c r="C265" s="97" t="str">
        <x:v>3 APR 1915; Roosevelt, Nassau, New York</x:v>
      </x:c>
      <x:c r="D265" s="97" t="str">
        <x:v>recorded</x:v>
      </x:c>
      <x:c r="E265" s="97" t="str">
        <x:v>27 NOV 2005; Freeport, Nassau, New York</x:v>
      </x:c>
      <x:c r="F265" s="97" t="str">
        <x:v>recorded</x:v>
      </x:c>
      <x:c r="G265" s="97" t="str">
        <x:v>complete</x:v>
      </x:c>
      <x:c r="H265" s="97" t="str">
        <x:v>S27;S48</x:v>
      </x:c>
    </x:row>
    <x:row r="266">
      <x:c r="A266" s="97" t="str">
        <x:v>I271</x:v>
      </x:c>
      <x:c r="B266" s="97" t="str">
        <x:v>Lester Allan Seeley</x:v>
      </x:c>
      <x:c r="C266" s="97" t="str">
        <x:v>27 JUN 1910; Change Islands, Newfoundland</x:v>
      </x:c>
      <x:c r="D266" s="97" t="str">
        <x:v>recorded</x:v>
      </x:c>
      <x:c r="E266" s="97" t="str">
        <x:v>FEB 1983; Freeport, Nassau, New York</x:v>
      </x:c>
      <x:c r="F266" s="97" t="str">
        <x:v>recorded</x:v>
      </x:c>
      <x:c r="G266" s="97" t="str">
        <x:v>complete</x:v>
      </x:c>
      <x:c r="H266" s="97" t="str">
        <x:v>S27;S48</x:v>
      </x:c>
    </x:row>
    <x:row r="267">
      <x:c r="A267" s="97" t="str">
        <x:v>I272</x:v>
      </x:c>
      <x:c r="B267" s="97" t="str">
        <x:v>James Seeley</x:v>
      </x:c>
      <x:c r="C267" s="97" t="str">
        <x:v>As reported: about 1937-1938; New York</x:v>
      </x:c>
      <x:c r="D267" s="97" t="str">
        <x:v>recorded</x:v>
      </x:c>
      <x:c r="E267" s="97" t="str"/>
      <x:c r="F267" s="97" t="str">
        <x:v>not researched—privacy limited</x:v>
      </x:c>
      <x:c r="G267" s="97" t="str">
        <x:v>partial</x:v>
      </x:c>
      <x:c r="H267" s="97" t="str">
        <x:v>S27</x:v>
      </x:c>
    </x:row>
    <x:row r="268">
      <x:c r="A268" s="97" t="str">
        <x:v>I273</x:v>
      </x:c>
      <x:c r="B268" s="97" t="str">
        <x:v>John Seeley</x:v>
      </x:c>
      <x:c r="C268" s="97" t="str">
        <x:v>As reported: about 1940-1941; New York</x:v>
      </x:c>
      <x:c r="D268" s="97" t="str">
        <x:v>recorded</x:v>
      </x:c>
      <x:c r="E268" s="97" t="str"/>
      <x:c r="F268" s="97" t="str">
        <x:v>not researched—privacy limited</x:v>
      </x:c>
      <x:c r="G268" s="97" t="str">
        <x:v>partial</x:v>
      </x:c>
      <x:c r="H268" s="97" t="str">
        <x:v>S27</x:v>
      </x:c>
    </x:row>
    <x:row r="269">
      <x:c r="A269" s="97" t="str">
        <x:v>I274</x:v>
      </x:c>
      <x:c r="B269" s="97" t="str">
        <x:v>Mildred E Marsh Gutelius</x:v>
      </x:c>
      <x:c r="C269" s="97" t="str">
        <x:v>18 DEC 1890; New York</x:v>
      </x:c>
      <x:c r="D269" s="97" t="str">
        <x:v>recorded</x:v>
      </x:c>
      <x:c r="E269" s="97" t="str">
        <x:v>APR 1976</x:v>
      </x:c>
      <x:c r="F269" s="97" t="str">
        <x:v>recorded</x:v>
      </x:c>
      <x:c r="G269" s="97" t="str">
        <x:v>complete</x:v>
      </x:c>
      <x:c r="H269" s="97" t="str">
        <x:v>S27</x:v>
      </x:c>
    </x:row>
    <x:row r="270">
      <x:c r="A270" s="97" t="str">
        <x:v>I275</x:v>
      </x:c>
      <x:c r="B270" s="97" t="str">
        <x:v>Harry K Gutelius</x:v>
      </x:c>
      <x:c r="C270" s="97" t="str">
        <x:v>1889; New York</x:v>
      </x:c>
      <x:c r="D270" s="97" t="str">
        <x:v>recorded</x:v>
      </x:c>
      <x:c r="E270" s="97" t="str">
        <x:v>1962</x:v>
      </x:c>
      <x:c r="F270" s="97" t="str">
        <x:v>recorded</x:v>
      </x:c>
      <x:c r="G270" s="97" t="str">
        <x:v>complete</x:v>
      </x:c>
      <x:c r="H270" s="97" t="str">
        <x:v>S27;S46</x:v>
      </x:c>
    </x:row>
    <x:row r="271">
      <x:c r="A271" s="97" t="str">
        <x:v>I276</x:v>
      </x:c>
      <x:c r="B271" s="97" t="str">
        <x:v>Eileen Gutelius Eaton</x:v>
      </x:c>
      <x:c r="C271" s="97" t="str">
        <x:v>8 OCT 1914; Perry, Wyoming, New York</x:v>
      </x:c>
      <x:c r="D271" s="97" t="str">
        <x:v>recorded</x:v>
      </x:c>
      <x:c r="E271" s="97" t="str">
        <x:v>11 MAY 1996</x:v>
      </x:c>
      <x:c r="F271" s="97" t="str">
        <x:v>recorded</x:v>
      </x:c>
      <x:c r="G271" s="97" t="str">
        <x:v>complete</x:v>
      </x:c>
      <x:c r="H271" s="97" t="str">
        <x:v>S27</x:v>
      </x:c>
    </x:row>
    <x:row r="272">
      <x:c r="A272" s="97" t="str">
        <x:v>I277</x:v>
      </x:c>
      <x:c r="B272" s="97" t="str">
        <x:v>Ronald McNaughton Marsh</x:v>
      </x:c>
      <x:c r="C272" s="97" t="str">
        <x:v>10 SEP 1894; New York</x:v>
      </x:c>
      <x:c r="D272" s="97" t="str">
        <x:v>recorded</x:v>
      </x:c>
      <x:c r="E272" s="97" t="str">
        <x:v>31 MAR 1967; Simsbury, Hartford, Connecticut</x:v>
      </x:c>
      <x:c r="F272" s="97" t="str">
        <x:v>recorded</x:v>
      </x:c>
      <x:c r="G272" s="97" t="str">
        <x:v>complete</x:v>
      </x:c>
      <x:c r="H272" s="97" t="str">
        <x:v>S27</x:v>
      </x:c>
    </x:row>
    <x:row r="273">
      <x:c r="A273" s="97" t="str">
        <x:v>I278</x:v>
      </x:c>
      <x:c r="B273" s="97" t="str">
        <x:v>Eva C St Martin Marsh</x:v>
      </x:c>
      <x:c r="C273" s="97" t="str">
        <x:v>ABT 1896; Connecticut</x:v>
      </x:c>
      <x:c r="D273" s="97" t="str">
        <x:v>recorded</x:v>
      </x:c>
      <x:c r="E273" s="97" t="str">
        <x:v>BEF 1940</x:v>
      </x:c>
      <x:c r="F273" s="97" t="str">
        <x:v>recorded</x:v>
      </x:c>
      <x:c r="G273" s="97" t="str">
        <x:v>complete</x:v>
      </x:c>
      <x:c r="H273" s="97" t="str">
        <x:v>S27</x:v>
      </x:c>
    </x:row>
    <x:row r="274">
      <x:c r="A274" s="97" t="str">
        <x:v>I279</x:v>
      </x:c>
      <x:c r="B274" s="97" t="str">
        <x:v>Dorothy Jane Marsh Kidwell</x:v>
      </x:c>
      <x:c r="C274" s="97" t="str">
        <x:v>30 JAN 1921; Perry, Wyoming, New York</x:v>
      </x:c>
      <x:c r="D274" s="97" t="str">
        <x:v>recorded</x:v>
      </x:c>
      <x:c r="E274" s="97" t="str">
        <x:v>28 FEB 1998</x:v>
      </x:c>
      <x:c r="F274" s="97" t="str">
        <x:v>recorded</x:v>
      </x:c>
      <x:c r="G274" s="97" t="str">
        <x:v>complete</x:v>
      </x:c>
      <x:c r="H274" s="97" t="str">
        <x:v>S27</x:v>
      </x:c>
    </x:row>
    <x:row r="275">
      <x:c r="A275" s="97" t="str">
        <x:v>I280</x:v>
      </x:c>
      <x:c r="B275" s="97" t="str">
        <x:v>Robert James Marsh</x:v>
      </x:c>
      <x:c r="C275" s="97" t="str">
        <x:v>13 MAY 1923; Perry, Wyoming, New York</x:v>
      </x:c>
      <x:c r="D275" s="97" t="str">
        <x:v>recorded</x:v>
      </x:c>
      <x:c r="E275" s="97" t="str">
        <x:v>16 OCT 2008</x:v>
      </x:c>
      <x:c r="F275" s="97" t="str">
        <x:v>recorded</x:v>
      </x:c>
      <x:c r="G275" s="97" t="str">
        <x:v>complete</x:v>
      </x:c>
      <x:c r="H275" s="97" t="str">
        <x:v>S27</x:v>
      </x:c>
    </x:row>
    <x:row r="276">
      <x:c r="A276" s="97" t="str">
        <x:v>I281</x:v>
      </x:c>
      <x:c r="B276" s="97" t="str">
        <x:v>Ronald Louis Marsh</x:v>
      </x:c>
      <x:c r="C276" s="97" t="str">
        <x:v>21 OCT 1927; Simsbury, Hartford, Connecticut</x:v>
      </x:c>
      <x:c r="D276" s="97" t="str">
        <x:v>recorded</x:v>
      </x:c>
      <x:c r="E276" s="97" t="str">
        <x:v>18 MAY 2019</x:v>
      </x:c>
      <x:c r="F276" s="97" t="str">
        <x:v>recorded</x:v>
      </x:c>
      <x:c r="G276" s="97" t="str">
        <x:v>complete</x:v>
      </x:c>
      <x:c r="H276" s="97" t="str">
        <x:v>S27</x:v>
      </x:c>
    </x:row>
    <x:row r="277">
      <x:c r="A277" s="97" t="str">
        <x:v>I282</x:v>
      </x:c>
      <x:c r="B277" s="97" t="str">
        <x:v>Frederick Gottlieb Heinrich Vollmer</x:v>
      </x:c>
      <x:c r="C277" s="97" t="str">
        <x:v>5 OCT 1873; Bremen, Germany</x:v>
      </x:c>
      <x:c r="D277" s="97" t="str">
        <x:v>recorded</x:v>
      </x:c>
      <x:c r="E277" s="97" t="str">
        <x:v>10 MAR 1917; Queens, New York</x:v>
      </x:c>
      <x:c r="F277" s="97" t="str">
        <x:v>recorded</x:v>
      </x:c>
      <x:c r="G277" s="97" t="str">
        <x:v>complete</x:v>
      </x:c>
      <x:c r="H277" s="97" t="str">
        <x:v>S27;S48</x:v>
      </x:c>
    </x:row>
    <x:row r="278">
      <x:c r="A278" s="97" t="str">
        <x:v>I283</x:v>
      </x:c>
      <x:c r="B278" s="97" t="str">
        <x:v>Charles Marsh</x:v>
      </x:c>
      <x:c r="C278" s="97" t="str">
        <x:v>ABT 1870; New York</x:v>
      </x:c>
      <x:c r="D278" s="97" t="str">
        <x:v>recorded</x:v>
      </x:c>
      <x:c r="E278" s="97" t="str">
        <x:v>1892</x:v>
      </x:c>
      <x:c r="F278" s="97" t="str">
        <x:v>recorded</x:v>
      </x:c>
      <x:c r="G278" s="97" t="str">
        <x:v>complete</x:v>
      </x:c>
      <x:c r="H278" s="97" t="str">
        <x:v>S27</x:v>
      </x:c>
    </x:row>
    <x:row r="279">
      <x:c r="A279" s="97" t="str">
        <x:v>I284</x:v>
      </x:c>
      <x:c r="B279" s="97" t="str">
        <x:v>Marion McNaughton</x:v>
      </x:c>
      <x:c r="C279" s="97" t="str">
        <x:v>As reported: about 1873-1874; New York</x:v>
      </x:c>
      <x:c r="D279" s="97" t="str">
        <x:v>recorded</x:v>
      </x:c>
      <x:c r="E279" s="97" t="str"/>
      <x:c r="F279" s="97" t="str">
        <x:v>unresolved—no supported date found</x:v>
      </x:c>
      <x:c r="G279" s="97" t="str">
        <x:v>partial</x:v>
      </x:c>
      <x:c r="H279" s="97" t="str">
        <x:v>S27</x:v>
      </x:c>
    </x:row>
    <x:row r="280">
      <x:c r="A280" s="97" t="str">
        <x:v>I285</x:v>
      </x:c>
      <x:c r="B280" s="97" t="str">
        <x:v>Elizabeth McNaughton Pullyblank</x:v>
      </x:c>
      <x:c r="C280" s="97" t="str">
        <x:v>APR 1876; New York</x:v>
      </x:c>
      <x:c r="D280" s="97" t="str">
        <x:v>recorded</x:v>
      </x:c>
      <x:c r="E280" s="97" t="str">
        <x:v>18 OCT 1961; New York</x:v>
      </x:c>
      <x:c r="F280" s="97" t="str">
        <x:v>recorded</x:v>
      </x:c>
      <x:c r="G280" s="97" t="str">
        <x:v>complete</x:v>
      </x:c>
      <x:c r="H280" s="97" t="str">
        <x:v>S27</x:v>
      </x:c>
    </x:row>
    <x:row r="281">
      <x:c r="A281" s="97" t="str">
        <x:v>I286</x:v>
      </x:c>
      <x:c r="B281" s="97" t="str">
        <x:v>John C Pullyblank</x:v>
      </x:c>
      <x:c r="C281" s="97" t="str">
        <x:v>1872; Canada</x:v>
      </x:c>
      <x:c r="D281" s="97" t="str">
        <x:v>recorded</x:v>
      </x:c>
      <x:c r="E281" s="97" t="str">
        <x:v>1934; Livingston County, New York</x:v>
      </x:c>
      <x:c r="F281" s="97" t="str">
        <x:v>recorded</x:v>
      </x:c>
      <x:c r="G281" s="97" t="str">
        <x:v>complete</x:v>
      </x:c>
      <x:c r="H281" s="97" t="str">
        <x:v>S27;S46</x:v>
      </x:c>
    </x:row>
    <x:row r="282">
      <x:c r="A282" s="97" t="str">
        <x:v>I287</x:v>
      </x:c>
      <x:c r="B282" s="97" t="str">
        <x:v>MacNaughton Pullyblank</x:v>
      </x:c>
      <x:c r="C282" s="97" t="str">
        <x:v>19 JUL 1897; New York</x:v>
      </x:c>
      <x:c r="D282" s="97" t="str">
        <x:v>recorded</x:v>
      </x:c>
      <x:c r="E282" s="97" t="str">
        <x:v>7 APR 1902</x:v>
      </x:c>
      <x:c r="F282" s="97" t="str">
        <x:v>recorded</x:v>
      </x:c>
      <x:c r="G282" s="97" t="str">
        <x:v>complete</x:v>
      </x:c>
      <x:c r="H282" s="97" t="str">
        <x:v>S27</x:v>
      </x:c>
    </x:row>
    <x:row r="283">
      <x:c r="A283" s="97" t="str">
        <x:v>I288</x:v>
      </x:c>
      <x:c r="B283" s="97" t="str">
        <x:v>Floyd W Pullyblank</x:v>
      </x:c>
      <x:c r="C283" s="97" t="str">
        <x:v>As reported: about Jan-Feb 1900; New York</x:v>
      </x:c>
      <x:c r="D283" s="97" t="str">
        <x:v>recorded</x:v>
      </x:c>
      <x:c r="E283" s="97" t="str"/>
      <x:c r="F283" s="97" t="str">
        <x:v>unresolved—no supported date found</x:v>
      </x:c>
      <x:c r="G283" s="97" t="str">
        <x:v>partial</x:v>
      </x:c>
      <x:c r="H283" s="97" t="str">
        <x:v>S27</x:v>
      </x:c>
    </x:row>
    <x:row r="284">
      <x:c r="A284" s="97" t="str">
        <x:v>I289</x:v>
      </x:c>
      <x:c r="B284" s="97" t="str">
        <x:v>Ola L Pullyblank</x:v>
      </x:c>
      <x:c r="C284" s="97" t="str">
        <x:v>As reported: about 1904-1905; New York</x:v>
      </x:c>
      <x:c r="D284" s="97" t="str">
        <x:v>recorded</x:v>
      </x:c>
      <x:c r="E284" s="97" t="str"/>
      <x:c r="F284" s="97" t="str">
        <x:v>unresolved—no supported date found</x:v>
      </x:c>
      <x:c r="G284" s="97" t="str">
        <x:v>partial</x:v>
      </x:c>
      <x:c r="H284" s="97" t="str">
        <x:v>S27</x:v>
      </x:c>
    </x:row>
    <x:row r="285">
      <x:c r="A285" s="97" t="str">
        <x:v>I290</x:v>
      </x:c>
      <x:c r="B285" s="97" t="str">
        <x:v>Willard R Pullyblank</x:v>
      </x:c>
      <x:c r="C285" s="97" t="str">
        <x:v>6 SEP 1906; New York</x:v>
      </x:c>
      <x:c r="D285" s="97" t="str">
        <x:v>recorded</x:v>
      </x:c>
      <x:c r="E285" s="97" t="str">
        <x:v>13 DEC 1986; San Diego County, California</x:v>
      </x:c>
      <x:c r="F285" s="97" t="str">
        <x:v>recorded</x:v>
      </x:c>
      <x:c r="G285" s="97" t="str">
        <x:v>complete</x:v>
      </x:c>
      <x:c r="H285" s="97" t="str">
        <x:v>S27;S46</x:v>
      </x:c>
    </x:row>
    <x:row r="286">
      <x:c r="A286" s="97" t="str">
        <x:v>I291</x:v>
      </x:c>
      <x:c r="B286" s="97" t="str">
        <x:v>John W Pullyblank</x:v>
      </x:c>
      <x:c r="C286" s="97" t="str">
        <x:v>As reported: about 1909-1910; New York</x:v>
      </x:c>
      <x:c r="D286" s="97" t="str">
        <x:v>recorded</x:v>
      </x:c>
      <x:c r="E286" s="97" t="str"/>
      <x:c r="F286" s="97" t="str">
        <x:v>unresolved—no supported date found</x:v>
      </x:c>
      <x:c r="G286" s="97" t="str">
        <x:v>partial</x:v>
      </x:c>
      <x:c r="H286" s="97" t="str">
        <x:v>S27</x:v>
      </x:c>
    </x:row>
    <x:row r="287">
      <x:c r="A287" s="97" t="str">
        <x:v>I292</x:v>
      </x:c>
      <x:c r="B287" s="97" t="str">
        <x:v>Ruby J Pullyblank</x:v>
      </x:c>
      <x:c r="C287" s="97" t="str">
        <x:v>As reported: about 1911-1912; New York</x:v>
      </x:c>
      <x:c r="D287" s="97" t="str">
        <x:v>recorded</x:v>
      </x:c>
      <x:c r="E287" s="97" t="str"/>
      <x:c r="F287" s="97" t="str">
        <x:v>unresolved—no supported date found</x:v>
      </x:c>
      <x:c r="G287" s="97" t="str">
        <x:v>partial</x:v>
      </x:c>
      <x:c r="H287" s="97" t="str">
        <x:v>S27</x:v>
      </x:c>
    </x:row>
    <x:row r="288">
      <x:c r="A288" s="97" t="str">
        <x:v>I293</x:v>
      </x:c>
      <x:c r="B288" s="97" t="str">
        <x:v>Helen E Pullyblank</x:v>
      </x:c>
      <x:c r="C288" s="97" t="str">
        <x:v>As reported: about 1914-1915; New York</x:v>
      </x:c>
      <x:c r="D288" s="97" t="str">
        <x:v>recorded</x:v>
      </x:c>
      <x:c r="E288" s="97" t="str"/>
      <x:c r="F288" s="97" t="str">
        <x:v>unresolved—no supported date found</x:v>
      </x:c>
      <x:c r="G288" s="97" t="str">
        <x:v>partial</x:v>
      </x:c>
      <x:c r="H288" s="97" t="str">
        <x:v>S27</x:v>
      </x:c>
    </x:row>
    <x:row r="289">
      <x:c r="A289" s="97" t="str">
        <x:v>I294</x:v>
      </x:c>
      <x:c r="B289" s="97" t="str">
        <x:v>Lulu McNaughton</x:v>
      </x:c>
      <x:c r="C289" s="97" t="str">
        <x:v>As reported: about 1878-1879; New York</x:v>
      </x:c>
      <x:c r="D289" s="97" t="str">
        <x:v>recorded</x:v>
      </x:c>
      <x:c r="E289" s="97" t="str"/>
      <x:c r="F289" s="97" t="str">
        <x:v>unresolved—no supported date found</x:v>
      </x:c>
      <x:c r="G289" s="97" t="str">
        <x:v>partial</x:v>
      </x:c>
      <x:c r="H289" s="97" t="str">
        <x:v>S27</x:v>
      </x:c>
    </x:row>
    <x:row r="290">
      <x:c r="A290" s="97" t="str">
        <x:v>I310</x:v>
      </x:c>
      <x:c r="B290" s="97" t="str">
        <x:v>C Rudolph Muller</x:v>
      </x:c>
      <x:c r="C290" s="97" t="str">
        <x:v>NOV 1894; New York</x:v>
      </x:c>
      <x:c r="D290" s="97" t="str">
        <x:v>recorded</x:v>
      </x:c>
      <x:c r="E290" s="97" t="str"/>
      <x:c r="F290" s="97" t="str">
        <x:v>unresolved—no supported date found</x:v>
      </x:c>
      <x:c r="G290" s="97" t="str">
        <x:v>partial</x:v>
      </x:c>
      <x:c r="H290" s="97" t="str">
        <x:v>S27</x:v>
      </x:c>
    </x:row>
    <x:row r="291">
      <x:c r="A291" s="97" t="str">
        <x:v>I311</x:v>
      </x:c>
      <x:c r="B291" s="97" t="str">
        <x:v>David Paul Muller</x:v>
      </x:c>
      <x:c r="C291" s="97" t="str">
        <x:v>25 SEP 1899; Highland Falls, Orange, New York</x:v>
      </x:c>
      <x:c r="D291" s="97" t="str">
        <x:v>recorded</x:v>
      </x:c>
      <x:c r="E291" s="97" t="str">
        <x:v>23 MAY 1927; Detroit, Wayne, Michigan</x:v>
      </x:c>
      <x:c r="F291" s="97" t="str">
        <x:v>recorded</x:v>
      </x:c>
      <x:c r="G291" s="97" t="str">
        <x:v>complete</x:v>
      </x:c>
      <x:c r="H291" s="97" t="str">
        <x:v>S27</x:v>
      </x:c>
    </x:row>
    <x:row r="292">
      <x:c r="A292" s="97" t="str">
        <x:v>I314</x:v>
      </x:c>
      <x:c r="B292" s="97" t="str">
        <x:v>Hazel G Lee</x:v>
      </x:c>
      <x:c r="C292" s="97" t="str">
        <x:v>DEC 1888; Michigan</x:v>
      </x:c>
      <x:c r="D292" s="97" t="str">
        <x:v>recorded</x:v>
      </x:c>
      <x:c r="E292" s="97" t="str"/>
      <x:c r="F292" s="97" t="str">
        <x:v>unresolved—no supported date found</x:v>
      </x:c>
      <x:c r="G292" s="97" t="str">
        <x:v>partial</x:v>
      </x:c>
      <x:c r="H292" s="97" t="str">
        <x:v>S27</x:v>
      </x:c>
    </x:row>
    <x:row r="293">
      <x:c r="A293" s="97" t="str">
        <x:v>I315</x:v>
      </x:c>
      <x:c r="B293" s="97" t="str">
        <x:v>Hubbard Stone Lee Sr</x:v>
      </x:c>
      <x:c r="C293" s="97" t="str">
        <x:v>23 SEP 1891; Michigan</x:v>
      </x:c>
      <x:c r="D293" s="97" t="str">
        <x:v>recorded</x:v>
      </x:c>
      <x:c r="E293" s="97" t="str">
        <x:v>10 JUN 1956</x:v>
      </x:c>
      <x:c r="F293" s="97" t="str">
        <x:v>recorded</x:v>
      </x:c>
      <x:c r="G293" s="97" t="str">
        <x:v>complete</x:v>
      </x:c>
      <x:c r="H293" s="97" t="str">
        <x:v>S27</x:v>
      </x:c>
    </x:row>
    <x:row r="294">
      <x:c r="A294" s="97" t="str">
        <x:v>I316</x:v>
      </x:c>
      <x:c r="B294" s="97" t="str">
        <x:v>Irene M Burr Lee</x:v>
      </x:c>
      <x:c r="C294" s="97" t="str">
        <x:v>As reported: about 1891-1892</x:v>
      </x:c>
      <x:c r="D294" s="97" t="str">
        <x:v>recorded</x:v>
      </x:c>
      <x:c r="E294" s="97" t="str"/>
      <x:c r="F294" s="97" t="str">
        <x:v>unresolved—no supported date found</x:v>
      </x:c>
      <x:c r="G294" s="97" t="str">
        <x:v>partial</x:v>
      </x:c>
      <x:c r="H294" s="97" t="str">
        <x:v>S27</x:v>
      </x:c>
    </x:row>
    <x:row r="295">
      <x:c r="A295" s="97" t="str">
        <x:v>I317</x:v>
      </x:c>
      <x:c r="B295" s="97" t="str">
        <x:v>Hubbard Stone Lee Jr</x:v>
      </x:c>
      <x:c r="C295" s="97" t="str">
        <x:v>17 DEC 1918; Highland Park, Wayne, Michigan</x:v>
      </x:c>
      <x:c r="D295" s="97" t="str">
        <x:v>recorded</x:v>
      </x:c>
      <x:c r="E295" s="97" t="str">
        <x:v>11 MAR 1986; Madison Heights, Oakland, Michigan</x:v>
      </x:c>
      <x:c r="F295" s="97" t="str">
        <x:v>recorded</x:v>
      </x:c>
      <x:c r="G295" s="97" t="str">
        <x:v>complete</x:v>
      </x:c>
      <x:c r="H295" s="97" t="str">
        <x:v>S27</x:v>
      </x:c>
    </x:row>
    <x:row r="296">
      <x:c r="A296" s="97" t="str">
        <x:v>I320</x:v>
      </x:c>
      <x:c r="B296" s="97" t="str">
        <x:v>Martha M McCormick Macdonald</x:v>
      </x:c>
      <x:c r="C296" s="97" t="str">
        <x:v>15 JAN 1900; Kentucky</x:v>
      </x:c>
      <x:c r="D296" s="97" t="str">
        <x:v>recorded</x:v>
      </x:c>
      <x:c r="E296" s="97" t="str">
        <x:v>JUN 1993; New Jersey</x:v>
      </x:c>
      <x:c r="F296" s="97" t="str">
        <x:v>recorded</x:v>
      </x:c>
      <x:c r="G296" s="97" t="str">
        <x:v>complete</x:v>
      </x:c>
      <x:c r="H296" s="97" t="str">
        <x:v>S27</x:v>
      </x:c>
    </x:row>
    <x:row r="297">
      <x:c r="A297" s="97" t="str">
        <x:v>I321</x:v>
      </x:c>
      <x:c r="B297" s="97" t="str">
        <x:v>John R Macdonald</x:v>
      </x:c>
      <x:c r="C297" s="97" t="str">
        <x:v>As reported: about 1906-1907</x:v>
      </x:c>
      <x:c r="D297" s="97" t="str">
        <x:v>recorded</x:v>
      </x:c>
      <x:c r="E297" s="97" t="str"/>
      <x:c r="F297" s="97" t="str">
        <x:v>unresolved—no supported date found</x:v>
      </x:c>
      <x:c r="G297" s="97" t="str">
        <x:v>partial</x:v>
      </x:c>
      <x:c r="H297" s="97" t="str">
        <x:v>S27</x:v>
      </x:c>
    </x:row>
    <x:row r="298">
      <x:c r="A298" s="97" t="str">
        <x:v>I322</x:v>
      </x:c>
      <x:c r="B298" s="97" t="str">
        <x:v>James D Macdonald</x:v>
      </x:c>
      <x:c r="C298" s="97" t="str">
        <x:v>As reported: about 1940-1941</x:v>
      </x:c>
      <x:c r="D298" s="97" t="str">
        <x:v>recorded</x:v>
      </x:c>
      <x:c r="E298" s="97" t="str"/>
      <x:c r="F298" s="97" t="str">
        <x:v>not researched—privacy limited</x:v>
      </x:c>
      <x:c r="G298" s="97" t="str">
        <x:v>partial</x:v>
      </x:c>
      <x:c r="H298" s="97" t="str">
        <x:v>S27</x:v>
      </x:c>
    </x:row>
    <x:row r="299">
      <x:c r="A299" s="97" t="str">
        <x:v>I323</x:v>
      </x:c>
      <x:c r="B299" s="97" t="str">
        <x:v>Jean Ruth Macdonald</x:v>
      </x:c>
      <x:c r="C299" s="97" t="str">
        <x:v>As reported: about 1944-1945</x:v>
      </x:c>
      <x:c r="D299" s="97" t="str">
        <x:v>recorded</x:v>
      </x:c>
      <x:c r="E299" s="97" t="str"/>
      <x:c r="F299" s="97" t="str">
        <x:v>not researched—privacy limited</x:v>
      </x:c>
      <x:c r="G299" s="97" t="str">
        <x:v>partial</x:v>
      </x:c>
      <x:c r="H299" s="97" t="str">
        <x:v>S27</x:v>
      </x:c>
    </x:row>
    <x:row r="300">
      <x:c r="A300" s="97" t="str">
        <x:v>I324</x:v>
      </x:c>
      <x:c r="B300" s="97" t="str">
        <x:v>Ruth B McCormick Reese</x:v>
      </x:c>
      <x:c r="C300" s="97" t="str">
        <x:v>15 OCT 1906; Bullitt County, Kentucky</x:v>
      </x:c>
      <x:c r="D300" s="97" t="str">
        <x:v>recorded</x:v>
      </x:c>
      <x:c r="E300" s="97" t="str">
        <x:v>13 OCT 1977; Jefferson County, Kentucky</x:v>
      </x:c>
      <x:c r="F300" s="97" t="str">
        <x:v>recorded</x:v>
      </x:c>
      <x:c r="G300" s="97" t="str">
        <x:v>complete</x:v>
      </x:c>
      <x:c r="H300" s="97" t="str">
        <x:v>S27</x:v>
      </x:c>
    </x:row>
    <x:row r="301">
      <x:c r="A301" s="97" t="str">
        <x:v>I327</x:v>
      </x:c>
      <x:c r="B301" s="97" t="str">
        <x:v>Sarah Slaughter Lazenby</x:v>
      </x:c>
      <x:c r="C301" s="97" t="str">
        <x:v>7 JUL 1899; Alabama</x:v>
      </x:c>
      <x:c r="D301" s="97" t="str">
        <x:v>recorded</x:v>
      </x:c>
      <x:c r="E301" s="97" t="str">
        <x:v>DEC 1981; Monroeville, Monroe, Alabama</x:v>
      </x:c>
      <x:c r="F301" s="97" t="str">
        <x:v>recorded</x:v>
      </x:c>
      <x:c r="G301" s="97" t="str">
        <x:v>complete</x:v>
      </x:c>
      <x:c r="H301" s="97" t="str">
        <x:v>S27</x:v>
      </x:c>
    </x:row>
    <x:row r="302">
      <x:c r="A302" s="97" t="str">
        <x:v>I328</x:v>
      </x:c>
      <x:c r="B302" s="97" t="str">
        <x:v>Irene Williams Slaughter Cooke</x:v>
      </x:c>
      <x:c r="C302" s="97" t="str">
        <x:v>11 APR 1901; Alabama</x:v>
      </x:c>
      <x:c r="D302" s="97" t="str">
        <x:v>recorded</x:v>
      </x:c>
      <x:c r="E302" s="97" t="str">
        <x:v>25 JAN 1973; McAllen, Hidalgo, Texas</x:v>
      </x:c>
      <x:c r="F302" s="97" t="str">
        <x:v>recorded</x:v>
      </x:c>
      <x:c r="G302" s="97" t="str">
        <x:v>complete</x:v>
      </x:c>
      <x:c r="H302" s="97" t="str">
        <x:v>S27</x:v>
      </x:c>
    </x:row>
    <x:row r="303">
      <x:c r="A303" s="97" t="str">
        <x:v>I329</x:v>
      </x:c>
      <x:c r="B303" s="97" t="str">
        <x:v>Isaac Bush Slaughter Jr</x:v>
      </x:c>
      <x:c r="C303" s="97" t="str">
        <x:v>3 APR 1907; Monroeville, Monroe, Alabama</x:v>
      </x:c>
      <x:c r="D303" s="97" t="str">
        <x:v>recorded</x:v>
      </x:c>
      <x:c r="E303" s="97" t="str">
        <x:v>11 OCT 1973; McAllen, Hidalgo, Texas</x:v>
      </x:c>
      <x:c r="F303" s="97" t="str">
        <x:v>recorded</x:v>
      </x:c>
      <x:c r="G303" s="97" t="str">
        <x:v>complete</x:v>
      </x:c>
      <x:c r="H303" s="97" t="str">
        <x:v>S27</x:v>
      </x:c>
    </x:row>
    <x:row r="304">
      <x:c r="A304" s="97" t="str">
        <x:v>I330</x:v>
      </x:c>
      <x:c r="B304" s="97" t="str">
        <x:v>Mae Belle Watson Slaughter</x:v>
      </x:c>
      <x:c r="C304" s="97" t="str">
        <x:v>As reported: about 1912-1913</x:v>
      </x:c>
      <x:c r="D304" s="97" t="str">
        <x:v>recorded</x:v>
      </x:c>
      <x:c r="E304" s="97" t="str"/>
      <x:c r="F304" s="97" t="str">
        <x:v>unresolved—no supported date found</x:v>
      </x:c>
      <x:c r="G304" s="97" t="str">
        <x:v>partial</x:v>
      </x:c>
      <x:c r="H304" s="97" t="str">
        <x:v>S27</x:v>
      </x:c>
    </x:row>
    <x:row r="305">
      <x:c r="A305" s="97" t="str">
        <x:v>I331</x:v>
      </x:c>
      <x:c r="B305" s="97" t="str">
        <x:v>Agnes Slaughter</x:v>
      </x:c>
      <x:c r="C305" s="97" t="str">
        <x:v>As reported: about 1932-1933; Texas</x:v>
      </x:c>
      <x:c r="D305" s="97" t="str">
        <x:v>recorded</x:v>
      </x:c>
      <x:c r="E305" s="97" t="str"/>
      <x:c r="F305" s="97" t="str">
        <x:v>not researched—privacy limited</x:v>
      </x:c>
      <x:c r="G305" s="97" t="str">
        <x:v>partial</x:v>
      </x:c>
      <x:c r="H305" s="97" t="str">
        <x:v>S27</x:v>
      </x:c>
    </x:row>
    <x:row r="306">
      <x:c r="A306" s="97" t="str">
        <x:v>I332</x:v>
      </x:c>
      <x:c r="B306" s="97" t="str">
        <x:v>Hundley Agee Slaughter</x:v>
      </x:c>
      <x:c r="C306" s="97" t="str">
        <x:v>ABT 1910; Alabama</x:v>
      </x:c>
      <x:c r="D306" s="97" t="str">
        <x:v>recorded</x:v>
      </x:c>
      <x:c r="E306" s="97" t="str"/>
      <x:c r="F306" s="97" t="str">
        <x:v>unresolved—no supported date found</x:v>
      </x:c>
      <x:c r="G306" s="97" t="str">
        <x:v>partial</x:v>
      </x:c>
      <x:c r="H306" s="97" t="str">
        <x:v>S27</x:v>
      </x:c>
    </x:row>
    <x:row r="307">
      <x:c r="A307" s="97" t="str">
        <x:v>I333</x:v>
      </x:c>
      <x:c r="B307" s="97" t="str">
        <x:v>Frank Rives Slaughter</x:v>
      </x:c>
      <x:c r="C307" s="97" t="str">
        <x:v>20 NOV 1912; Monroeville, Monroe, Alabama</x:v>
      </x:c>
      <x:c r="D307" s="97" t="str">
        <x:v>recorded</x:v>
      </x:c>
      <x:c r="E307" s="97" t="str">
        <x:v>27 JAN 1986; Baltimore County, Maryland</x:v>
      </x:c>
      <x:c r="F307" s="97" t="str">
        <x:v>recorded</x:v>
      </x:c>
      <x:c r="G307" s="97" t="str">
        <x:v>complete</x:v>
      </x:c>
      <x:c r="H307" s="97" t="str">
        <x:v>S27</x:v>
      </x:c>
    </x:row>
    <x:row r="308">
      <x:c r="A308" s="97" t="str">
        <x:v>I334</x:v>
      </x:c>
      <x:c r="B308" s="97" t="str">
        <x:v>Mary Alice Thoren</x:v>
      </x:c>
      <x:c r="C308" s="97" t="str">
        <x:v>Port Townsend, Jefferson, Washington</x:v>
      </x:c>
      <x:c r="D308" s="97" t="str">
        <x:v>withheld—living/private</x:v>
      </x:c>
      <x:c r="E308" s="97" t="str"/>
      <x:c r="F308" s="97" t="str">
        <x:v>withheld—living/private</x:v>
      </x:c>
      <x:c r="G308" s="97" t="str">
        <x:v>withheld—living/private</x:v>
      </x:c>
      <x:c r="H308" s="97" t="str">
        <x:v>S28;S31;S32</x:v>
      </x:c>
    </x:row>
    <x:row r="309">
      <x:c r="A309" s="97" t="str">
        <x:v>I335</x:v>
      </x:c>
      <x:c r="B309" s="97" t="str">
        <x:v>Chris Vollmer</x:v>
      </x:c>
      <x:c r="C309" s="97" t="str"/>
      <x:c r="D309" s="97" t="str">
        <x:v>withheld—living/private</x:v>
      </x:c>
      <x:c r="E309" s="97" t="str"/>
      <x:c r="F309" s="97" t="str">
        <x:v>withheld—living/private</x:v>
      </x:c>
      <x:c r="G309" s="97" t="str">
        <x:v>withheld—living/private</x:v>
      </x:c>
      <x:c r="H309" s="97" t="str">
        <x:v>S28;S47</x:v>
      </x:c>
    </x:row>
    <x:row r="310">
      <x:c r="A310" s="97" t="str">
        <x:v>I336</x:v>
      </x:c>
      <x:c r="B310" s="97" t="str">
        <x:v>William John Thoren</x:v>
      </x:c>
      <x:c r="C310" s="97" t="str">
        <x:v>19 JUL 1901; Great Falls, Cascade, Montana</x:v>
      </x:c>
      <x:c r="D310" s="97" t="str">
        <x:v>recorded</x:v>
      </x:c>
      <x:c r="E310" s="97" t="str">
        <x:v>26 OCT 1991; Washington</x:v>
      </x:c>
      <x:c r="F310" s="97" t="str">
        <x:v>recorded</x:v>
      </x:c>
      <x:c r="G310" s="97" t="str">
        <x:v>complete</x:v>
      </x:c>
      <x:c r="H310" s="97" t="str">
        <x:v>S28;S32;S33;S34</x:v>
      </x:c>
    </x:row>
    <x:row r="311">
      <x:c r="A311" s="97" t="str">
        <x:v>I337</x:v>
      </x:c>
      <x:c r="B311" s="97" t="str">
        <x:v>Alice Gallaher</x:v>
      </x:c>
      <x:c r="C311" s="97" t="str">
        <x:v>27 APR 1902; Alaska</x:v>
      </x:c>
      <x:c r="D311" s="97" t="str">
        <x:v>recorded</x:v>
      </x:c>
      <x:c r="E311" s="97" t="str">
        <x:v>23 AUG 1978; Ocean Park, Pacific, Washington</x:v>
      </x:c>
      <x:c r="F311" s="97" t="str">
        <x:v>recorded</x:v>
      </x:c>
      <x:c r="G311" s="97" t="str">
        <x:v>complete</x:v>
      </x:c>
      <x:c r="H311" s="97" t="str">
        <x:v>S32;S33;S35</x:v>
      </x:c>
    </x:row>
    <x:row r="312">
      <x:c r="A312" s="97" t="str">
        <x:v>I338</x:v>
      </x:c>
      <x:c r="B312" s="97" t="str">
        <x:v>Christian Andrew Thoren</x:v>
      </x:c>
      <x:c r="C312" s="97" t="str">
        <x:v>27 JAN 1861; Ignaberga, Kristianstad, Sweden</x:v>
      </x:c>
      <x:c r="D312" s="97" t="str">
        <x:v>recorded</x:v>
      </x:c>
      <x:c r="E312" s="97" t="str">
        <x:v>9 MAY 1921; Great Falls, Cascade, Montana</x:v>
      </x:c>
      <x:c r="F312" s="97" t="str">
        <x:v>recorded</x:v>
      </x:c>
      <x:c r="G312" s="97" t="str">
        <x:v>complete</x:v>
      </x:c>
      <x:c r="H312" s="97" t="str">
        <x:v>S34;S36</x:v>
      </x:c>
    </x:row>
    <x:row r="313">
      <x:c r="A313" s="97" t="str">
        <x:v>I339</x:v>
      </x:c>
      <x:c r="B313" s="97" t="str">
        <x:v>Augusta Nilsdotter</x:v>
      </x:c>
      <x:c r="C313" s="97" t="str">
        <x:v>30 NOV 1860; Hjärnarp, Kristianstad, Sweden</x:v>
      </x:c>
      <x:c r="D313" s="97" t="str">
        <x:v>recorded</x:v>
      </x:c>
      <x:c r="E313" s="97" t="str">
        <x:v>4 DEC 1913; Great Falls, Cascade, Montana</x:v>
      </x:c>
      <x:c r="F313" s="97" t="str">
        <x:v>recorded</x:v>
      </x:c>
      <x:c r="G313" s="97" t="str">
        <x:v>complete</x:v>
      </x:c>
      <x:c r="H313" s="97" t="str">
        <x:v>S34;S37</x:v>
      </x:c>
    </x:row>
    <x:row r="314">
      <x:c r="A314" s="97" t="str">
        <x:v>I340</x:v>
      </x:c>
      <x:c r="B314" s="97" t="str">
        <x:v>Anders Troedsson</x:v>
      </x:c>
      <x:c r="C314" s="97" t="str">
        <x:v>2 MAY 1824; Norra Sandby, Kristianstad, Sweden</x:v>
      </x:c>
      <x:c r="D314" s="97" t="str">
        <x:v>recorded</x:v>
      </x:c>
      <x:c r="E314" s="97" t="str"/>
      <x:c r="F314" s="97" t="str">
        <x:v>unresolved—no supported date found</x:v>
      </x:c>
      <x:c r="G314" s="97" t="str">
        <x:v>partial</x:v>
      </x:c>
      <x:c r="H314" s="97" t="str">
        <x:v>S38</x:v>
      </x:c>
    </x:row>
    <x:row r="315">
      <x:c r="A315" s="97" t="str">
        <x:v>I341</x:v>
      </x:c>
      <x:c r="B315" s="97" t="str">
        <x:v>Kjersti Månsdotter</x:v>
      </x:c>
      <x:c r="C315" s="97" t="str">
        <x:v>31 OCT 1825; Mellby, Kristianstad, Sweden</x:v>
      </x:c>
      <x:c r="D315" s="97" t="str">
        <x:v>recorded</x:v>
      </x:c>
      <x:c r="E315" s="97" t="str"/>
      <x:c r="F315" s="97" t="str">
        <x:v>unresolved—no supported date found</x:v>
      </x:c>
      <x:c r="G315" s="97" t="str">
        <x:v>partial</x:v>
      </x:c>
      <x:c r="H315" s="97" t="str">
        <x:v>S38</x:v>
      </x:c>
    </x:row>
    <x:row r="316">
      <x:c r="A316" s="97" t="str">
        <x:v>I342</x:v>
      </x:c>
      <x:c r="B316" s="97" t="str">
        <x:v>Trued Andersson</x:v>
      </x:c>
      <x:c r="C316" s="97" t="str">
        <x:v>25 APR 1792; Norra Sandby, Kristianstad, Sweden</x:v>
      </x:c>
      <x:c r="D316" s="97" t="str">
        <x:v>recorded</x:v>
      </x:c>
      <x:c r="E316" s="97" t="str"/>
      <x:c r="F316" s="97" t="str">
        <x:v>unresolved—no supported date found</x:v>
      </x:c>
      <x:c r="G316" s="97" t="str">
        <x:v>partial</x:v>
      </x:c>
      <x:c r="H316" s="97" t="str">
        <x:v>S38</x:v>
      </x:c>
    </x:row>
    <x:row r="317">
      <x:c r="A317" s="97" t="str">
        <x:v>I343</x:v>
      </x:c>
      <x:c r="B317" s="97" t="str">
        <x:v>Bortha Nilsdotter</x:v>
      </x:c>
      <x:c r="C317" s="97" t="str">
        <x:v>1783; Gumlösa, Kristianstad, Sweden</x:v>
      </x:c>
      <x:c r="D317" s="97" t="str">
        <x:v>recorded</x:v>
      </x:c>
      <x:c r="E317" s="97" t="str"/>
      <x:c r="F317" s="97" t="str">
        <x:v>unresolved—no supported date found</x:v>
      </x:c>
      <x:c r="G317" s="97" t="str">
        <x:v>partial</x:v>
      </x:c>
      <x:c r="H317" s="97" t="str">
        <x:v>S38</x:v>
      </x:c>
    </x:row>
    <x:row r="318">
      <x:c r="A318" s="97" t="str">
        <x:v>I344</x:v>
      </x:c>
      <x:c r="B318" s="97" t="str">
        <x:v>Nils Svensson</x:v>
      </x:c>
      <x:c r="C318" s="97" t="str">
        <x:v>3 MAY 1825; Ränneslöv, Halland, Sweden</x:v>
      </x:c>
      <x:c r="D318" s="97" t="str">
        <x:v>recorded</x:v>
      </x:c>
      <x:c r="E318" s="97" t="str"/>
      <x:c r="F318" s="97" t="str">
        <x:v>unresolved—no supported date found</x:v>
      </x:c>
      <x:c r="G318" s="97" t="str">
        <x:v>partial</x:v>
      </x:c>
      <x:c r="H318" s="97" t="str">
        <x:v>S39;S40</x:v>
      </x:c>
    </x:row>
    <x:row r="319">
      <x:c r="A319" s="97" t="str">
        <x:v>I345</x:v>
      </x:c>
      <x:c r="B319" s="97" t="str">
        <x:v>Christina Persdotter</x:v>
      </x:c>
      <x:c r="C319" s="97" t="str">
        <x:v>24 JAN 1823; Hasslöv, Halland, Sweden</x:v>
      </x:c>
      <x:c r="D319" s="97" t="str">
        <x:v>recorded</x:v>
      </x:c>
      <x:c r="E319" s="97" t="str"/>
      <x:c r="F319" s="97" t="str">
        <x:v>unresolved—no supported date found</x:v>
      </x:c>
      <x:c r="G319" s="97" t="str">
        <x:v>partial</x:v>
      </x:c>
      <x:c r="H319" s="97" t="str">
        <x:v>S39;S42</x:v>
      </x:c>
    </x:row>
    <x:row r="320">
      <x:c r="A320" s="97" t="str">
        <x:v>I346</x:v>
      </x:c>
      <x:c r="B320" s="97" t="str">
        <x:v>Gunnilla Nilsdotter</x:v>
      </x:c>
      <x:c r="C320" s="97" t="str">
        <x:v>20 SEP 1796; Ränneslöv, Halland, Sweden</x:v>
      </x:c>
      <x:c r="D320" s="97" t="str">
        <x:v>recorded</x:v>
      </x:c>
      <x:c r="E320" s="97" t="str"/>
      <x:c r="F320" s="97" t="str">
        <x:v>unresolved—no supported date found</x:v>
      </x:c>
      <x:c r="G320" s="97" t="str">
        <x:v>partial</x:v>
      </x:c>
      <x:c r="H320" s="97" t="str">
        <x:v>S40;S41</x:v>
      </x:c>
    </x:row>
    <x:row r="321">
      <x:c r="A321" s="97" t="str">
        <x:v>I347</x:v>
      </x:c>
      <x:c r="B321" s="97" t="str">
        <x:v>Nils Johansson</x:v>
      </x:c>
      <x:c r="C321" s="97" t="str"/>
      <x:c r="D321" s="97" t="str">
        <x:v>unresolved—no supported date found</x:v>
      </x:c>
      <x:c r="E321" s="97" t="str"/>
      <x:c r="F321" s="97" t="str">
        <x:v>unresolved—no supported date found</x:v>
      </x:c>
      <x:c r="G321" s="97" t="str">
        <x:v>unresolved</x:v>
      </x:c>
      <x:c r="H321" s="97" t="str">
        <x:v>S41</x:v>
      </x:c>
    </x:row>
    <x:row r="322">
      <x:c r="A322" s="97" t="str">
        <x:v>I348</x:v>
      </x:c>
      <x:c r="B322" s="97" t="str">
        <x:v>Elna Nilsdotter</x:v>
      </x:c>
      <x:c r="C322" s="97" t="str"/>
      <x:c r="D322" s="97" t="str">
        <x:v>unresolved—no supported date found</x:v>
      </x:c>
      <x:c r="E322" s="97" t="str"/>
      <x:c r="F322" s="97" t="str">
        <x:v>unresolved—no supported date found</x:v>
      </x:c>
      <x:c r="G322" s="97" t="str">
        <x:v>unresolved</x:v>
      </x:c>
      <x:c r="H322" s="97" t="str">
        <x:v>S41</x:v>
      </x:c>
    </x:row>
    <x:row r="323">
      <x:c r="A323" s="97" t="str">
        <x:v>I349</x:v>
      </x:c>
      <x:c r="B323" s="97" t="str">
        <x:v>Pehr Erlandsson</x:v>
      </x:c>
      <x:c r="C323" s="97" t="str">
        <x:v>10 FEB 1790; Hishult, Halland, Sweden</x:v>
      </x:c>
      <x:c r="D323" s="97" t="str">
        <x:v>recorded</x:v>
      </x:c>
      <x:c r="E323" s="97" t="str"/>
      <x:c r="F323" s="97" t="str">
        <x:v>unresolved—no supported date found</x:v>
      </x:c>
      <x:c r="G323" s="97" t="str">
        <x:v>partial</x:v>
      </x:c>
      <x:c r="H323" s="97" t="str">
        <x:v>S43;S44</x:v>
      </x:c>
    </x:row>
    <x:row r="324">
      <x:c r="A324" s="97" t="str">
        <x:v>I350</x:v>
      </x:c>
      <x:c r="B324" s="97" t="str">
        <x:v>Ingier Hansdotter</x:v>
      </x:c>
      <x:c r="C324" s="97" t="str">
        <x:v>20 MAR 1794; Hasslöv, Halland, Sweden</x:v>
      </x:c>
      <x:c r="D324" s="97" t="str">
        <x:v>recorded</x:v>
      </x:c>
      <x:c r="E324" s="97" t="str"/>
      <x:c r="F324" s="97" t="str">
        <x:v>unresolved—no supported date found</x:v>
      </x:c>
      <x:c r="G324" s="97" t="str">
        <x:v>partial</x:v>
      </x:c>
      <x:c r="H324" s="97" t="str">
        <x:v>S43;S45</x:v>
      </x:c>
    </x:row>
    <x:row r="325">
      <x:c r="A325" s="97" t="str">
        <x:v>I351</x:v>
      </x:c>
      <x:c r="B325" s="97" t="str">
        <x:v>Erland Pålsson</x:v>
      </x:c>
      <x:c r="C325" s="97" t="str"/>
      <x:c r="D325" s="97" t="str">
        <x:v>unresolved—no supported date found</x:v>
      </x:c>
      <x:c r="E325" s="97" t="str"/>
      <x:c r="F325" s="97" t="str">
        <x:v>unresolved—no supported date found</x:v>
      </x:c>
      <x:c r="G325" s="97" t="str">
        <x:v>unresolved</x:v>
      </x:c>
      <x:c r="H325" s="97" t="str">
        <x:v>S44</x:v>
      </x:c>
    </x:row>
    <x:row r="326">
      <x:c r="A326" s="97" t="str">
        <x:v>I352</x:v>
      </x:c>
      <x:c r="B326" s="97" t="str">
        <x:v>Bengta Pehrsdotter</x:v>
      </x:c>
      <x:c r="C326" s="97" t="str"/>
      <x:c r="D326" s="97" t="str">
        <x:v>unresolved—no supported date found</x:v>
      </x:c>
      <x:c r="E326" s="97" t="str"/>
      <x:c r="F326" s="97" t="str">
        <x:v>unresolved—no supported date found</x:v>
      </x:c>
      <x:c r="G326" s="97" t="str">
        <x:v>unresolved</x:v>
      </x:c>
      <x:c r="H326" s="97" t="str">
        <x:v>S44</x:v>
      </x:c>
    </x:row>
    <x:row r="327">
      <x:c r="A327" s="97" t="str">
        <x:v>I353</x:v>
      </x:c>
      <x:c r="B327" s="97" t="str">
        <x:v>Hans Månsson</x:v>
      </x:c>
      <x:c r="C327" s="97" t="str"/>
      <x:c r="D327" s="97" t="str">
        <x:v>unresolved—no supported date found</x:v>
      </x:c>
      <x:c r="E327" s="97" t="str"/>
      <x:c r="F327" s="97" t="str">
        <x:v>unresolved—no supported date found</x:v>
      </x:c>
      <x:c r="G327" s="97" t="str">
        <x:v>unresolved</x:v>
      </x:c>
      <x:c r="H327" s="97" t="str">
        <x:v>S45</x:v>
      </x:c>
    </x:row>
    <x:row r="328">
      <x:c r="A328" s="97" t="str">
        <x:v>I354</x:v>
      </x:c>
      <x:c r="B328" s="97" t="str">
        <x:v>Maria Hansdotter</x:v>
      </x:c>
      <x:c r="C328" s="97" t="str"/>
      <x:c r="D328" s="97" t="str">
        <x:v>unresolved—no supported date found</x:v>
      </x:c>
      <x:c r="E328" s="97" t="str"/>
      <x:c r="F328" s="97" t="str">
        <x:v>unresolved—no supported date found</x:v>
      </x:c>
      <x:c r="G328" s="97" t="str">
        <x:v>unresolved</x:v>
      </x:c>
      <x:c r="H328" s="97" t="str">
        <x:v>S45</x:v>
      </x:c>
    </x:row>
    <x:row r="329">
      <x:c r="A329" s="97" t="str">
        <x:v>I355</x:v>
      </x:c>
      <x:c r="B329" s="97" t="str">
        <x:v>Peter Vollmer</x:v>
      </x:c>
      <x:c r="C329" s="97" t="str">
        <x:v>29 JUN 1959; Seattle, King, Washington</x:v>
      </x:c>
      <x:c r="D329" s="97" t="str">
        <x:v>recorded</x:v>
      </x:c>
      <x:c r="E329" s="97" t="str">
        <x:v>5 AUG 1975; Vancouver, Clark, Washington</x:v>
      </x:c>
      <x:c r="F329" s="97" t="str">
        <x:v>recorded</x:v>
      </x:c>
      <x:c r="G329" s="97" t="str">
        <x:v>complete</x:v>
      </x:c>
      <x:c r="H329" s="97" t="str">
        <x:v>S47;S46</x:v>
      </x:c>
    </x:row>
  </x:sheetData>
  <x:conditionalFormatting sqref="G2:G329">
    <x:cfRule type="expression" dxfId="5" priority="1">
      <x:formula>$G2="complete"</x:formula>
    </x:cfRule>
    <x:cfRule type="expression" dxfId="6" priority="2">
      <x:formula>$G2="partial"</x:formula>
    </x:cfRule>
    <x:cfRule type="expression" dxfId="7" priority="3">
      <x:formula>OR($G2="unresolved",$G2="not researched—privacy limited",$G2="withheld—living/private")</x:formula>
    </x:cfRule>
  </x:conditionalFormatting>
  <x:pageMargins left="0.7" right="0.7" top="0.75" bottom="0.75" header="0.3" footer="0.3"/>
  <x:tableParts count="1">
    <x:tablePart xmlns:r="http://schemas.openxmlformats.org/officeDocument/2006/relationships" r:id="Rf5ad72ac1dfa41d6"/>
  </x:tableParts>
</x:worksheet>
</file>

<file path=xl/worksheets/sheet13.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78" hidden="0" customWidth="1"/>
    <x:col min="4" max="4" width="13" hidden="0" customWidth="1"/>
    <x:col min="5" max="5" width="38" hidden="0" customWidth="1"/>
    <x:col min="6" max="6" width="26" hidden="0" customWidth="1"/>
    <x:col min="7" max="7" width="26" hidden="0" customWidth="1"/>
    <x:col min="8" max="8" width="26" hidden="0" customWidth="1"/>
    <x:col min="9" max="9" width="72" hidden="0" customWidth="1"/>
  </x:cols>
  <x:sheetData>
    <x:row r="1" ht="30" customHeight="1">
      <x:c r="A1" s="102" t="str">
        <x:v>individual_id</x:v>
      </x:c>
      <x:c r="B1" s="102" t="str">
        <x:v>name</x:v>
      </x:c>
      <x:c r="C1" s="102" t="str">
        <x:v>occupations_and_roles</x:v>
      </x:c>
      <x:c r="D1" s="102" t="str">
        <x:v>event_count</x:v>
      </x:c>
      <x:c r="E1" s="102" t="str">
        <x:v>status</x:v>
      </x:c>
      <x:c r="F1" s="102" t="str">
        <x:v>categories</x:v>
      </x:c>
      <x:c r="G1" s="102" t="str">
        <x:v>source_refs</x:v>
      </x:c>
      <x:c r="H1" s="102" t="str">
        <x:v>research_ids</x:v>
      </x:c>
      <x:c r="I1" s="102" t="str">
        <x:v>coverage_note</x:v>
      </x:c>
    </x:row>
    <x:row r="2">
      <x:c r="A2" s="97" t="str">
        <x:v>I001</x:v>
      </x:c>
      <x:c r="B2" s="97" t="str">
        <x:v>Fredric Muller Vollmer</x:v>
      </x:c>
      <x:c r="C2" s="97" t="str"/>
      <x:c r="D2" s="97" t="str">
        <x:v>0</x:v>
      </x:c>
      <x:c r="E2" s="97" t="str">
        <x:v>withheld—living/private</x:v>
      </x:c>
      <x:c r="F2" s="97" t="str"/>
      <x:c r="G2" s="97" t="str">
        <x:v>S1</x:v>
      </x:c>
      <x:c r="H2" s="97" t="str"/>
      <x:c r="I2" s="97" t="str">
        <x:v>No living person's occupation was researched or exposed.</x:v>
      </x:c>
    </x:row>
    <x:row r="3">
      <x:c r="A3" s="97" t="str">
        <x:v>I002</x:v>
      </x:c>
      <x:c r="B3" s="97" t="str">
        <x:v>Jan Muller Vollmer</x:v>
      </x:c>
      <x:c r="C3" s="97" t="str"/>
      <x:c r="D3" s="97" t="str">
        <x:v>0</x:v>
      </x:c>
      <x:c r="E3" s="97" t="str">
        <x:v>withheld—living/private</x:v>
      </x:c>
      <x:c r="F3" s="97" t="str"/>
      <x:c r="G3" s="97" t="str">
        <x:v>S1;S2;S27;S28</x:v>
      </x:c>
      <x:c r="H3" s="97" t="str"/>
      <x:c r="I3" s="97" t="str">
        <x:v>No living person's occupation was researched or exposed.</x:v>
      </x:c>
    </x:row>
    <x:row r="4">
      <x:c r="A4" s="97" t="str">
        <x:v>I003</x:v>
      </x:c>
      <x:c r="B4" s="97" t="str">
        <x:v>Arthur John Muller</x:v>
      </x:c>
      <x:c r="C4" s="97" t="str">
        <x:v>U.S. Army soldier (FROM 1943 TO 1945; Company B, 134th Infantry, 35th Division)</x:v>
      </x:c>
      <x:c r="D4" s="97" t="str">
        <x:v>1</x:v>
      </x:c>
      <x:c r="E4" s="97" t="str">
        <x:v>recorded</x:v>
      </x:c>
      <x:c r="F4" s="97" t="str">
        <x:v>military role</x:v>
      </x:c>
      <x:c r="G4" s="97" t="str">
        <x:v>S2;S5;S27;S48</x:v>
      </x:c>
      <x:c r="H4" s="97" t="str">
        <x:v>OCC-011</x:v>
      </x:c>
      <x:c r="I4" s="97" t="str">
        <x:v>One or more cited occupations or roles are present in the GEDCOM.</x:v>
      </x:c>
    </x:row>
    <x:row r="5">
      <x:c r="A5" s="97" t="str">
        <x:v>I004</x:v>
      </x:c>
      <x:c r="B5" s="97" t="str">
        <x:v>Anne Rives McCormick Muller</x:v>
      </x:c>
      <x:c r="C5" s="97" t="str"/>
      <x:c r="D5" s="97" t="str">
        <x:v>0</x:v>
      </x:c>
      <x:c r="E5" s="97" t="str">
        <x:v>unresolved—no supported occupation found</x:v>
      </x:c>
      <x:c r="F5" s="97" t="str"/>
      <x:c r="G5" s="97" t="str">
        <x:v>S1;S8;S27</x:v>
      </x:c>
      <x:c r="H5" s="97" t="str"/>
      <x:c r="I5" s="97" t="str">
        <x:v>No occupation is inferred from name, sex, residence, spouse, or family role.</x:v>
      </x:c>
    </x:row>
    <x:row r="6">
      <x:c r="A6" s="97" t="str">
        <x:v>I005</x:v>
      </x:c>
      <x:c r="B6" s="97" t="str">
        <x:v>Arthur Herman Muller</x:v>
      </x:c>
      <x:c r="C6" s="97" t="str">
        <x:v>Designing engineer (1940; Detroit, Wayne, Michigan; General Motors)</x:v>
      </x:c>
      <x:c r="D6" s="97" t="str">
        <x:v>1</x:v>
      </x:c>
      <x:c r="E6" s="97" t="str">
        <x:v>recorded</x:v>
      </x:c>
      <x:c r="F6" s="97" t="str">
        <x:v>civilian occupation</x:v>
      </x:c>
      <x:c r="G6" s="97" t="str">
        <x:v>S2;S27;S48</x:v>
      </x:c>
      <x:c r="H6" s="97" t="str">
        <x:v>OCC-001</x:v>
      </x:c>
      <x:c r="I6" s="97" t="str">
        <x:v>One or more cited occupations or roles are present in the GEDCOM.</x:v>
      </x:c>
    </x:row>
    <x:row r="7">
      <x:c r="A7" s="97" t="str">
        <x:v>I006</x:v>
      </x:c>
      <x:c r="B7" s="97" t="str">
        <x:v>Elma Anna Lee Muller</x:v>
      </x:c>
      <x:c r="C7" s="97" t="str"/>
      <x:c r="D7" s="97" t="str">
        <x:v>0</x:v>
      </x:c>
      <x:c r="E7" s="97" t="str">
        <x:v>unresolved—no supported occupation found</x:v>
      </x:c>
      <x:c r="F7" s="97" t="str"/>
      <x:c r="G7" s="97" t="str">
        <x:v>S2;S3;S24;S27</x:v>
      </x:c>
      <x:c r="H7" s="97" t="str"/>
      <x:c r="I7" s="97" t="str">
        <x:v>No occupation is inferred from name, sex, residence, spouse, or family role.</x:v>
      </x:c>
    </x:row>
    <x:row r="8">
      <x:c r="A8" s="97" t="str">
        <x:v>I007</x:v>
      </x:c>
      <x:c r="B8" s="97" t="str">
        <x:v>Charles Ellsworth McCormick II</x:v>
      </x:c>
      <x:c r="C8" s="97" t="str"/>
      <x:c r="D8" s="97" t="str">
        <x:v>0</x:v>
      </x:c>
      <x:c r="E8" s="97" t="str">
        <x:v>unresolved—no supported occupation found</x:v>
      </x:c>
      <x:c r="F8" s="97" t="str"/>
      <x:c r="G8" s="97" t="str">
        <x:v>S1;S25;S27</x:v>
      </x:c>
      <x:c r="H8" s="97" t="str"/>
      <x:c r="I8" s="97" t="str">
        <x:v>No occupation is inferred from name, sex, residence, spouse, or family role.</x:v>
      </x:c>
    </x:row>
    <x:row r="9">
      <x:c r="A9" s="97" t="str">
        <x:v>I008</x:v>
      </x:c>
      <x:c r="B9" s="97" t="str">
        <x:v>Eloise Alcyone Slaughter McCormick</x:v>
      </x:c>
      <x:c r="C9" s="97" t="str"/>
      <x:c r="D9" s="97" t="str">
        <x:v>0</x:v>
      </x:c>
      <x:c r="E9" s="97" t="str">
        <x:v>unresolved—no supported occupation found</x:v>
      </x:c>
      <x:c r="F9" s="97" t="str"/>
      <x:c r="G9" s="97" t="str">
        <x:v>S1;S8;S27</x:v>
      </x:c>
      <x:c r="H9" s="97" t="str"/>
      <x:c r="I9" s="97" t="str">
        <x:v>No occupation is inferred from name, sex, residence, spouse, or family role.</x:v>
      </x:c>
    </x:row>
    <x:row r="10">
      <x:c r="A10" s="97" t="str">
        <x:v>I009</x:v>
      </x:c>
      <x:c r="B10" s="97" t="str">
        <x:v>Christian August Vollrath Muller</x:v>
      </x:c>
      <x:c r="C10" s="97" t="str"/>
      <x:c r="D10" s="97" t="str">
        <x:v>0</x:v>
      </x:c>
      <x:c r="E10" s="97" t="str">
        <x:v>unresolved—no supported occupation found</x:v>
      </x:c>
      <x:c r="F10" s="97" t="str"/>
      <x:c r="G10" s="97" t="str">
        <x:v>S2;S27</x:v>
      </x:c>
      <x:c r="H10" s="97" t="str"/>
      <x:c r="I10" s="97" t="str">
        <x:v>No occupation is inferred from name, sex, residence, spouse, or family role.</x:v>
      </x:c>
    </x:row>
    <x:row r="11">
      <x:c r="A11" s="97" t="str">
        <x:v>I010</x:v>
      </x:c>
      <x:c r="B11" s="97" t="str">
        <x:v>Henrietta Kleitz</x:v>
      </x:c>
      <x:c r="C11" s="97" t="str"/>
      <x:c r="D11" s="97" t="str">
        <x:v>0</x:v>
      </x:c>
      <x:c r="E11" s="97" t="str">
        <x:v>unresolved—no supported occupation found</x:v>
      </x:c>
      <x:c r="F11" s="97" t="str"/>
      <x:c r="G11" s="97" t="str">
        <x:v>S2;S21;S27</x:v>
      </x:c>
      <x:c r="H11" s="97" t="str"/>
      <x:c r="I11" s="97" t="str">
        <x:v>No occupation is inferred from name, sex, residence, spouse, or family role.</x:v>
      </x:c>
    </x:row>
    <x:row r="12">
      <x:c r="A12" s="97" t="str">
        <x:v>I013</x:v>
      </x:c>
      <x:c r="B12" s="97" t="str">
        <x:v>Elmer Ellsworth Lee</x:v>
      </x:c>
      <x:c r="C12" s="97" t="str"/>
      <x:c r="D12" s="97" t="str">
        <x:v>0</x:v>
      </x:c>
      <x:c r="E12" s="97" t="str">
        <x:v>unresolved—no supported occupation found</x:v>
      </x:c>
      <x:c r="F12" s="97" t="str"/>
      <x:c r="G12" s="97" t="str">
        <x:v>S2;S3;S6;S24;S27</x:v>
      </x:c>
      <x:c r="H12" s="97" t="str"/>
      <x:c r="I12" s="97" t="str">
        <x:v>No occupation is inferred from name, sex, residence, spouse, or family role.</x:v>
      </x:c>
    </x:row>
    <x:row r="13">
      <x:c r="A13" s="97" t="str">
        <x:v>I014</x:v>
      </x:c>
      <x:c r="B13" s="97" t="str">
        <x:v>Mary Wilhelmina Ohmer</x:v>
      </x:c>
      <x:c r="C13" s="97" t="str"/>
      <x:c r="D13" s="97" t="str">
        <x:v>0</x:v>
      </x:c>
      <x:c r="E13" s="97" t="str">
        <x:v>unresolved—no supported occupation found</x:v>
      </x:c>
      <x:c r="F13" s="97" t="str"/>
      <x:c r="G13" s="97" t="str">
        <x:v>S2;S24;S27;S46</x:v>
      </x:c>
      <x:c r="H13" s="97" t="str"/>
      <x:c r="I13" s="97" t="str">
        <x:v>No occupation is inferred from name, sex, residence, spouse, or family role.</x:v>
      </x:c>
    </x:row>
    <x:row r="14">
      <x:c r="A14" s="97" t="str">
        <x:v>I017</x:v>
      </x:c>
      <x:c r="B14" s="97" t="str">
        <x:v>Lorenz Muller</x:v>
      </x:c>
      <x:c r="C14" s="97" t="str"/>
      <x:c r="D14" s="97" t="str">
        <x:v>0</x:v>
      </x:c>
      <x:c r="E14" s="97" t="str">
        <x:v>unresolved—no supported occupation found</x:v>
      </x:c>
      <x:c r="F14" s="97" t="str"/>
      <x:c r="G14" s="97" t="str">
        <x:v>S2</x:v>
      </x:c>
      <x:c r="H14" s="97" t="str"/>
      <x:c r="I14" s="97" t="str">
        <x:v>No occupation is inferred from name, sex, residence, spouse, or family role.</x:v>
      </x:c>
    </x:row>
    <x:row r="15">
      <x:c r="A15" s="97" t="str">
        <x:v>I018</x:v>
      </x:c>
      <x:c r="B15" s="97" t="str">
        <x:v>Pauline Vollrath</x:v>
      </x:c>
      <x:c r="C15" s="97" t="str"/>
      <x:c r="D15" s="97" t="str">
        <x:v>0</x:v>
      </x:c>
      <x:c r="E15" s="97" t="str">
        <x:v>unresolved—no supported occupation found</x:v>
      </x:c>
      <x:c r="F15" s="97" t="str"/>
      <x:c r="G15" s="97" t="str">
        <x:v>S2</x:v>
      </x:c>
      <x:c r="H15" s="97" t="str"/>
      <x:c r="I15" s="97" t="str">
        <x:v>No occupation is inferred from name, sex, residence, spouse, or family role.</x:v>
      </x:c>
    </x:row>
    <x:row r="16">
      <x:c r="A16" s="97" t="str">
        <x:v>I019</x:v>
      </x:c>
      <x:c r="B16" s="97" t="str">
        <x:v>Lambert Kleitz</x:v>
      </x:c>
      <x:c r="C16" s="97" t="str">
        <x:v>Builder and carpenter (New York)</x:v>
      </x:c>
      <x:c r="D16" s="97" t="str">
        <x:v>1</x:v>
      </x:c>
      <x:c r="E16" s="97" t="str">
        <x:v>recorded</x:v>
      </x:c>
      <x:c r="F16" s="97" t="str">
        <x:v>civilian occupation</x:v>
      </x:c>
      <x:c r="G16" s="97" t="str">
        <x:v>S2;S21;S48</x:v>
      </x:c>
      <x:c r="H16" s="97" t="str">
        <x:v>OCC-012</x:v>
      </x:c>
      <x:c r="I16" s="97" t="str">
        <x:v>One or more cited occupations or roles are present in the GEDCOM.</x:v>
      </x:c>
    </x:row>
    <x:row r="17">
      <x:c r="A17" s="97" t="str">
        <x:v>I020</x:v>
      </x:c>
      <x:c r="B17" s="97" t="str">
        <x:v>Elizabeth Wüst</x:v>
      </x:c>
      <x:c r="C17" s="97" t="str"/>
      <x:c r="D17" s="97" t="str">
        <x:v>0</x:v>
      </x:c>
      <x:c r="E17" s="97" t="str">
        <x:v>unresolved—no supported occupation found</x:v>
      </x:c>
      <x:c r="F17" s="97" t="str"/>
      <x:c r="G17" s="97" t="str">
        <x:v>S2;S21</x:v>
      </x:c>
      <x:c r="H17" s="97" t="str"/>
      <x:c r="I17" s="97" t="str">
        <x:v>No occupation is inferred from name, sex, residence, spouse, or family role.</x:v>
      </x:c>
    </x:row>
    <x:row r="18">
      <x:c r="A18" s="97" t="str">
        <x:v>I021</x:v>
      </x:c>
      <x:c r="B18" s="97" t="str">
        <x:v>Jacob Wüst</x:v>
      </x:c>
      <x:c r="C18" s="97" t="str"/>
      <x:c r="D18" s="97" t="str">
        <x:v>0</x:v>
      </x:c>
      <x:c r="E18" s="97" t="str">
        <x:v>unresolved—no supported occupation found</x:v>
      </x:c>
      <x:c r="F18" s="97" t="str"/>
      <x:c r="G18" s="97" t="str">
        <x:v>S21</x:v>
      </x:c>
      <x:c r="H18" s="97" t="str"/>
      <x:c r="I18" s="97" t="str">
        <x:v>No occupation is inferred from name, sex, residence, spouse, or family role.</x:v>
      </x:c>
    </x:row>
    <x:row r="19">
      <x:c r="A19" s="97" t="str">
        <x:v>I022</x:v>
      </x:c>
      <x:c r="B19" s="97" t="str">
        <x:v>Hubbard Stone Lee</x:v>
      </x:c>
      <x:c r="C19" s="97" t="str"/>
      <x:c r="D19" s="97" t="str">
        <x:v>0</x:v>
      </x:c>
      <x:c r="E19" s="97" t="str">
        <x:v>unresolved—no supported occupation found</x:v>
      </x:c>
      <x:c r="F19" s="97" t="str"/>
      <x:c r="G19" s="97" t="str">
        <x:v>S6;S7</x:v>
      </x:c>
      <x:c r="H19" s="97" t="str"/>
      <x:c r="I19" s="97" t="str">
        <x:v>No occupation is inferred from name, sex, residence, spouse, or family role.</x:v>
      </x:c>
    </x:row>
    <x:row r="20">
      <x:c r="A20" s="97" t="str">
        <x:v>I023</x:v>
      </x:c>
      <x:c r="B20" s="97" t="str">
        <x:v>Sarah M. Willitts</x:v>
      </x:c>
      <x:c r="C20" s="97" t="str"/>
      <x:c r="D20" s="97" t="str">
        <x:v>0</x:v>
      </x:c>
      <x:c r="E20" s="97" t="str">
        <x:v>unresolved—no supported occupation found</x:v>
      </x:c>
      <x:c r="F20" s="97" t="str"/>
      <x:c r="G20" s="97" t="str">
        <x:v>S6;S7</x:v>
      </x:c>
      <x:c r="H20" s="97" t="str"/>
      <x:c r="I20" s="97" t="str">
        <x:v>No occupation is inferred from name, sex, residence, spouse, or family role.</x:v>
      </x:c>
    </x:row>
    <x:row r="21">
      <x:c r="A21" s="97" t="str">
        <x:v>I024</x:v>
      </x:c>
      <x:c r="B21" s="97" t="str">
        <x:v>Elon Lee</x:v>
      </x:c>
      <x:c r="C21" s="97" t="str"/>
      <x:c r="D21" s="97" t="str">
        <x:v>0</x:v>
      </x:c>
      <x:c r="E21" s="97" t="str">
        <x:v>unresolved—no supported occupation found</x:v>
      </x:c>
      <x:c r="F21" s="97" t="str"/>
      <x:c r="G21" s="97" t="str">
        <x:v>S7</x:v>
      </x:c>
      <x:c r="H21" s="97" t="str"/>
      <x:c r="I21" s="97" t="str">
        <x:v>No occupation is inferred from name, sex, residence, spouse, or family role.</x:v>
      </x:c>
    </x:row>
    <x:row r="22">
      <x:c r="A22" s="97" t="str">
        <x:v>I025</x:v>
      </x:c>
      <x:c r="B22" s="97" t="str">
        <x:v>Grace Stone</x:v>
      </x:c>
      <x:c r="C22" s="97" t="str"/>
      <x:c r="D22" s="97" t="str">
        <x:v>0</x:v>
      </x:c>
      <x:c r="E22" s="97" t="str">
        <x:v>unresolved—no supported occupation found</x:v>
      </x:c>
      <x:c r="F22" s="97" t="str"/>
      <x:c r="G22" s="97" t="str">
        <x:v>S7</x:v>
      </x:c>
      <x:c r="H22" s="97" t="str"/>
      <x:c r="I22" s="97" t="str">
        <x:v>No occupation is inferred from name, sex, residence, spouse, or family role.</x:v>
      </x:c>
    </x:row>
    <x:row r="23">
      <x:c r="A23" s="97" t="str">
        <x:v>I026</x:v>
      </x:c>
      <x:c r="B23" s="97" t="str">
        <x:v>William Lee</x:v>
      </x:c>
      <x:c r="C23" s="97" t="str"/>
      <x:c r="D23" s="97" t="str">
        <x:v>0</x:v>
      </x:c>
      <x:c r="E23" s="97" t="str">
        <x:v>unresolved—no supported occupation found</x:v>
      </x:c>
      <x:c r="F23" s="97" t="str"/>
      <x:c r="G23" s="97" t="str">
        <x:v>S7</x:v>
      </x:c>
      <x:c r="H23" s="97" t="str"/>
      <x:c r="I23" s="97" t="str">
        <x:v>No occupation is inferred from name, sex, residence, spouse, or family role.</x:v>
      </x:c>
    </x:row>
    <x:row r="24">
      <x:c r="A24" s="97" t="str">
        <x:v>I027</x:v>
      </x:c>
      <x:c r="B24" s="97" t="str">
        <x:v>Eunice Hotchkiss</x:v>
      </x:c>
      <x:c r="C24" s="97" t="str"/>
      <x:c r="D24" s="97" t="str">
        <x:v>0</x:v>
      </x:c>
      <x:c r="E24" s="97" t="str">
        <x:v>unresolved—no supported occupation found</x:v>
      </x:c>
      <x:c r="F24" s="97" t="str"/>
      <x:c r="G24" s="97" t="str">
        <x:v>S7</x:v>
      </x:c>
      <x:c r="H24" s="97" t="str"/>
      <x:c r="I24" s="97" t="str">
        <x:v>No occupation is inferred from name, sex, residence, spouse, or family role.</x:v>
      </x:c>
    </x:row>
    <x:row r="25">
      <x:c r="A25" s="97" t="str">
        <x:v>I028</x:v>
      </x:c>
      <x:c r="B25" s="97" t="str">
        <x:v>John Evarts Stone</x:v>
      </x:c>
      <x:c r="C25" s="97" t="str"/>
      <x:c r="D25" s="97" t="str">
        <x:v>0</x:v>
      </x:c>
      <x:c r="E25" s="97" t="str">
        <x:v>unresolved—no supported occupation found</x:v>
      </x:c>
      <x:c r="F25" s="97" t="str"/>
      <x:c r="G25" s="97" t="str">
        <x:v>S7</x:v>
      </x:c>
      <x:c r="H25" s="97" t="str"/>
      <x:c r="I25" s="97" t="str">
        <x:v>No occupation is inferred from name, sex, residence, spouse, or family role.</x:v>
      </x:c>
    </x:row>
    <x:row r="26">
      <x:c r="A26" s="97" t="str">
        <x:v>I029</x:v>
      </x:c>
      <x:c r="B26" s="97" t="str">
        <x:v>Eunice Goldsmith</x:v>
      </x:c>
      <x:c r="C26" s="97" t="str"/>
      <x:c r="D26" s="97" t="str">
        <x:v>0</x:v>
      </x:c>
      <x:c r="E26" s="97" t="str">
        <x:v>unresolved—no supported occupation found</x:v>
      </x:c>
      <x:c r="F26" s="97" t="str"/>
      <x:c r="G26" s="97" t="str">
        <x:v>S7</x:v>
      </x:c>
      <x:c r="H26" s="97" t="str"/>
      <x:c r="I26" s="97" t="str">
        <x:v>No occupation is inferred from name, sex, residence, spouse, or family role.</x:v>
      </x:c>
    </x:row>
    <x:row r="27">
      <x:c r="A27" s="97" t="str">
        <x:v>I030</x:v>
      </x:c>
      <x:c r="B27" s="97" t="str">
        <x:v>Ebenezer Lee</x:v>
      </x:c>
      <x:c r="C27" s="97" t="str"/>
      <x:c r="D27" s="97" t="str">
        <x:v>0</x:v>
      </x:c>
      <x:c r="E27" s="97" t="str">
        <x:v>unresolved—no supported occupation found</x:v>
      </x:c>
      <x:c r="F27" s="97" t="str"/>
      <x:c r="G27" s="97" t="str">
        <x:v>S7</x:v>
      </x:c>
      <x:c r="H27" s="97" t="str"/>
      <x:c r="I27" s="97" t="str">
        <x:v>No occupation is inferred from name, sex, residence, spouse, or family role.</x:v>
      </x:c>
    </x:row>
    <x:row r="28">
      <x:c r="A28" s="97" t="str">
        <x:v>I031</x:v>
      </x:c>
      <x:c r="B28" s="97" t="str">
        <x:v>Sarah Chidsey</x:v>
      </x:c>
      <x:c r="C28" s="97" t="str"/>
      <x:c r="D28" s="97" t="str">
        <x:v>0</x:v>
      </x:c>
      <x:c r="E28" s="97" t="str">
        <x:v>unresolved—no supported occupation found</x:v>
      </x:c>
      <x:c r="F28" s="97" t="str"/>
      <x:c r="G28" s="97" t="str">
        <x:v>S7</x:v>
      </x:c>
      <x:c r="H28" s="97" t="str"/>
      <x:c r="I28" s="97" t="str">
        <x:v>No occupation is inferred from name, sex, residence, spouse, or family role.</x:v>
      </x:c>
    </x:row>
    <x:row r="29">
      <x:c r="A29" s="97" t="str">
        <x:v>I032</x:v>
      </x:c>
      <x:c r="B29" s="97" t="str">
        <x:v>Mark Hotchkiss</x:v>
      </x:c>
      <x:c r="C29" s="97" t="str"/>
      <x:c r="D29" s="97" t="str">
        <x:v>0</x:v>
      </x:c>
      <x:c r="E29" s="97" t="str">
        <x:v>unresolved—no supported occupation found</x:v>
      </x:c>
      <x:c r="F29" s="97" t="str"/>
      <x:c r="G29" s="97" t="str">
        <x:v>S7</x:v>
      </x:c>
      <x:c r="H29" s="97" t="str"/>
      <x:c r="I29" s="97" t="str">
        <x:v>No occupation is inferred from name, sex, residence, spouse, or family role.</x:v>
      </x:c>
    </x:row>
    <x:row r="30">
      <x:c r="A30" s="97" t="str">
        <x:v>I033</x:v>
      </x:c>
      <x:c r="B30" s="97" t="str">
        <x:v>Miriam Lee</x:v>
      </x:c>
      <x:c r="C30" s="97" t="str"/>
      <x:c r="D30" s="97" t="str">
        <x:v>0</x:v>
      </x:c>
      <x:c r="E30" s="97" t="str">
        <x:v>unresolved—no supported occupation found</x:v>
      </x:c>
      <x:c r="F30" s="97" t="str"/>
      <x:c r="G30" s="97" t="str">
        <x:v>S7</x:v>
      </x:c>
      <x:c r="H30" s="97" t="str"/>
      <x:c r="I30" s="97" t="str">
        <x:v>No occupation is inferred from name, sex, residence, spouse, or family role.</x:v>
      </x:c>
    </x:row>
    <x:row r="31">
      <x:c r="A31" s="97" t="str">
        <x:v>I034</x:v>
      </x:c>
      <x:c r="B31" s="97" t="str">
        <x:v>Asher Stone</x:v>
      </x:c>
      <x:c r="C31" s="97" t="str"/>
      <x:c r="D31" s="97" t="str">
        <x:v>0</x:v>
      </x:c>
      <x:c r="E31" s="97" t="str">
        <x:v>unresolved—no supported occupation found</x:v>
      </x:c>
      <x:c r="F31" s="97" t="str"/>
      <x:c r="G31" s="97" t="str">
        <x:v>S7</x:v>
      </x:c>
      <x:c r="H31" s="97" t="str"/>
      <x:c r="I31" s="97" t="str">
        <x:v>No occupation is inferred from name, sex, residence, spouse, or family role.</x:v>
      </x:c>
    </x:row>
    <x:row r="32">
      <x:c r="A32" s="97" t="str">
        <x:v>I035</x:v>
      </x:c>
      <x:c r="B32" s="97" t="str">
        <x:v>Carine Ward</x:v>
      </x:c>
      <x:c r="C32" s="97" t="str"/>
      <x:c r="D32" s="97" t="str">
        <x:v>0</x:v>
      </x:c>
      <x:c r="E32" s="97" t="str">
        <x:v>unresolved—no supported occupation found</x:v>
      </x:c>
      <x:c r="F32" s="97" t="str"/>
      <x:c r="G32" s="97" t="str">
        <x:v>S7</x:v>
      </x:c>
      <x:c r="H32" s="97" t="str"/>
      <x:c r="I32" s="97" t="str">
        <x:v>No occupation is inferred from name, sex, residence, spouse, or family role.</x:v>
      </x:c>
    </x:row>
    <x:row r="33">
      <x:c r="A33" s="97" t="str">
        <x:v>I036</x:v>
      </x:c>
      <x:c r="B33" s="97" t="str">
        <x:v>Edward Lee</x:v>
      </x:c>
      <x:c r="C33" s="97" t="str"/>
      <x:c r="D33" s="97" t="str">
        <x:v>0</x:v>
      </x:c>
      <x:c r="E33" s="97" t="str">
        <x:v>unresolved—no supported occupation found</x:v>
      </x:c>
      <x:c r="F33" s="97" t="str"/>
      <x:c r="G33" s="97" t="str">
        <x:v>S7</x:v>
      </x:c>
      <x:c r="H33" s="97" t="str"/>
      <x:c r="I33" s="97" t="str">
        <x:v>No occupation is inferred from name, sex, residence, spouse, or family role.</x:v>
      </x:c>
    </x:row>
    <x:row r="34">
      <x:c r="A34" s="97" t="str">
        <x:v>I037</x:v>
      </x:c>
      <x:c r="B34" s="97" t="str">
        <x:v>Abigail Stevens</x:v>
      </x:c>
      <x:c r="C34" s="97" t="str"/>
      <x:c r="D34" s="97" t="str">
        <x:v>0</x:v>
      </x:c>
      <x:c r="E34" s="97" t="str">
        <x:v>unresolved—no supported occupation found</x:v>
      </x:c>
      <x:c r="F34" s="97" t="str"/>
      <x:c r="G34" s="97" t="str">
        <x:v>S7</x:v>
      </x:c>
      <x:c r="H34" s="97" t="str"/>
      <x:c r="I34" s="97" t="str">
        <x:v>No occupation is inferred from name, sex, residence, spouse, or family role.</x:v>
      </x:c>
    </x:row>
    <x:row r="35">
      <x:c r="A35" s="97" t="str">
        <x:v>I038</x:v>
      </x:c>
      <x:c r="B35" s="97" t="str">
        <x:v>Joseph Chidsey</x:v>
      </x:c>
      <x:c r="C35" s="97" t="str"/>
      <x:c r="D35" s="97" t="str">
        <x:v>0</x:v>
      </x:c>
      <x:c r="E35" s="97" t="str">
        <x:v>unresolved—no supported occupation found</x:v>
      </x:c>
      <x:c r="F35" s="97" t="str"/>
      <x:c r="G35" s="97" t="str">
        <x:v>S7</x:v>
      </x:c>
      <x:c r="H35" s="97" t="str"/>
      <x:c r="I35" s="97" t="str">
        <x:v>No occupation is inferred from name, sex, residence, spouse, or family role.</x:v>
      </x:c>
    </x:row>
    <x:row r="36">
      <x:c r="A36" s="97" t="str">
        <x:v>I039</x:v>
      </x:c>
      <x:c r="B36" s="97" t="str">
        <x:v>Joseph Hotchkiss</x:v>
      </x:c>
      <x:c r="C36" s="97" t="str"/>
      <x:c r="D36" s="97" t="str">
        <x:v>0</x:v>
      </x:c>
      <x:c r="E36" s="97" t="str">
        <x:v>unresolved—no supported occupation found</x:v>
      </x:c>
      <x:c r="F36" s="97" t="str"/>
      <x:c r="G36" s="97" t="str">
        <x:v>S7</x:v>
      </x:c>
      <x:c r="H36" s="97" t="str"/>
      <x:c r="I36" s="97" t="str">
        <x:v>No occupation is inferred from name, sex, residence, spouse, or family role.</x:v>
      </x:c>
    </x:row>
    <x:row r="37">
      <x:c r="A37" s="97" t="str">
        <x:v>I040</x:v>
      </x:c>
      <x:c r="B37" s="97" t="str">
        <x:v>Hannah Cruttenden</x:v>
      </x:c>
      <x:c r="C37" s="97" t="str"/>
      <x:c r="D37" s="97" t="str">
        <x:v>0</x:v>
      </x:c>
      <x:c r="E37" s="97" t="str">
        <x:v>unresolved—no supported occupation found</x:v>
      </x:c>
      <x:c r="F37" s="97" t="str"/>
      <x:c r="G37" s="97" t="str">
        <x:v>S7</x:v>
      </x:c>
      <x:c r="H37" s="97" t="str"/>
      <x:c r="I37" s="97" t="str">
        <x:v>No occupation is inferred from name, sex, residence, spouse, or family role.</x:v>
      </x:c>
    </x:row>
    <x:row r="38">
      <x:c r="A38" s="97" t="str">
        <x:v>I041</x:v>
      </x:c>
      <x:c r="B38" s="97" t="str">
        <x:v>Caleb Stone Jr.</x:v>
      </x:c>
      <x:c r="C38" s="97" t="str"/>
      <x:c r="D38" s="97" t="str">
        <x:v>0</x:v>
      </x:c>
      <x:c r="E38" s="97" t="str">
        <x:v>unresolved—no supported occupation found</x:v>
      </x:c>
      <x:c r="F38" s="97" t="str"/>
      <x:c r="G38" s="97" t="str">
        <x:v>S7</x:v>
      </x:c>
      <x:c r="H38" s="97" t="str"/>
      <x:c r="I38" s="97" t="str">
        <x:v>No occupation is inferred from name, sex, residence, spouse, or family role.</x:v>
      </x:c>
    </x:row>
    <x:row r="39">
      <x:c r="A39" s="97" t="str">
        <x:v>I042</x:v>
      </x:c>
      <x:c r="B39" s="97" t="str">
        <x:v>Rebecca Evarts</x:v>
      </x:c>
      <x:c r="C39" s="97" t="str"/>
      <x:c r="D39" s="97" t="str">
        <x:v>0</x:v>
      </x:c>
      <x:c r="E39" s="97" t="str">
        <x:v>unresolved—no supported occupation found</x:v>
      </x:c>
      <x:c r="F39" s="97" t="str"/>
      <x:c r="G39" s="97" t="str">
        <x:v>S7</x:v>
      </x:c>
      <x:c r="H39" s="97" t="str"/>
      <x:c r="I39" s="97" t="str">
        <x:v>No occupation is inferred from name, sex, residence, spouse, or family role.</x:v>
      </x:c>
    </x:row>
    <x:row r="40">
      <x:c r="A40" s="97" t="str">
        <x:v>I043</x:v>
      </x:c>
      <x:c r="B40" s="97" t="str">
        <x:v>William Ward</x:v>
      </x:c>
      <x:c r="C40" s="97" t="str"/>
      <x:c r="D40" s="97" t="str">
        <x:v>0</x:v>
      </x:c>
      <x:c r="E40" s="97" t="str">
        <x:v>unresolved—no supported occupation found</x:v>
      </x:c>
      <x:c r="F40" s="97" t="str"/>
      <x:c r="G40" s="97" t="str">
        <x:v>S7</x:v>
      </x:c>
      <x:c r="H40" s="97" t="str"/>
      <x:c r="I40" s="97" t="str">
        <x:v>No occupation is inferred from name, sex, residence, spouse, or family role.</x:v>
      </x:c>
    </x:row>
    <x:row r="41">
      <x:c r="A41" s="97" t="str">
        <x:v>I044</x:v>
      </x:c>
      <x:c r="B41" s="97" t="str">
        <x:v>Abigail Crampton</x:v>
      </x:c>
      <x:c r="C41" s="97" t="str"/>
      <x:c r="D41" s="97" t="str">
        <x:v>0</x:v>
      </x:c>
      <x:c r="E41" s="97" t="str">
        <x:v>unresolved—no supported occupation found</x:v>
      </x:c>
      <x:c r="F41" s="97" t="str"/>
      <x:c r="G41" s="97" t="str">
        <x:v>S7</x:v>
      </x:c>
      <x:c r="H41" s="97" t="str"/>
      <x:c r="I41" s="97" t="str">
        <x:v>No occupation is inferred from name, sex, residence, spouse, or family role.</x:v>
      </x:c>
    </x:row>
    <x:row r="42">
      <x:c r="A42" s="97" t="str">
        <x:v>I045</x:v>
      </x:c>
      <x:c r="B42" s="97" t="str">
        <x:v>Thomas Stevens</x:v>
      </x:c>
      <x:c r="C42" s="97" t="str"/>
      <x:c r="D42" s="97" t="str">
        <x:v>0</x:v>
      </x:c>
      <x:c r="E42" s="97" t="str">
        <x:v>unresolved—no supported occupation found</x:v>
      </x:c>
      <x:c r="F42" s="97" t="str"/>
      <x:c r="G42" s="97" t="str">
        <x:v>S7</x:v>
      </x:c>
      <x:c r="H42" s="97" t="str"/>
      <x:c r="I42" s="97" t="str">
        <x:v>No occupation is inferred from name, sex, residence, spouse, or family role.</x:v>
      </x:c>
    </x:row>
    <x:row r="43">
      <x:c r="A43" s="97" t="str">
        <x:v>I046</x:v>
      </x:c>
      <x:c r="B43" s="97" t="str">
        <x:v>John Hotchkiss</x:v>
      </x:c>
      <x:c r="C43" s="97" t="str"/>
      <x:c r="D43" s="97" t="str">
        <x:v>0</x:v>
      </x:c>
      <x:c r="E43" s="97" t="str">
        <x:v>unresolved—no supported occupation found</x:v>
      </x:c>
      <x:c r="F43" s="97" t="str"/>
      <x:c r="G43" s="97" t="str">
        <x:v>S7</x:v>
      </x:c>
      <x:c r="H43" s="97" t="str"/>
      <x:c r="I43" s="97" t="str">
        <x:v>No occupation is inferred from name, sex, residence, spouse, or family role.</x:v>
      </x:c>
    </x:row>
    <x:row r="44">
      <x:c r="A44" s="97" t="str">
        <x:v>I047</x:v>
      </x:c>
      <x:c r="B44" s="97" t="str">
        <x:v>Elizabeth Peck</x:v>
      </x:c>
      <x:c r="C44" s="97" t="str"/>
      <x:c r="D44" s="97" t="str">
        <x:v>0</x:v>
      </x:c>
      <x:c r="E44" s="97" t="str">
        <x:v>unresolved—no supported occupation found</x:v>
      </x:c>
      <x:c r="F44" s="97" t="str"/>
      <x:c r="G44" s="97" t="str">
        <x:v>S7</x:v>
      </x:c>
      <x:c r="H44" s="97" t="str"/>
      <x:c r="I44" s="97" t="str">
        <x:v>No occupation is inferred from name, sex, residence, spouse, or family role.</x:v>
      </x:c>
    </x:row>
    <x:row r="45">
      <x:c r="A45" s="97" t="str">
        <x:v>I048</x:v>
      </x:c>
      <x:c r="B45" s="97" t="str">
        <x:v>Isaac Cruttenden</x:v>
      </x:c>
      <x:c r="C45" s="97" t="str"/>
      <x:c r="D45" s="97" t="str">
        <x:v>0</x:v>
      </x:c>
      <x:c r="E45" s="97" t="str">
        <x:v>unresolved—no supported occupation found</x:v>
      </x:c>
      <x:c r="F45" s="97" t="str"/>
      <x:c r="G45" s="97" t="str">
        <x:v>S7</x:v>
      </x:c>
      <x:c r="H45" s="97" t="str"/>
      <x:c r="I45" s="97" t="str">
        <x:v>No occupation is inferred from name, sex, residence, spouse, or family role.</x:v>
      </x:c>
    </x:row>
    <x:row r="46">
      <x:c r="A46" s="97" t="str">
        <x:v>I049</x:v>
      </x:c>
      <x:c r="B46" s="97" t="str">
        <x:v>Lydia Thompson</x:v>
      </x:c>
      <x:c r="C46" s="97" t="str"/>
      <x:c r="D46" s="97" t="str">
        <x:v>0</x:v>
      </x:c>
      <x:c r="E46" s="97" t="str">
        <x:v>unresolved—no supported occupation found</x:v>
      </x:c>
      <x:c r="F46" s="97" t="str"/>
      <x:c r="G46" s="97" t="str">
        <x:v>S7</x:v>
      </x:c>
      <x:c r="H46" s="97" t="str"/>
      <x:c r="I46" s="97" t="str">
        <x:v>No occupation is inferred from name, sex, residence, spouse, or family role.</x:v>
      </x:c>
    </x:row>
    <x:row r="47">
      <x:c r="A47" s="97" t="str">
        <x:v>I050</x:v>
      </x:c>
      <x:c r="B47" s="97" t="str">
        <x:v>Caleb Stone</x:v>
      </x:c>
      <x:c r="C47" s="97" t="str"/>
      <x:c r="D47" s="97" t="str">
        <x:v>0</x:v>
      </x:c>
      <x:c r="E47" s="97" t="str">
        <x:v>unresolved—no supported occupation found</x:v>
      </x:c>
      <x:c r="F47" s="97" t="str"/>
      <x:c r="G47" s="97" t="str">
        <x:v>S7</x:v>
      </x:c>
      <x:c r="H47" s="97" t="str"/>
      <x:c r="I47" s="97" t="str">
        <x:v>No occupation is inferred from name, sex, residence, spouse, or family role.</x:v>
      </x:c>
    </x:row>
    <x:row r="48">
      <x:c r="A48" s="97" t="str">
        <x:v>I051</x:v>
      </x:c>
      <x:c r="B48" s="97" t="str">
        <x:v>Sarah Meigs</x:v>
      </x:c>
      <x:c r="C48" s="97" t="str"/>
      <x:c r="D48" s="97" t="str">
        <x:v>0</x:v>
      </x:c>
      <x:c r="E48" s="97" t="str">
        <x:v>unresolved—no supported occupation found</x:v>
      </x:c>
      <x:c r="F48" s="97" t="str"/>
      <x:c r="G48" s="97" t="str">
        <x:v>S7</x:v>
      </x:c>
      <x:c r="H48" s="97" t="str"/>
      <x:c r="I48" s="97" t="str">
        <x:v>No occupation is inferred from name, sex, residence, spouse, or family role.</x:v>
      </x:c>
    </x:row>
    <x:row r="49">
      <x:c r="A49" s="97" t="str">
        <x:v>I052</x:v>
      </x:c>
      <x:c r="B49" s="97" t="str">
        <x:v>James Evarts</x:v>
      </x:c>
      <x:c r="C49" s="97" t="str"/>
      <x:c r="D49" s="97" t="str">
        <x:v>0</x:v>
      </x:c>
      <x:c r="E49" s="97" t="str">
        <x:v>unresolved—no supported occupation found</x:v>
      </x:c>
      <x:c r="F49" s="97" t="str"/>
      <x:c r="G49" s="97" t="str">
        <x:v>S7</x:v>
      </x:c>
      <x:c r="H49" s="97" t="str"/>
      <x:c r="I49" s="97" t="str">
        <x:v>No occupation is inferred from name, sex, residence, spouse, or family role.</x:v>
      </x:c>
    </x:row>
    <x:row r="50">
      <x:c r="A50" s="97" t="str">
        <x:v>I053</x:v>
      </x:c>
      <x:c r="B50" s="97" t="str">
        <x:v>William Ward</x:v>
      </x:c>
      <x:c r="C50" s="97" t="str"/>
      <x:c r="D50" s="97" t="str">
        <x:v>0</x:v>
      </x:c>
      <x:c r="E50" s="97" t="str">
        <x:v>unresolved—no supported occupation found</x:v>
      </x:c>
      <x:c r="F50" s="97" t="str"/>
      <x:c r="G50" s="97" t="str">
        <x:v>S7</x:v>
      </x:c>
      <x:c r="H50" s="97" t="str"/>
      <x:c r="I50" s="97" t="str">
        <x:v>No occupation is inferred from name, sex, residence, spouse, or family role.</x:v>
      </x:c>
    </x:row>
    <x:row r="51">
      <x:c r="A51" s="97" t="str">
        <x:v>I054</x:v>
      </x:c>
      <x:c r="B51" s="97" t="str">
        <x:v>Lettice Beach</x:v>
      </x:c>
      <x:c r="C51" s="97" t="str"/>
      <x:c r="D51" s="97" t="str">
        <x:v>0</x:v>
      </x:c>
      <x:c r="E51" s="97" t="str">
        <x:v>unresolved—no supported occupation found</x:v>
      </x:c>
      <x:c r="F51" s="97" t="str"/>
      <x:c r="G51" s="97" t="str">
        <x:v>S7</x:v>
      </x:c>
      <x:c r="H51" s="97" t="str"/>
      <x:c r="I51" s="97" t="str">
        <x:v>No occupation is inferred from name, sex, residence, spouse, or family role.</x:v>
      </x:c>
    </x:row>
    <x:row r="52">
      <x:c r="A52" s="97" t="str">
        <x:v>I055</x:v>
      </x:c>
      <x:c r="B52" s="97" t="str">
        <x:v>John Crampton</x:v>
      </x:c>
      <x:c r="C52" s="97" t="str"/>
      <x:c r="D52" s="97" t="str">
        <x:v>0</x:v>
      </x:c>
      <x:c r="E52" s="97" t="str">
        <x:v>unresolved—no supported occupation found</x:v>
      </x:c>
      <x:c r="F52" s="97" t="str"/>
      <x:c r="G52" s="97" t="str">
        <x:v>S7</x:v>
      </x:c>
      <x:c r="H52" s="97" t="str"/>
      <x:c r="I52" s="97" t="str">
        <x:v>No occupation is inferred from name, sex, residence, spouse, or family role.</x:v>
      </x:c>
    </x:row>
    <x:row r="53">
      <x:c r="A53" s="97" t="str">
        <x:v>I056</x:v>
      </x:c>
      <x:c r="B53" s="97" t="str">
        <x:v>Hannah Evarts</x:v>
      </x:c>
      <x:c r="C53" s="97" t="str"/>
      <x:c r="D53" s="97" t="str">
        <x:v>0</x:v>
      </x:c>
      <x:c r="E53" s="97" t="str">
        <x:v>unresolved—no supported occupation found</x:v>
      </x:c>
      <x:c r="F53" s="97" t="str"/>
      <x:c r="G53" s="97" t="str">
        <x:v>S7</x:v>
      </x:c>
      <x:c r="H53" s="97" t="str"/>
      <x:c r="I53" s="97" t="str">
        <x:v>No occupation is inferred from name, sex, residence, spouse, or family role.</x:v>
      </x:c>
    </x:row>
    <x:row r="54">
      <x:c r="A54" s="97" t="str">
        <x:v>I057</x:v>
      </x:c>
      <x:c r="B54" s="97" t="str">
        <x:v>Samuel Hotchkiss</x:v>
      </x:c>
      <x:c r="C54" s="97" t="str"/>
      <x:c r="D54" s="97" t="str">
        <x:v>0</x:v>
      </x:c>
      <x:c r="E54" s="97" t="str">
        <x:v>unresolved—no supported occupation found</x:v>
      </x:c>
      <x:c r="F54" s="97" t="str"/>
      <x:c r="G54" s="97" t="str">
        <x:v>S7</x:v>
      </x:c>
      <x:c r="H54" s="97" t="str"/>
      <x:c r="I54" s="97" t="str">
        <x:v>No occupation is inferred from name, sex, residence, spouse, or family role.</x:v>
      </x:c>
    </x:row>
    <x:row r="55">
      <x:c r="A55" s="97" t="str">
        <x:v>I058</x:v>
      </x:c>
      <x:c r="B55" s="97" t="str">
        <x:v>Elizabeth Cleverly</x:v>
      </x:c>
      <x:c r="C55" s="97" t="str"/>
      <x:c r="D55" s="97" t="str">
        <x:v>0</x:v>
      </x:c>
      <x:c r="E55" s="97" t="str">
        <x:v>unresolved—no supported occupation found</x:v>
      </x:c>
      <x:c r="F55" s="97" t="str"/>
      <x:c r="G55" s="97" t="str">
        <x:v>S7</x:v>
      </x:c>
      <x:c r="H55" s="97" t="str"/>
      <x:c r="I55" s="97" t="str">
        <x:v>No occupation is inferred from name, sex, residence, spouse, or family role.</x:v>
      </x:c>
    </x:row>
    <x:row r="56">
      <x:c r="A56" s="97" t="str">
        <x:v>I059</x:v>
      </x:c>
      <x:c r="B56" s="97" t="str">
        <x:v>Abraham Cruttenden</x:v>
      </x:c>
      <x:c r="C56" s="97" t="str"/>
      <x:c r="D56" s="97" t="str">
        <x:v>0</x:v>
      </x:c>
      <x:c r="E56" s="97" t="str">
        <x:v>unresolved—no supported occupation found</x:v>
      </x:c>
      <x:c r="F56" s="97" t="str"/>
      <x:c r="G56" s="97" t="str">
        <x:v>S7</x:v>
      </x:c>
      <x:c r="H56" s="97" t="str"/>
      <x:c r="I56" s="97" t="str">
        <x:v>No occupation is inferred from name, sex, residence, spouse, or family role.</x:v>
      </x:c>
    </x:row>
    <x:row r="57">
      <x:c r="A57" s="97" t="str">
        <x:v>I060</x:v>
      </x:c>
      <x:c r="B57" s="97" t="str">
        <x:v>Mary</x:v>
      </x:c>
      <x:c r="C57" s="97" t="str"/>
      <x:c r="D57" s="97" t="str">
        <x:v>0</x:v>
      </x:c>
      <x:c r="E57" s="97" t="str">
        <x:v>unresolved—no supported occupation found</x:v>
      </x:c>
      <x:c r="F57" s="97" t="str"/>
      <x:c r="G57" s="97" t="str">
        <x:v>S7</x:v>
      </x:c>
      <x:c r="H57" s="97" t="str"/>
      <x:c r="I57" s="97" t="str">
        <x:v>No occupation is inferred from name, sex, residence, spouse, or family role.</x:v>
      </x:c>
    </x:row>
    <x:row r="58">
      <x:c r="A58" s="97" t="str">
        <x:v>I061</x:v>
      </x:c>
      <x:c r="B58" s="97" t="str">
        <x:v>Anthony Thompson</x:v>
      </x:c>
      <x:c r="C58" s="97" t="str"/>
      <x:c r="D58" s="97" t="str">
        <x:v>0</x:v>
      </x:c>
      <x:c r="E58" s="97" t="str">
        <x:v>unresolved—no supported occupation found</x:v>
      </x:c>
      <x:c r="F58" s="97" t="str"/>
      <x:c r="G58" s="97" t="str">
        <x:v>S7</x:v>
      </x:c>
      <x:c r="H58" s="97" t="str"/>
      <x:c r="I58" s="97" t="str">
        <x:v>No occupation is inferred from name, sex, residence, spouse, or family role.</x:v>
      </x:c>
    </x:row>
    <x:row r="59">
      <x:c r="A59" s="97" t="str">
        <x:v>I062</x:v>
      </x:c>
      <x:c r="B59" s="97" t="str">
        <x:v>Katherine</x:v>
      </x:c>
      <x:c r="C59" s="97" t="str"/>
      <x:c r="D59" s="97" t="str">
        <x:v>0</x:v>
      </x:c>
      <x:c r="E59" s="97" t="str">
        <x:v>unresolved—no supported occupation found</x:v>
      </x:c>
      <x:c r="F59" s="97" t="str"/>
      <x:c r="G59" s="97" t="str">
        <x:v>S7</x:v>
      </x:c>
      <x:c r="H59" s="97" t="str"/>
      <x:c r="I59" s="97" t="str">
        <x:v>No occupation is inferred from name, sex, residence, spouse, or family role.</x:v>
      </x:c>
    </x:row>
    <x:row r="60">
      <x:c r="A60" s="97" t="str">
        <x:v>I063</x:v>
      </x:c>
      <x:c r="B60" s="97" t="str">
        <x:v>Nathaniel Stone</x:v>
      </x:c>
      <x:c r="C60" s="97" t="str"/>
      <x:c r="D60" s="97" t="str">
        <x:v>0</x:v>
      </x:c>
      <x:c r="E60" s="97" t="str">
        <x:v>unresolved—no supported occupation found</x:v>
      </x:c>
      <x:c r="F60" s="97" t="str"/>
      <x:c r="G60" s="97" t="str">
        <x:v>S7</x:v>
      </x:c>
      <x:c r="H60" s="97" t="str"/>
      <x:c r="I60" s="97" t="str">
        <x:v>No occupation is inferred from name, sex, residence, spouse, or family role.</x:v>
      </x:c>
    </x:row>
    <x:row r="61">
      <x:c r="A61" s="97" t="str">
        <x:v>I064</x:v>
      </x:c>
      <x:c r="B61" s="97" t="str">
        <x:v>Mary Bartlett</x:v>
      </x:c>
      <x:c r="C61" s="97" t="str"/>
      <x:c r="D61" s="97" t="str">
        <x:v>0</x:v>
      </x:c>
      <x:c r="E61" s="97" t="str">
        <x:v>unresolved—no supported occupation found</x:v>
      </x:c>
      <x:c r="F61" s="97" t="str"/>
      <x:c r="G61" s="97" t="str">
        <x:v>S7</x:v>
      </x:c>
      <x:c r="H61" s="97" t="str"/>
      <x:c r="I61" s="97" t="str">
        <x:v>No occupation is inferred from name, sex, residence, spouse, or family role.</x:v>
      </x:c>
    </x:row>
    <x:row r="62">
      <x:c r="A62" s="97" t="str">
        <x:v>I065</x:v>
      </x:c>
      <x:c r="B62" s="97" t="str">
        <x:v>John Meigs</x:v>
      </x:c>
      <x:c r="C62" s="97" t="str"/>
      <x:c r="D62" s="97" t="str">
        <x:v>0</x:v>
      </x:c>
      <x:c r="E62" s="97" t="str">
        <x:v>unresolved—no supported occupation found</x:v>
      </x:c>
      <x:c r="F62" s="97" t="str"/>
      <x:c r="G62" s="97" t="str">
        <x:v>S7</x:v>
      </x:c>
      <x:c r="H62" s="97" t="str"/>
      <x:c r="I62" s="97" t="str">
        <x:v>No occupation is inferred from name, sex, residence, spouse, or family role.</x:v>
      </x:c>
    </x:row>
    <x:row r="63">
      <x:c r="A63" s="97" t="str">
        <x:v>I066</x:v>
      </x:c>
      <x:c r="B63" s="97" t="str">
        <x:v>Sarah Wilcockson</x:v>
      </x:c>
      <x:c r="C63" s="97" t="str"/>
      <x:c r="D63" s="97" t="str">
        <x:v>0</x:v>
      </x:c>
      <x:c r="E63" s="97" t="str">
        <x:v>unresolved—no supported occupation found</x:v>
      </x:c>
      <x:c r="F63" s="97" t="str"/>
      <x:c r="G63" s="97" t="str">
        <x:v>S7</x:v>
      </x:c>
      <x:c r="H63" s="97" t="str"/>
      <x:c r="I63" s="97" t="str">
        <x:v>No occupation is inferred from name, sex, residence, spouse, or family role.</x:v>
      </x:c>
    </x:row>
    <x:row r="64">
      <x:c r="A64" s="97" t="str">
        <x:v>I067</x:v>
      </x:c>
      <x:c r="B64" s="97" t="str">
        <x:v>Daniel Evarts</x:v>
      </x:c>
      <x:c r="C64" s="97" t="str"/>
      <x:c r="D64" s="97" t="str">
        <x:v>0</x:v>
      </x:c>
      <x:c r="E64" s="97" t="str">
        <x:v>unresolved—no supported occupation found</x:v>
      </x:c>
      <x:c r="F64" s="97" t="str"/>
      <x:c r="G64" s="97" t="str">
        <x:v>S7</x:v>
      </x:c>
      <x:c r="H64" s="97" t="str"/>
      <x:c r="I64" s="97" t="str">
        <x:v>No occupation is inferred from name, sex, residence, spouse, or family role.</x:v>
      </x:c>
    </x:row>
    <x:row r="65">
      <x:c r="A65" s="97" t="str">
        <x:v>I068</x:v>
      </x:c>
      <x:c r="B65" s="97" t="str">
        <x:v>Rebecca Dowd</x:v>
      </x:c>
      <x:c r="C65" s="97" t="str"/>
      <x:c r="D65" s="97" t="str">
        <x:v>0</x:v>
      </x:c>
      <x:c r="E65" s="97" t="str">
        <x:v>unresolved—no supported occupation found</x:v>
      </x:c>
      <x:c r="F65" s="97" t="str"/>
      <x:c r="G65" s="97" t="str">
        <x:v>S7</x:v>
      </x:c>
      <x:c r="H65" s="97" t="str"/>
      <x:c r="I65" s="97" t="str">
        <x:v>No occupation is inferred from name, sex, residence, spouse, or family role.</x:v>
      </x:c>
    </x:row>
    <x:row r="66">
      <x:c r="A66" s="97" t="str">
        <x:v>I069</x:v>
      </x:c>
      <x:c r="B66" s="97" t="str">
        <x:v>Andrew Ward Jr.</x:v>
      </x:c>
      <x:c r="C66" s="97" t="str"/>
      <x:c r="D66" s="97" t="str">
        <x:v>0</x:v>
      </x:c>
      <x:c r="E66" s="97" t="str">
        <x:v>unresolved—no supported occupation found</x:v>
      </x:c>
      <x:c r="F66" s="97" t="str"/>
      <x:c r="G66" s="97" t="str">
        <x:v>S7</x:v>
      </x:c>
      <x:c r="H66" s="97" t="str"/>
      <x:c r="I66" s="97" t="str">
        <x:v>No occupation is inferred from name, sex, residence, spouse, or family role.</x:v>
      </x:c>
    </x:row>
    <x:row r="67">
      <x:c r="A67" s="97" t="str">
        <x:v>I070</x:v>
      </x:c>
      <x:c r="B67" s="97" t="str">
        <x:v>Trial Meigs</x:v>
      </x:c>
      <x:c r="C67" s="97" t="str"/>
      <x:c r="D67" s="97" t="str">
        <x:v>0</x:v>
      </x:c>
      <x:c r="E67" s="97" t="str">
        <x:v>unresolved—no supported occupation found</x:v>
      </x:c>
      <x:c r="F67" s="97" t="str"/>
      <x:c r="G67" s="97" t="str">
        <x:v>S7</x:v>
      </x:c>
      <x:c r="H67" s="97" t="str"/>
      <x:c r="I67" s="97" t="str">
        <x:v>No occupation is inferred from name, sex, residence, spouse, or family role.</x:v>
      </x:c>
    </x:row>
    <x:row r="68">
      <x:c r="A68" s="97" t="str">
        <x:v>I071</x:v>
      </x:c>
      <x:c r="B68" s="97" t="str">
        <x:v>John Beach</x:v>
      </x:c>
      <x:c r="C68" s="97" t="str"/>
      <x:c r="D68" s="97" t="str">
        <x:v>0</x:v>
      </x:c>
      <x:c r="E68" s="97" t="str">
        <x:v>unresolved—no supported occupation found</x:v>
      </x:c>
      <x:c r="F68" s="97" t="str"/>
      <x:c r="G68" s="97" t="str">
        <x:v>S7</x:v>
      </x:c>
      <x:c r="H68" s="97" t="str"/>
      <x:c r="I68" s="97" t="str">
        <x:v>No occupation is inferred from name, sex, residence, spouse, or family role.</x:v>
      </x:c>
    </x:row>
    <x:row r="69">
      <x:c r="A69" s="97" t="str">
        <x:v>I072</x:v>
      </x:c>
      <x:c r="B69" s="97" t="str">
        <x:v>Mary Royce</x:v>
      </x:c>
      <x:c r="C69" s="97" t="str"/>
      <x:c r="D69" s="97" t="str">
        <x:v>0</x:v>
      </x:c>
      <x:c r="E69" s="97" t="str">
        <x:v>unresolved—no supported occupation found</x:v>
      </x:c>
      <x:c r="F69" s="97" t="str"/>
      <x:c r="G69" s="97" t="str">
        <x:v>S7</x:v>
      </x:c>
      <x:c r="H69" s="97" t="str"/>
      <x:c r="I69" s="97" t="str">
        <x:v>No occupation is inferred from name, sex, residence, spouse, or family role.</x:v>
      </x:c>
    </x:row>
    <x:row r="70">
      <x:c r="A70" s="97" t="str">
        <x:v>I073</x:v>
      </x:c>
      <x:c r="B70" s="97" t="str">
        <x:v>John Stone</x:v>
      </x:c>
      <x:c r="C70" s="97" t="str"/>
      <x:c r="D70" s="97" t="str">
        <x:v>0</x:v>
      </x:c>
      <x:c r="E70" s="97" t="str">
        <x:v>unresolved—no supported occupation found</x:v>
      </x:c>
      <x:c r="F70" s="97" t="str"/>
      <x:c r="G70" s="97" t="str">
        <x:v>S7</x:v>
      </x:c>
      <x:c r="H70" s="97" t="str"/>
      <x:c r="I70" s="97" t="str">
        <x:v>No occupation is inferred from name, sex, residence, spouse, or family role.</x:v>
      </x:c>
    </x:row>
    <x:row r="71">
      <x:c r="A71" s="97" t="str">
        <x:v>I074</x:v>
      </x:c>
      <x:c r="B71" s="97" t="str">
        <x:v>Mary</x:v>
      </x:c>
      <x:c r="C71" s="97" t="str"/>
      <x:c r="D71" s="97" t="str">
        <x:v>0</x:v>
      </x:c>
      <x:c r="E71" s="97" t="str">
        <x:v>unresolved—no supported occupation found</x:v>
      </x:c>
      <x:c r="F71" s="97" t="str"/>
      <x:c r="G71" s="97" t="str">
        <x:v>S7</x:v>
      </x:c>
      <x:c r="H71" s="97" t="str"/>
      <x:c r="I71" s="97" t="str">
        <x:v>No occupation is inferred from name, sex, residence, spouse, or family role.</x:v>
      </x:c>
    </x:row>
    <x:row r="72">
      <x:c r="A72" s="97" t="str">
        <x:v>I075</x:v>
      </x:c>
      <x:c r="B72" s="97" t="str">
        <x:v>Vincent Meigs</x:v>
      </x:c>
      <x:c r="C72" s="97" t="str"/>
      <x:c r="D72" s="97" t="str">
        <x:v>0</x:v>
      </x:c>
      <x:c r="E72" s="97" t="str">
        <x:v>unresolved—no supported occupation found</x:v>
      </x:c>
      <x:c r="F72" s="97" t="str"/>
      <x:c r="G72" s="97" t="str">
        <x:v>S7</x:v>
      </x:c>
      <x:c r="H72" s="97" t="str"/>
      <x:c r="I72" s="97" t="str">
        <x:v>No occupation is inferred from name, sex, residence, spouse, or family role.</x:v>
      </x:c>
    </x:row>
    <x:row r="73">
      <x:c r="A73" s="97" t="str">
        <x:v>I076</x:v>
      </x:c>
      <x:c r="B73" s="97" t="str">
        <x:v>Tamasin Fry</x:v>
      </x:c>
      <x:c r="C73" s="97" t="str"/>
      <x:c r="D73" s="97" t="str">
        <x:v>0</x:v>
      </x:c>
      <x:c r="E73" s="97" t="str">
        <x:v>unresolved—no supported occupation found</x:v>
      </x:c>
      <x:c r="F73" s="97" t="str"/>
      <x:c r="G73" s="97" t="str">
        <x:v>S7</x:v>
      </x:c>
      <x:c r="H73" s="97" t="str"/>
      <x:c r="I73" s="97" t="str">
        <x:v>No occupation is inferred from name, sex, residence, spouse, or family role.</x:v>
      </x:c>
    </x:row>
    <x:row r="74">
      <x:c r="A74" s="97" t="str">
        <x:v>I077</x:v>
      </x:c>
      <x:c r="B74" s="97" t="str">
        <x:v>William Wilcockson</x:v>
      </x:c>
      <x:c r="C74" s="97" t="str"/>
      <x:c r="D74" s="97" t="str">
        <x:v>0</x:v>
      </x:c>
      <x:c r="E74" s="97" t="str">
        <x:v>unresolved—no supported occupation found</x:v>
      </x:c>
      <x:c r="F74" s="97" t="str"/>
      <x:c r="G74" s="97" t="str">
        <x:v>S7</x:v>
      </x:c>
      <x:c r="H74" s="97" t="str"/>
      <x:c r="I74" s="97" t="str">
        <x:v>No occupation is inferred from name, sex, residence, spouse, or family role.</x:v>
      </x:c>
    </x:row>
    <x:row r="75">
      <x:c r="A75" s="97" t="str">
        <x:v>I078</x:v>
      </x:c>
      <x:c r="B75" s="97" t="str">
        <x:v>Margaret Harvey</x:v>
      </x:c>
      <x:c r="C75" s="97" t="str"/>
      <x:c r="D75" s="97" t="str">
        <x:v>0</x:v>
      </x:c>
      <x:c r="E75" s="97" t="str">
        <x:v>unresolved—no supported occupation found</x:v>
      </x:c>
      <x:c r="F75" s="97" t="str"/>
      <x:c r="G75" s="97" t="str">
        <x:v>S7</x:v>
      </x:c>
      <x:c r="H75" s="97" t="str"/>
      <x:c r="I75" s="97" t="str">
        <x:v>No occupation is inferred from name, sex, residence, spouse, or family role.</x:v>
      </x:c>
    </x:row>
    <x:row r="76">
      <x:c r="A76" s="97" t="str">
        <x:v>I079</x:v>
      </x:c>
      <x:c r="B76" s="97" t="str">
        <x:v>John Evarts</x:v>
      </x:c>
      <x:c r="C76" s="97" t="str"/>
      <x:c r="D76" s="97" t="str">
        <x:v>0</x:v>
      </x:c>
      <x:c r="E76" s="97" t="str">
        <x:v>unresolved—no supported occupation found</x:v>
      </x:c>
      <x:c r="F76" s="97" t="str"/>
      <x:c r="G76" s="97" t="str">
        <x:v>S7</x:v>
      </x:c>
      <x:c r="H76" s="97" t="str"/>
      <x:c r="I76" s="97" t="str">
        <x:v>No occupation is inferred from name, sex, residence, spouse, or family role.</x:v>
      </x:c>
    </x:row>
    <x:row r="77">
      <x:c r="A77" s="97" t="str">
        <x:v>I080</x:v>
      </x:c>
      <x:c r="B77" s="97" t="str">
        <x:v>Elizabeth</x:v>
      </x:c>
      <x:c r="C77" s="97" t="str"/>
      <x:c r="D77" s="97" t="str">
        <x:v>0</x:v>
      </x:c>
      <x:c r="E77" s="97" t="str">
        <x:v>unresolved—no supported occupation found</x:v>
      </x:c>
      <x:c r="F77" s="97" t="str"/>
      <x:c r="G77" s="97" t="str">
        <x:v>S7</x:v>
      </x:c>
      <x:c r="H77" s="97" t="str"/>
      <x:c r="I77" s="97" t="str">
        <x:v>No occupation is inferred from name, sex, residence, spouse, or family role.</x:v>
      </x:c>
    </x:row>
    <x:row r="78">
      <x:c r="A78" s="97" t="str">
        <x:v>I081</x:v>
      </x:c>
      <x:c r="B78" s="97" t="str">
        <x:v>Henry Dowd</x:v>
      </x:c>
      <x:c r="C78" s="97" t="str"/>
      <x:c r="D78" s="97" t="str">
        <x:v>0</x:v>
      </x:c>
      <x:c r="E78" s="97" t="str">
        <x:v>unresolved—no supported occupation found</x:v>
      </x:c>
      <x:c r="F78" s="97" t="str"/>
      <x:c r="G78" s="97" t="str">
        <x:v>S7</x:v>
      </x:c>
      <x:c r="H78" s="97" t="str"/>
      <x:c r="I78" s="97" t="str">
        <x:v>No occupation is inferred from name, sex, residence, spouse, or family role.</x:v>
      </x:c>
    </x:row>
    <x:row r="79">
      <x:c r="A79" s="97" t="str">
        <x:v>I082</x:v>
      </x:c>
      <x:c r="B79" s="97" t="str">
        <x:v>Andrew Ward</x:v>
      </x:c>
      <x:c r="C79" s="97" t="str"/>
      <x:c r="D79" s="97" t="str">
        <x:v>0</x:v>
      </x:c>
      <x:c r="E79" s="97" t="str">
        <x:v>unresolved—no supported occupation found</x:v>
      </x:c>
      <x:c r="F79" s="97" t="str"/>
      <x:c r="G79" s="97" t="str">
        <x:v>S7</x:v>
      </x:c>
      <x:c r="H79" s="97" t="str"/>
      <x:c r="I79" s="97" t="str">
        <x:v>No occupation is inferred from name, sex, residence, spouse, or family role.</x:v>
      </x:c>
    </x:row>
    <x:row r="80">
      <x:c r="A80" s="97" t="str">
        <x:v>I083</x:v>
      </x:c>
      <x:c r="B80" s="97" t="str">
        <x:v>Hester Sherman</x:v>
      </x:c>
      <x:c r="C80" s="97" t="str"/>
      <x:c r="D80" s="97" t="str">
        <x:v>0</x:v>
      </x:c>
      <x:c r="E80" s="97" t="str">
        <x:v>unresolved—no supported occupation found</x:v>
      </x:c>
      <x:c r="F80" s="97" t="str"/>
      <x:c r="G80" s="97" t="str">
        <x:v>S7</x:v>
      </x:c>
      <x:c r="H80" s="97" t="str"/>
      <x:c r="I80" s="97" t="str">
        <x:v>No occupation is inferred from name, sex, residence, spouse, or family role.</x:v>
      </x:c>
    </x:row>
    <x:row r="81">
      <x:c r="A81" s="97" t="str">
        <x:v>I084</x:v>
      </x:c>
      <x:c r="B81" s="97" t="str">
        <x:v>Thomas Beach</x:v>
      </x:c>
      <x:c r="C81" s="97" t="str"/>
      <x:c r="D81" s="97" t="str">
        <x:v>0</x:v>
      </x:c>
      <x:c r="E81" s="97" t="str">
        <x:v>unresolved—no supported occupation found</x:v>
      </x:c>
      <x:c r="F81" s="97" t="str"/>
      <x:c r="G81" s="97" t="str">
        <x:v>S7</x:v>
      </x:c>
      <x:c r="H81" s="97" t="str"/>
      <x:c r="I81" s="97" t="str">
        <x:v>No occupation is inferred from name, sex, residence, spouse, or family role.</x:v>
      </x:c>
    </x:row>
    <x:row r="82">
      <x:c r="A82" s="97" t="str">
        <x:v>I085</x:v>
      </x:c>
      <x:c r="B82" s="97" t="str">
        <x:v>Sarah Platt</x:v>
      </x:c>
      <x:c r="C82" s="97" t="str"/>
      <x:c r="D82" s="97" t="str">
        <x:v>0</x:v>
      </x:c>
      <x:c r="E82" s="97" t="str">
        <x:v>unresolved—no supported occupation found</x:v>
      </x:c>
      <x:c r="F82" s="97" t="str"/>
      <x:c r="G82" s="97" t="str">
        <x:v>S7</x:v>
      </x:c>
      <x:c r="H82" s="97" t="str"/>
      <x:c r="I82" s="97" t="str">
        <x:v>No occupation is inferred from name, sex, residence, spouse, or family role.</x:v>
      </x:c>
    </x:row>
    <x:row r="83">
      <x:c r="A83" s="97" t="str">
        <x:v>I086</x:v>
      </x:c>
      <x:c r="B83" s="97" t="str">
        <x:v>Jonathan Royce</x:v>
      </x:c>
      <x:c r="C83" s="97" t="str"/>
      <x:c r="D83" s="97" t="str">
        <x:v>0</x:v>
      </x:c>
      <x:c r="E83" s="97" t="str">
        <x:v>unresolved—no supported occupation found</x:v>
      </x:c>
      <x:c r="F83" s="97" t="str"/>
      <x:c r="G83" s="97" t="str">
        <x:v>S7</x:v>
      </x:c>
      <x:c r="H83" s="97" t="str"/>
      <x:c r="I83" s="97" t="str">
        <x:v>No occupation is inferred from name, sex, residence, spouse, or family role.</x:v>
      </x:c>
    </x:row>
    <x:row r="84">
      <x:c r="A84" s="97" t="str">
        <x:v>I087</x:v>
      </x:c>
      <x:c r="B84" s="97" t="str">
        <x:v>Ann Spinning</x:v>
      </x:c>
      <x:c r="C84" s="97" t="str"/>
      <x:c r="D84" s="97" t="str">
        <x:v>0</x:v>
      </x:c>
      <x:c r="E84" s="97" t="str">
        <x:v>unresolved—no supported occupation found</x:v>
      </x:c>
      <x:c r="F84" s="97" t="str"/>
      <x:c r="G84" s="97" t="str">
        <x:v>S7</x:v>
      </x:c>
      <x:c r="H84" s="97" t="str"/>
      <x:c r="I84" s="97" t="str">
        <x:v>No occupation is inferred from name, sex, residence, spouse, or family role.</x:v>
      </x:c>
    </x:row>
    <x:row r="85">
      <x:c r="A85" s="97" t="str">
        <x:v>I088</x:v>
      </x:c>
      <x:c r="B85" s="97" t="str">
        <x:v>James Harvey</x:v>
      </x:c>
      <x:c r="C85" s="97" t="str"/>
      <x:c r="D85" s="97" t="str">
        <x:v>0</x:v>
      </x:c>
      <x:c r="E85" s="97" t="str">
        <x:v>unresolved—no supported occupation found</x:v>
      </x:c>
      <x:c r="F85" s="97" t="str"/>
      <x:c r="G85" s="97" t="str">
        <x:v>S7</x:v>
      </x:c>
      <x:c r="H85" s="97" t="str"/>
      <x:c r="I85" s="97" t="str">
        <x:v>No occupation is inferred from name, sex, residence, spouse, or family role.</x:v>
      </x:c>
    </x:row>
    <x:row r="86">
      <x:c r="A86" s="97" t="str">
        <x:v>I089</x:v>
      </x:c>
      <x:c r="B86" s="97" t="str">
        <x:v>Edmund Sherman</x:v>
      </x:c>
      <x:c r="C86" s="97" t="str"/>
      <x:c r="D86" s="97" t="str">
        <x:v>0</x:v>
      </x:c>
      <x:c r="E86" s="97" t="str">
        <x:v>unresolved—no supported occupation found</x:v>
      </x:c>
      <x:c r="F86" s="97" t="str"/>
      <x:c r="G86" s="97" t="str">
        <x:v>S7</x:v>
      </x:c>
      <x:c r="H86" s="97" t="str"/>
      <x:c r="I86" s="97" t="str">
        <x:v>No occupation is inferred from name, sex, residence, spouse, or family role.</x:v>
      </x:c>
    </x:row>
    <x:row r="87">
      <x:c r="A87" s="97" t="str">
        <x:v>I090</x:v>
      </x:c>
      <x:c r="B87" s="97" t="str">
        <x:v>Grace Makin</x:v>
      </x:c>
      <x:c r="C87" s="97" t="str"/>
      <x:c r="D87" s="97" t="str">
        <x:v>0</x:v>
      </x:c>
      <x:c r="E87" s="97" t="str">
        <x:v>unresolved—no supported occupation found</x:v>
      </x:c>
      <x:c r="F87" s="97" t="str"/>
      <x:c r="G87" s="97" t="str">
        <x:v>S7</x:v>
      </x:c>
      <x:c r="H87" s="97" t="str"/>
      <x:c r="I87" s="97" t="str">
        <x:v>No occupation is inferred from name, sex, residence, spouse, or family role.</x:v>
      </x:c>
    </x:row>
    <x:row r="88">
      <x:c r="A88" s="97" t="str">
        <x:v>I091</x:v>
      </x:c>
      <x:c r="B88" s="97" t="str">
        <x:v>Unknown Beach</x:v>
      </x:c>
      <x:c r="C88" s="97" t="str"/>
      <x:c r="D88" s="97" t="str">
        <x:v>0</x:v>
      </x:c>
      <x:c r="E88" s="97" t="str">
        <x:v>unresolved—no supported occupation found</x:v>
      </x:c>
      <x:c r="F88" s="97" t="str"/>
      <x:c r="G88" s="97" t="str">
        <x:v>S7</x:v>
      </x:c>
      <x:c r="H88" s="97" t="str"/>
      <x:c r="I88" s="97" t="str">
        <x:v>No occupation is inferred from name, sex, residence, spouse, or family role.</x:v>
      </x:c>
    </x:row>
    <x:row r="89">
      <x:c r="A89" s="97" t="str">
        <x:v>I092</x:v>
      </x:c>
      <x:c r="B89" s="97" t="str">
        <x:v>Richard Platt</x:v>
      </x:c>
      <x:c r="C89" s="97" t="str"/>
      <x:c r="D89" s="97" t="str">
        <x:v>0</x:v>
      </x:c>
      <x:c r="E89" s="97" t="str">
        <x:v>unresolved—no supported occupation found</x:v>
      </x:c>
      <x:c r="F89" s="97" t="str"/>
      <x:c r="G89" s="97" t="str">
        <x:v>S7</x:v>
      </x:c>
      <x:c r="H89" s="97" t="str"/>
      <x:c r="I89" s="97" t="str">
        <x:v>No occupation is inferred from name, sex, residence, spouse, or family role.</x:v>
      </x:c>
    </x:row>
    <x:row r="90">
      <x:c r="A90" s="97" t="str">
        <x:v>I093</x:v>
      </x:c>
      <x:c r="B90" s="97" t="str">
        <x:v>Mary Wood</x:v>
      </x:c>
      <x:c r="C90" s="97" t="str"/>
      <x:c r="D90" s="97" t="str">
        <x:v>0</x:v>
      </x:c>
      <x:c r="E90" s="97" t="str">
        <x:v>unresolved—no supported occupation found</x:v>
      </x:c>
      <x:c r="F90" s="97" t="str"/>
      <x:c r="G90" s="97" t="str">
        <x:v>S7</x:v>
      </x:c>
      <x:c r="H90" s="97" t="str"/>
      <x:c r="I90" s="97" t="str">
        <x:v>No occupation is inferred from name, sex, residence, spouse, or family role.</x:v>
      </x:c>
    </x:row>
    <x:row r="91">
      <x:c r="A91" s="97" t="str">
        <x:v>I094</x:v>
      </x:c>
      <x:c r="B91" s="97" t="str">
        <x:v>Robert Royce</x:v>
      </x:c>
      <x:c r="C91" s="97" t="str"/>
      <x:c r="D91" s="97" t="str">
        <x:v>0</x:v>
      </x:c>
      <x:c r="E91" s="97" t="str">
        <x:v>unresolved—no supported occupation found</x:v>
      </x:c>
      <x:c r="F91" s="97" t="str"/>
      <x:c r="G91" s="97" t="str">
        <x:v>S7</x:v>
      </x:c>
      <x:c r="H91" s="97" t="str"/>
      <x:c r="I91" s="97" t="str">
        <x:v>No occupation is inferred from name, sex, residence, spouse, or family role.</x:v>
      </x:c>
    </x:row>
    <x:row r="92">
      <x:c r="A92" s="97" t="str">
        <x:v>I095</x:v>
      </x:c>
      <x:c r="B92" s="97" t="str">
        <x:v>Mary</x:v>
      </x:c>
      <x:c r="C92" s="97" t="str"/>
      <x:c r="D92" s="97" t="str">
        <x:v>0</x:v>
      </x:c>
      <x:c r="E92" s="97" t="str">
        <x:v>unresolved—no supported occupation found</x:v>
      </x:c>
      <x:c r="F92" s="97" t="str"/>
      <x:c r="G92" s="97" t="str">
        <x:v>S7</x:v>
      </x:c>
      <x:c r="H92" s="97" t="str"/>
      <x:c r="I92" s="97" t="str">
        <x:v>No occupation is inferred from name, sex, residence, spouse, or family role.</x:v>
      </x:c>
    </x:row>
    <x:row r="93">
      <x:c r="A93" s="97" t="str">
        <x:v>I096</x:v>
      </x:c>
      <x:c r="B93" s="97" t="str">
        <x:v>Humphrey Spinning</x:v>
      </x:c>
      <x:c r="C93" s="97" t="str"/>
      <x:c r="D93" s="97" t="str">
        <x:v>0</x:v>
      </x:c>
      <x:c r="E93" s="97" t="str">
        <x:v>unresolved—no supported occupation found</x:v>
      </x:c>
      <x:c r="F93" s="97" t="str"/>
      <x:c r="G93" s="97" t="str">
        <x:v>S7</x:v>
      </x:c>
      <x:c r="H93" s="97" t="str"/>
      <x:c r="I93" s="97" t="str">
        <x:v>No occupation is inferred from name, sex, residence, spouse, or family role.</x:v>
      </x:c>
    </x:row>
    <x:row r="94">
      <x:c r="A94" s="97" t="str">
        <x:v>I097</x:v>
      </x:c>
      <x:c r="B94" s="97" t="str">
        <x:v>Edmund Sherman</x:v>
      </x:c>
      <x:c r="C94" s="97" t="str"/>
      <x:c r="D94" s="97" t="str">
        <x:v>0</x:v>
      </x:c>
      <x:c r="E94" s="97" t="str">
        <x:v>unresolved—no supported occupation found</x:v>
      </x:c>
      <x:c r="F94" s="97" t="str"/>
      <x:c r="G94" s="97" t="str">
        <x:v>S7</x:v>
      </x:c>
      <x:c r="H94" s="97" t="str"/>
      <x:c r="I94" s="97" t="str">
        <x:v>No occupation is inferred from name, sex, residence, spouse, or family role.</x:v>
      </x:c>
    </x:row>
    <x:row r="95">
      <x:c r="A95" s="97" t="str">
        <x:v>I098</x:v>
      </x:c>
      <x:c r="B95" s="97" t="str">
        <x:v>Anne Pellett</x:v>
      </x:c>
      <x:c r="C95" s="97" t="str"/>
      <x:c r="D95" s="97" t="str">
        <x:v>0</x:v>
      </x:c>
      <x:c r="E95" s="97" t="str">
        <x:v>unresolved—no supported occupation found</x:v>
      </x:c>
      <x:c r="F95" s="97" t="str"/>
      <x:c r="G95" s="97" t="str">
        <x:v>S7</x:v>
      </x:c>
      <x:c r="H95" s="97" t="str"/>
      <x:c r="I95" s="97" t="str">
        <x:v>No occupation is inferred from name, sex, residence, spouse, or family role.</x:v>
      </x:c>
    </x:row>
    <x:row r="96">
      <x:c r="A96" s="97" t="str">
        <x:v>I099</x:v>
      </x:c>
      <x:c r="B96" s="97" t="str">
        <x:v>Tobias Makin</x:v>
      </x:c>
      <x:c r="C96" s="97" t="str"/>
      <x:c r="D96" s="97" t="str">
        <x:v>0</x:v>
      </x:c>
      <x:c r="E96" s="97" t="str">
        <x:v>unresolved—no supported occupation found</x:v>
      </x:c>
      <x:c r="F96" s="97" t="str"/>
      <x:c r="G96" s="97" t="str">
        <x:v>S7</x:v>
      </x:c>
      <x:c r="H96" s="97" t="str"/>
      <x:c r="I96" s="97" t="str">
        <x:v>No occupation is inferred from name, sex, residence, spouse, or family role.</x:v>
      </x:c>
    </x:row>
    <x:row r="97">
      <x:c r="A97" s="97" t="str">
        <x:v>I100</x:v>
      </x:c>
      <x:c r="B97" s="97" t="str">
        <x:v>Katherine Westbrome</x:v>
      </x:c>
      <x:c r="C97" s="97" t="str"/>
      <x:c r="D97" s="97" t="str">
        <x:v>0</x:v>
      </x:c>
      <x:c r="E97" s="97" t="str">
        <x:v>unresolved—no supported occupation found</x:v>
      </x:c>
      <x:c r="F97" s="97" t="str"/>
      <x:c r="G97" s="97" t="str">
        <x:v>S7</x:v>
      </x:c>
      <x:c r="H97" s="97" t="str"/>
      <x:c r="I97" s="97" t="str">
        <x:v>No occupation is inferred from name, sex, residence, spouse, or family role.</x:v>
      </x:c>
    </x:row>
    <x:row r="98">
      <x:c r="A98" s="97" t="str">
        <x:v>I101</x:v>
      </x:c>
      <x:c r="B98" s="97" t="str">
        <x:v>George Platt</x:v>
      </x:c>
      <x:c r="C98" s="97" t="str"/>
      <x:c r="D98" s="97" t="str">
        <x:v>0</x:v>
      </x:c>
      <x:c r="E98" s="97" t="str">
        <x:v>unresolved—no supported occupation found</x:v>
      </x:c>
      <x:c r="F98" s="97" t="str"/>
      <x:c r="G98" s="97" t="str">
        <x:v>S7</x:v>
      </x:c>
      <x:c r="H98" s="97" t="str"/>
      <x:c r="I98" s="97" t="str">
        <x:v>No occupation is inferred from name, sex, residence, spouse, or family role.</x:v>
      </x:c>
    </x:row>
    <x:row r="99">
      <x:c r="A99" s="97" t="str">
        <x:v>I102</x:v>
      </x:c>
      <x:c r="B99" s="97" t="str">
        <x:v>Mary</x:v>
      </x:c>
      <x:c r="C99" s="97" t="str"/>
      <x:c r="D99" s="97" t="str">
        <x:v>0</x:v>
      </x:c>
      <x:c r="E99" s="97" t="str">
        <x:v>unresolved—no supported occupation found</x:v>
      </x:c>
      <x:c r="F99" s="97" t="str"/>
      <x:c r="G99" s="97" t="str">
        <x:v>S7</x:v>
      </x:c>
      <x:c r="H99" s="97" t="str"/>
      <x:c r="I99" s="97" t="str">
        <x:v>No occupation is inferred from name, sex, residence, spouse, or family role.</x:v>
      </x:c>
    </x:row>
    <x:row r="100">
      <x:c r="A100" s="97" t="str">
        <x:v>I103</x:v>
      </x:c>
      <x:c r="B100" s="97" t="str">
        <x:v>John Wood</x:v>
      </x:c>
      <x:c r="C100" s="97" t="str"/>
      <x:c r="D100" s="97" t="str">
        <x:v>0</x:v>
      </x:c>
      <x:c r="E100" s="97" t="str">
        <x:v>unresolved—no supported occupation found</x:v>
      </x:c>
      <x:c r="F100" s="97" t="str"/>
      <x:c r="G100" s="97" t="str">
        <x:v>S7</x:v>
      </x:c>
      <x:c r="H100" s="97" t="str"/>
      <x:c r="I100" s="97" t="str">
        <x:v>No occupation is inferred from name, sex, residence, spouse, or family role.</x:v>
      </x:c>
    </x:row>
    <x:row r="101">
      <x:c r="A101" s="97" t="str">
        <x:v>I104</x:v>
      </x:c>
      <x:c r="B101" s="97" t="str">
        <x:v>Jane</x:v>
      </x:c>
      <x:c r="C101" s="97" t="str"/>
      <x:c r="D101" s="97" t="str">
        <x:v>0</x:v>
      </x:c>
      <x:c r="E101" s="97" t="str">
        <x:v>unresolved—no supported occupation found</x:v>
      </x:c>
      <x:c r="F101" s="97" t="str"/>
      <x:c r="G101" s="97" t="str">
        <x:v>S7</x:v>
      </x:c>
      <x:c r="H101" s="97" t="str"/>
      <x:c r="I101" s="97" t="str">
        <x:v>No occupation is inferred from name, sex, residence, spouse, or family role.</x:v>
      </x:c>
    </x:row>
    <x:row r="102">
      <x:c r="A102" s="97" t="str">
        <x:v>I105</x:v>
      </x:c>
      <x:c r="B102" s="97" t="str">
        <x:v>Henry Sherman</x:v>
      </x:c>
      <x:c r="C102" s="97" t="str"/>
      <x:c r="D102" s="97" t="str">
        <x:v>0</x:v>
      </x:c>
      <x:c r="E102" s="97" t="str">
        <x:v>unresolved—no supported occupation found</x:v>
      </x:c>
      <x:c r="F102" s="97" t="str"/>
      <x:c r="G102" s="97" t="str">
        <x:v>S7</x:v>
      </x:c>
      <x:c r="H102" s="97" t="str"/>
      <x:c r="I102" s="97" t="str">
        <x:v>No occupation is inferred from name, sex, residence, spouse, or family role.</x:v>
      </x:c>
    </x:row>
    <x:row r="103">
      <x:c r="A103" s="97" t="str">
        <x:v>I106</x:v>
      </x:c>
      <x:c r="B103" s="97" t="str">
        <x:v>Agnes</x:v>
      </x:c>
      <x:c r="C103" s="97" t="str"/>
      <x:c r="D103" s="97" t="str">
        <x:v>0</x:v>
      </x:c>
      <x:c r="E103" s="97" t="str">
        <x:v>unresolved—no supported occupation found</x:v>
      </x:c>
      <x:c r="F103" s="97" t="str"/>
      <x:c r="G103" s="97" t="str">
        <x:v>S7</x:v>
      </x:c>
      <x:c r="H103" s="97" t="str"/>
      <x:c r="I103" s="97" t="str">
        <x:v>No occupation is inferred from name, sex, residence, spouse, or family role.</x:v>
      </x:c>
    </x:row>
    <x:row r="104">
      <x:c r="A104" s="97" t="str">
        <x:v>I107</x:v>
      </x:c>
      <x:c r="B104" s="97" t="str">
        <x:v>William Pellett</x:v>
      </x:c>
      <x:c r="C104" s="97" t="str"/>
      <x:c r="D104" s="97" t="str">
        <x:v>0</x:v>
      </x:c>
      <x:c r="E104" s="97" t="str">
        <x:v>unresolved—no supported occupation found</x:v>
      </x:c>
      <x:c r="F104" s="97" t="str"/>
      <x:c r="G104" s="97" t="str">
        <x:v>S7</x:v>
      </x:c>
      <x:c r="H104" s="97" t="str"/>
      <x:c r="I104" s="97" t="str">
        <x:v>No occupation is inferred from name, sex, residence, spouse, or family role.</x:v>
      </x:c>
    </x:row>
    <x:row r="105">
      <x:c r="A105" s="97" t="str">
        <x:v>I108</x:v>
      </x:c>
      <x:c r="B105" s="97" t="str">
        <x:v>John Makin</x:v>
      </x:c>
      <x:c r="C105" s="97" t="str"/>
      <x:c r="D105" s="97" t="str">
        <x:v>0</x:v>
      </x:c>
      <x:c r="E105" s="97" t="str">
        <x:v>unresolved—no supported occupation found</x:v>
      </x:c>
      <x:c r="F105" s="97" t="str"/>
      <x:c r="G105" s="97" t="str">
        <x:v>S7</x:v>
      </x:c>
      <x:c r="H105" s="97" t="str"/>
      <x:c r="I105" s="97" t="str">
        <x:v>No occupation is inferred from name, sex, residence, spouse, or family role.</x:v>
      </x:c>
    </x:row>
    <x:row r="106">
      <x:c r="A106" s="97" t="str">
        <x:v>I109</x:v>
      </x:c>
      <x:c r="B106" s="97" t="str">
        <x:v>Agnes</x:v>
      </x:c>
      <x:c r="C106" s="97" t="str"/>
      <x:c r="D106" s="97" t="str">
        <x:v>0</x:v>
      </x:c>
      <x:c r="E106" s="97" t="str">
        <x:v>unresolved—no supported occupation found</x:v>
      </x:c>
      <x:c r="F106" s="97" t="str"/>
      <x:c r="G106" s="97" t="str">
        <x:v>S7</x:v>
      </x:c>
      <x:c r="H106" s="97" t="str"/>
      <x:c r="I106" s="97" t="str">
        <x:v>No occupation is inferred from name, sex, residence, spouse, or family role.</x:v>
      </x:c>
    </x:row>
    <x:row r="107">
      <x:c r="A107" s="97" t="str">
        <x:v>I110</x:v>
      </x:c>
      <x:c r="B107" s="97" t="str">
        <x:v>Thomas Westbrome</x:v>
      </x:c>
      <x:c r="C107" s="97" t="str"/>
      <x:c r="D107" s="97" t="str">
        <x:v>0</x:v>
      </x:c>
      <x:c r="E107" s="97" t="str">
        <x:v>unresolved—no supported occupation found</x:v>
      </x:c>
      <x:c r="F107" s="97" t="str"/>
      <x:c r="G107" s="97" t="str">
        <x:v>S7</x:v>
      </x:c>
      <x:c r="H107" s="97" t="str"/>
      <x:c r="I107" s="97" t="str">
        <x:v>No occupation is inferred from name, sex, residence, spouse, or family role.</x:v>
      </x:c>
    </x:row>
    <x:row r="108">
      <x:c r="A108" s="97" t="str">
        <x:v>I111</x:v>
      </x:c>
      <x:c r="B108" s="97" t="str">
        <x:v>Elizabeth</x:v>
      </x:c>
      <x:c r="C108" s="97" t="str"/>
      <x:c r="D108" s="97" t="str">
        <x:v>0</x:v>
      </x:c>
      <x:c r="E108" s="97" t="str">
        <x:v>unresolved—no supported occupation found</x:v>
      </x:c>
      <x:c r="F108" s="97" t="str"/>
      <x:c r="G108" s="97" t="str">
        <x:v>S7</x:v>
      </x:c>
      <x:c r="H108" s="97" t="str"/>
      <x:c r="I108" s="97" t="str">
        <x:v>No occupation is inferred from name, sex, residence, spouse, or family role.</x:v>
      </x:c>
    </x:row>
    <x:row r="109">
      <x:c r="A109" s="97" t="str">
        <x:v>I112</x:v>
      </x:c>
      <x:c r="B109" s="97" t="str">
        <x:v>Simon Platt</x:v>
      </x:c>
      <x:c r="C109" s="97" t="str"/>
      <x:c r="D109" s="97" t="str">
        <x:v>0</x:v>
      </x:c>
      <x:c r="E109" s="97" t="str">
        <x:v>unresolved—no supported occupation found</x:v>
      </x:c>
      <x:c r="F109" s="97" t="str"/>
      <x:c r="G109" s="97" t="str">
        <x:v>S7</x:v>
      </x:c>
      <x:c r="H109" s="97" t="str"/>
      <x:c r="I109" s="97" t="str">
        <x:v>No occupation is inferred from name, sex, residence, spouse, or family role.</x:v>
      </x:c>
    </x:row>
    <x:row r="110">
      <x:c r="A110" s="97" t="str">
        <x:v>I113</x:v>
      </x:c>
      <x:c r="B110" s="97" t="str">
        <x:v>Elizabeth</x:v>
      </x:c>
      <x:c r="C110" s="97" t="str"/>
      <x:c r="D110" s="97" t="str">
        <x:v>0</x:v>
      </x:c>
      <x:c r="E110" s="97" t="str">
        <x:v>unresolved—no supported occupation found</x:v>
      </x:c>
      <x:c r="F110" s="97" t="str"/>
      <x:c r="G110" s="97" t="str">
        <x:v>S7</x:v>
      </x:c>
      <x:c r="H110" s="97" t="str"/>
      <x:c r="I110" s="97" t="str">
        <x:v>No occupation is inferred from name, sex, residence, spouse, or family role.</x:v>
      </x:c>
    </x:row>
    <x:row r="111">
      <x:c r="A111" s="97" t="str">
        <x:v>I114</x:v>
      </x:c>
      <x:c r="B111" s="97" t="str">
        <x:v>Charles Ellsworth McCormick I</x:v>
      </x:c>
      <x:c r="C111" s="97" t="str"/>
      <x:c r="D111" s="97" t="str">
        <x:v>0</x:v>
      </x:c>
      <x:c r="E111" s="97" t="str">
        <x:v>unresolved—no supported occupation found</x:v>
      </x:c>
      <x:c r="F111" s="97" t="str"/>
      <x:c r="G111" s="97" t="str">
        <x:v>S3;S14;S22;S27</x:v>
      </x:c>
      <x:c r="H111" s="97" t="str"/>
      <x:c r="I111" s="97" t="str">
        <x:v>No occupation is inferred from name, sex, residence, spouse, or family role.</x:v>
      </x:c>
    </x:row>
    <x:row r="112">
      <x:c r="A112" s="97" t="str">
        <x:v>I115</x:v>
      </x:c>
      <x:c r="B112" s="97" t="str">
        <x:v>Mary Moore Brooks</x:v>
      </x:c>
      <x:c r="C112" s="97" t="str"/>
      <x:c r="D112" s="97" t="str">
        <x:v>0</x:v>
      </x:c>
      <x:c r="E112" s="97" t="str">
        <x:v>unresolved—no supported occupation found</x:v>
      </x:c>
      <x:c r="F112" s="97" t="str"/>
      <x:c r="G112" s="97" t="str">
        <x:v>S3;S17;S27</x:v>
      </x:c>
      <x:c r="H112" s="97" t="str"/>
      <x:c r="I112" s="97" t="str">
        <x:v>No occupation is inferred from name, sex, residence, spouse, or family role.</x:v>
      </x:c>
    </x:row>
    <x:row r="113">
      <x:c r="A113" s="97" t="str">
        <x:v>I116</x:v>
      </x:c>
      <x:c r="B113" s="97" t="str">
        <x:v>Edward H. McCormick</x:v>
      </x:c>
      <x:c r="C113" s="97" t="str"/>
      <x:c r="D113" s="97" t="str">
        <x:v>0</x:v>
      </x:c>
      <x:c r="E113" s="97" t="str">
        <x:v>unresolved—no supported occupation found</x:v>
      </x:c>
      <x:c r="F113" s="97" t="str"/>
      <x:c r="G113" s="97" t="str">
        <x:v>S14;S15;S16</x:v>
      </x:c>
      <x:c r="H113" s="97" t="str"/>
      <x:c r="I113" s="97" t="str">
        <x:v>No occupation is inferred from name, sex, residence, spouse, or family role.</x:v>
      </x:c>
    </x:row>
    <x:row r="114">
      <x:c r="A114" s="97" t="str">
        <x:v>I117</x:v>
      </x:c>
      <x:c r="B114" s="97" t="str">
        <x:v>Martha Ann Annie O’Brien</x:v>
      </x:c>
      <x:c r="C114" s="97" t="str"/>
      <x:c r="D114" s="97" t="str">
        <x:v>0</x:v>
      </x:c>
      <x:c r="E114" s="97" t="str">
        <x:v>unresolved—no supported occupation found</x:v>
      </x:c>
      <x:c r="F114" s="97" t="str"/>
      <x:c r="G114" s="97" t="str">
        <x:v>S14;S16</x:v>
      </x:c>
      <x:c r="H114" s="97" t="str"/>
      <x:c r="I114" s="97" t="str">
        <x:v>No occupation is inferred from name, sex, residence, spouse, or family role.</x:v>
      </x:c>
    </x:row>
    <x:row r="115">
      <x:c r="A115" s="97" t="str">
        <x:v>I118</x:v>
      </x:c>
      <x:c r="B115" s="97" t="str">
        <x:v>Charles McCormick</x:v>
      </x:c>
      <x:c r="C115" s="97" t="str"/>
      <x:c r="D115" s="97" t="str">
        <x:v>0</x:v>
      </x:c>
      <x:c r="E115" s="97" t="str">
        <x:v>unresolved—no supported occupation found</x:v>
      </x:c>
      <x:c r="F115" s="97" t="str"/>
      <x:c r="G115" s="97" t="str">
        <x:v>S15</x:v>
      </x:c>
      <x:c r="H115" s="97" t="str"/>
      <x:c r="I115" s="97" t="str">
        <x:v>No occupation is inferred from name, sex, residence, spouse, or family role.</x:v>
      </x:c>
    </x:row>
    <x:row r="116">
      <x:c r="A116" s="97" t="str">
        <x:v>I119</x:v>
      </x:c>
      <x:c r="B116" s="97" t="str">
        <x:v>Elizabeth McCormick</x:v>
      </x:c>
      <x:c r="C116" s="97" t="str"/>
      <x:c r="D116" s="97" t="str">
        <x:v>0</x:v>
      </x:c>
      <x:c r="E116" s="97" t="str">
        <x:v>unresolved—no supported occupation found</x:v>
      </x:c>
      <x:c r="F116" s="97" t="str"/>
      <x:c r="G116" s="97" t="str">
        <x:v>S15</x:v>
      </x:c>
      <x:c r="H116" s="97" t="str"/>
      <x:c r="I116" s="97" t="str">
        <x:v>No occupation is inferred from name, sex, residence, spouse, or family role.</x:v>
      </x:c>
    </x:row>
    <x:row r="117">
      <x:c r="A117" s="97" t="str">
        <x:v>I120</x:v>
      </x:c>
      <x:c r="B117" s="97" t="str">
        <x:v>Abram Field Brooks</x:v>
      </x:c>
      <x:c r="C117" s="97" t="str"/>
      <x:c r="D117" s="97" t="str">
        <x:v>0</x:v>
      </x:c>
      <x:c r="E117" s="97" t="str">
        <x:v>unresolved—no supported occupation found</x:v>
      </x:c>
      <x:c r="F117" s="97" t="str"/>
      <x:c r="G117" s="97" t="str">
        <x:v>S17</x:v>
      </x:c>
      <x:c r="H117" s="97" t="str"/>
      <x:c r="I117" s="97" t="str">
        <x:v>No occupation is inferred from name, sex, residence, spouse, or family role.</x:v>
      </x:c>
    </x:row>
    <x:row r="118">
      <x:c r="A118" s="97" t="str">
        <x:v>I121</x:v>
      </x:c>
      <x:c r="B118" s="97" t="str">
        <x:v>Mary P. Mollie Moore</x:v>
      </x:c>
      <x:c r="C118" s="97" t="str"/>
      <x:c r="D118" s="97" t="str">
        <x:v>0</x:v>
      </x:c>
      <x:c r="E118" s="97" t="str">
        <x:v>unresolved—no supported occupation found</x:v>
      </x:c>
      <x:c r="F118" s="97" t="str"/>
      <x:c r="G118" s="97" t="str">
        <x:v>S17</x:v>
      </x:c>
      <x:c r="H118" s="97" t="str"/>
      <x:c r="I118" s="97" t="str">
        <x:v>No occupation is inferred from name, sex, residence, spouse, or family role.</x:v>
      </x:c>
    </x:row>
    <x:row r="119">
      <x:c r="A119" s="97" t="str">
        <x:v>I122</x:v>
      </x:c>
      <x:c r="B119" s="97" t="str">
        <x:v>Solomon Neal Brooks</x:v>
      </x:c>
      <x:c r="C119" s="97" t="str"/>
      <x:c r="D119" s="97" t="str">
        <x:v>0</x:v>
      </x:c>
      <x:c r="E119" s="97" t="str">
        <x:v>unresolved—no supported occupation found</x:v>
      </x:c>
      <x:c r="F119" s="97" t="str"/>
      <x:c r="G119" s="97" t="str">
        <x:v>S17;S18</x:v>
      </x:c>
      <x:c r="H119" s="97" t="str"/>
      <x:c r="I119" s="97" t="str">
        <x:v>No occupation is inferred from name, sex, residence, spouse, or family role.</x:v>
      </x:c>
    </x:row>
    <x:row r="120">
      <x:c r="A120" s="97" t="str">
        <x:v>I123</x:v>
      </x:c>
      <x:c r="B120" s="97" t="str">
        <x:v>Elizabeth Field</x:v>
      </x:c>
      <x:c r="C120" s="97" t="str"/>
      <x:c r="D120" s="97" t="str">
        <x:v>0</x:v>
      </x:c>
      <x:c r="E120" s="97" t="str">
        <x:v>unresolved—no supported occupation found</x:v>
      </x:c>
      <x:c r="F120" s="97" t="str"/>
      <x:c r="G120" s="97" t="str">
        <x:v>S17</x:v>
      </x:c>
      <x:c r="H120" s="97" t="str"/>
      <x:c r="I120" s="97" t="str">
        <x:v>No occupation is inferred from name, sex, residence, spouse, or family role.</x:v>
      </x:c>
    </x:row>
    <x:row r="121">
      <x:c r="A121" s="97" t="str">
        <x:v>I124</x:v>
      </x:c>
      <x:c r="B121" s="97" t="str">
        <x:v>Christopher O’Brien</x:v>
      </x:c>
      <x:c r="C121" s="97" t="str"/>
      <x:c r="D121" s="97" t="str">
        <x:v>0</x:v>
      </x:c>
      <x:c r="E121" s="97" t="str">
        <x:v>unresolved—no supported occupation found</x:v>
      </x:c>
      <x:c r="F121" s="97" t="str"/>
      <x:c r="G121" s="97" t="str">
        <x:v>S14</x:v>
      </x:c>
      <x:c r="H121" s="97" t="str"/>
      <x:c r="I121" s="97" t="str">
        <x:v>No occupation is inferred from name, sex, residence, spouse, or family role.</x:v>
      </x:c>
    </x:row>
    <x:row r="122">
      <x:c r="A122" s="97" t="str">
        <x:v>I125</x:v>
      </x:c>
      <x:c r="B122" s="97" t="str">
        <x:v>Sophronia Simmons</x:v>
      </x:c>
      <x:c r="C122" s="97" t="str"/>
      <x:c r="D122" s="97" t="str">
        <x:v>0</x:v>
      </x:c>
      <x:c r="E122" s="97" t="str">
        <x:v>unresolved—no supported occupation found</x:v>
      </x:c>
      <x:c r="F122" s="97" t="str"/>
      <x:c r="G122" s="97" t="str">
        <x:v>S14</x:v>
      </x:c>
      <x:c r="H122" s="97" t="str"/>
      <x:c r="I122" s="97" t="str">
        <x:v>No occupation is inferred from name, sex, residence, spouse, or family role.</x:v>
      </x:c>
    </x:row>
    <x:row r="123">
      <x:c r="A123" s="97" t="str">
        <x:v>I126</x:v>
      </x:c>
      <x:c r="B123" s="97" t="str">
        <x:v>Joseph Anderson Brooks</x:v>
      </x:c>
      <x:c r="C123" s="97" t="str"/>
      <x:c r="D123" s="97" t="str">
        <x:v>0</x:v>
      </x:c>
      <x:c r="E123" s="97" t="str">
        <x:v>unresolved—no supported occupation found</x:v>
      </x:c>
      <x:c r="F123" s="97" t="str"/>
      <x:c r="G123" s="97" t="str">
        <x:v>S18;S19</x:v>
      </x:c>
      <x:c r="H123" s="97" t="str"/>
      <x:c r="I123" s="97" t="str">
        <x:v>No occupation is inferred from name, sex, residence, spouse, or family role.</x:v>
      </x:c>
    </x:row>
    <x:row r="124">
      <x:c r="A124" s="97" t="str">
        <x:v>I127</x:v>
      </x:c>
      <x:c r="B124" s="97" t="str">
        <x:v>Joseph Brooks</x:v>
      </x:c>
      <x:c r="C124" s="97" t="str"/>
      <x:c r="D124" s="97" t="str">
        <x:v>0</x:v>
      </x:c>
      <x:c r="E124" s="97" t="str">
        <x:v>unresolved—no supported occupation found</x:v>
      </x:c>
      <x:c r="F124" s="97" t="str"/>
      <x:c r="G124" s="97" t="str">
        <x:v>S19</x:v>
      </x:c>
      <x:c r="H124" s="97" t="str"/>
      <x:c r="I124" s="97" t="str">
        <x:v>No occupation is inferred from name, sex, residence, spouse, or family role.</x:v>
      </x:c>
    </x:row>
    <x:row r="125">
      <x:c r="A125" s="97" t="str">
        <x:v>I128</x:v>
      </x:c>
      <x:c r="B125" s="97" t="str">
        <x:v>Abram Field</x:v>
      </x:c>
      <x:c r="C125" s="97" t="str"/>
      <x:c r="D125" s="97" t="str">
        <x:v>0</x:v>
      </x:c>
      <x:c r="E125" s="97" t="str">
        <x:v>unresolved—no supported occupation found</x:v>
      </x:c>
      <x:c r="F125" s="97" t="str"/>
      <x:c r="G125" s="97" t="str">
        <x:v>S17</x:v>
      </x:c>
      <x:c r="H125" s="97" t="str"/>
      <x:c r="I125" s="97" t="str">
        <x:v>No occupation is inferred from name, sex, residence, spouse, or family role.</x:v>
      </x:c>
    </x:row>
    <x:row r="126">
      <x:c r="A126" s="97" t="str">
        <x:v>I129</x:v>
      </x:c>
      <x:c r="B126" s="97" t="str">
        <x:v>Elizabeth Simmons</x:v>
      </x:c>
      <x:c r="C126" s="97" t="str"/>
      <x:c r="D126" s="97" t="str">
        <x:v>0</x:v>
      </x:c>
      <x:c r="E126" s="97" t="str">
        <x:v>unresolved—no supported occupation found</x:v>
      </x:c>
      <x:c r="F126" s="97" t="str"/>
      <x:c r="G126" s="97" t="str">
        <x:v>S17</x:v>
      </x:c>
      <x:c r="H126" s="97" t="str"/>
      <x:c r="I126" s="97" t="str">
        <x:v>No occupation is inferred from name, sex, residence, spouse, or family role.</x:v>
      </x:c>
    </x:row>
    <x:row r="127">
      <x:c r="A127" s="97" t="str">
        <x:v>I130</x:v>
      </x:c>
      <x:c r="B127" s="97" t="str">
        <x:v>Isaac Bush Slaughter Sr.</x:v>
      </x:c>
      <x:c r="C127" s="97" t="str"/>
      <x:c r="D127" s="97" t="str">
        <x:v>0</x:v>
      </x:c>
      <x:c r="E127" s="97" t="str">
        <x:v>unresolved—no supported occupation found</x:v>
      </x:c>
      <x:c r="F127" s="97" t="str"/>
      <x:c r="G127" s="97" t="str">
        <x:v>S4;S8;S23;S27</x:v>
      </x:c>
      <x:c r="H127" s="97" t="str"/>
      <x:c r="I127" s="97" t="str">
        <x:v>No occupation is inferred from name, sex, residence, spouse, or family role.</x:v>
      </x:c>
    </x:row>
    <x:row r="128">
      <x:c r="A128" s="97" t="str">
        <x:v>I131</x:v>
      </x:c>
      <x:c r="B128" s="97" t="str">
        <x:v>Lula Arnelia Rives</x:v>
      </x:c>
      <x:c r="C128" s="97" t="str"/>
      <x:c r="D128" s="97" t="str">
        <x:v>0</x:v>
      </x:c>
      <x:c r="E128" s="97" t="str">
        <x:v>unresolved—no supported occupation found</x:v>
      </x:c>
      <x:c r="F128" s="97" t="str"/>
      <x:c r="G128" s="97" t="str">
        <x:v>S4;S8;S9;S27</x:v>
      </x:c>
      <x:c r="H128" s="97" t="str"/>
      <x:c r="I128" s="97" t="str">
        <x:v>No occupation is inferred from name, sex, residence, spouse, or family role.</x:v>
      </x:c>
    </x:row>
    <x:row r="129">
      <x:c r="A129" s="97" t="str">
        <x:v>I132</x:v>
      </x:c>
      <x:c r="B129" s="97" t="str">
        <x:v>Nancy Brooks</x:v>
      </x:c>
      <x:c r="C129" s="97" t="str"/>
      <x:c r="D129" s="97" t="str">
        <x:v>0</x:v>
      </x:c>
      <x:c r="E129" s="97" t="str">
        <x:v>unresolved—no supported occupation found</x:v>
      </x:c>
      <x:c r="F129" s="97" t="str"/>
      <x:c r="G129" s="97" t="str">
        <x:v>S19</x:v>
      </x:c>
      <x:c r="H129" s="97" t="str"/>
      <x:c r="I129" s="97" t="str">
        <x:v>No occupation is inferred from name, sex, residence, spouse, or family role.</x:v>
      </x:c>
    </x:row>
    <x:row r="130">
      <x:c r="A130" s="97" t="str">
        <x:v>I133</x:v>
      </x:c>
      <x:c r="B130" s="97" t="str">
        <x:v>John Wesley Slaughter</x:v>
      </x:c>
      <x:c r="C130" s="97" t="str"/>
      <x:c r="D130" s="97" t="str">
        <x:v>0</x:v>
      </x:c>
      <x:c r="E130" s="97" t="str">
        <x:v>unresolved—no supported occupation found</x:v>
      </x:c>
      <x:c r="F130" s="97" t="str"/>
      <x:c r="G130" s="97" t="str">
        <x:v>S23</x:v>
      </x:c>
      <x:c r="H130" s="97" t="str"/>
      <x:c r="I130" s="97" t="str">
        <x:v>No occupation is inferred from name, sex, residence, spouse, or family role.</x:v>
      </x:c>
    </x:row>
    <x:row r="131">
      <x:c r="A131" s="97" t="str">
        <x:v>I134</x:v>
      </x:c>
      <x:c r="B131" s="97" t="str">
        <x:v>Sarah C. Bush</x:v>
      </x:c>
      <x:c r="C131" s="97" t="str"/>
      <x:c r="D131" s="97" t="str">
        <x:v>0</x:v>
      </x:c>
      <x:c r="E131" s="97" t="str">
        <x:v>unresolved—no supported occupation found</x:v>
      </x:c>
      <x:c r="F131" s="97" t="str"/>
      <x:c r="G131" s="97" t="str">
        <x:v>S23</x:v>
      </x:c>
      <x:c r="H131" s="97" t="str"/>
      <x:c r="I131" s="97" t="str">
        <x:v>No occupation is inferred from name, sex, residence, spouse, or family role.</x:v>
      </x:c>
    </x:row>
    <x:row r="132">
      <x:c r="A132" s="97" t="str">
        <x:v>I135</x:v>
      </x:c>
      <x:c r="B132" s="97" t="str">
        <x:v>Robert Calhoun Rives</x:v>
      </x:c>
      <x:c r="C132" s="97" t="str"/>
      <x:c r="D132" s="97" t="str">
        <x:v>0</x:v>
      </x:c>
      <x:c r="E132" s="97" t="str">
        <x:v>unresolved—no supported occupation found</x:v>
      </x:c>
      <x:c r="F132" s="97" t="str"/>
      <x:c r="G132" s="97" t="str">
        <x:v>S4;S9</x:v>
      </x:c>
      <x:c r="H132" s="97" t="str"/>
      <x:c r="I132" s="97" t="str">
        <x:v>No occupation is inferred from name, sex, residence, spouse, or family role.</x:v>
      </x:c>
    </x:row>
    <x:row r="133">
      <x:c r="A133" s="97" t="str">
        <x:v>I136</x:v>
      </x:c>
      <x:c r="B133" s="97" t="str">
        <x:v>Florence Estelle Agee</x:v>
      </x:c>
      <x:c r="C133" s="97" t="str"/>
      <x:c r="D133" s="97" t="str">
        <x:v>0</x:v>
      </x:c>
      <x:c r="E133" s="97" t="str">
        <x:v>unresolved—no supported occupation found</x:v>
      </x:c>
      <x:c r="F133" s="97" t="str"/>
      <x:c r="G133" s="97" t="str">
        <x:v>S4;S8;S9</x:v>
      </x:c>
      <x:c r="H133" s="97" t="str"/>
      <x:c r="I133" s="97" t="str">
        <x:v>No occupation is inferred from name, sex, residence, spouse, or family role.</x:v>
      </x:c>
    </x:row>
    <x:row r="134">
      <x:c r="A134" s="97" t="str">
        <x:v>I137</x:v>
      </x:c>
      <x:c r="B134" s="97" t="str">
        <x:v>Robert Rives</x:v>
      </x:c>
      <x:c r="C134" s="97" t="str"/>
      <x:c r="D134" s="97" t="str">
        <x:v>0</x:v>
      </x:c>
      <x:c r="E134" s="97" t="str">
        <x:v>unresolved—no supported occupation found</x:v>
      </x:c>
      <x:c r="F134" s="97" t="str"/>
      <x:c r="G134" s="97" t="str">
        <x:v>S4;S9;S10</x:v>
      </x:c>
      <x:c r="H134" s="97" t="str"/>
      <x:c r="I134" s="97" t="str">
        <x:v>No occupation is inferred from name, sex, residence, spouse, or family role.</x:v>
      </x:c>
    </x:row>
    <x:row r="135">
      <x:c r="A135" s="97" t="str">
        <x:v>I138</x:v>
      </x:c>
      <x:c r="B135" s="97" t="str">
        <x:v>Amelia Harrison</x:v>
      </x:c>
      <x:c r="C135" s="97" t="str"/>
      <x:c r="D135" s="97" t="str">
        <x:v>0</x:v>
      </x:c>
      <x:c r="E135" s="97" t="str">
        <x:v>unresolved—no supported occupation found</x:v>
      </x:c>
      <x:c r="F135" s="97" t="str"/>
      <x:c r="G135" s="97" t="str">
        <x:v>S4;S20</x:v>
      </x:c>
      <x:c r="H135" s="97" t="str"/>
      <x:c r="I135" s="97" t="str">
        <x:v>No occupation is inferred from name, sex, residence, spouse, or family role.</x:v>
      </x:c>
    </x:row>
    <x:row r="136">
      <x:c r="A136" s="97" t="str">
        <x:v>I139</x:v>
      </x:c>
      <x:c r="B136" s="97" t="str">
        <x:v>Green Rives</x:v>
      </x:c>
      <x:c r="C136" s="97" t="str"/>
      <x:c r="D136" s="97" t="str">
        <x:v>0</x:v>
      </x:c>
      <x:c r="E136" s="97" t="str">
        <x:v>unresolved—no supported occupation found</x:v>
      </x:c>
      <x:c r="F136" s="97" t="str"/>
      <x:c r="G136" s="97" t="str">
        <x:v>S4;S10</x:v>
      </x:c>
      <x:c r="H136" s="97" t="str"/>
      <x:c r="I136" s="97" t="str">
        <x:v>No occupation is inferred from name, sex, residence, spouse, or family role.</x:v>
      </x:c>
    </x:row>
    <x:row r="137">
      <x:c r="A137" s="97" t="str">
        <x:v>I140</x:v>
      </x:c>
      <x:c r="B137" s="97" t="str">
        <x:v>Mary Ridley Jones</x:v>
      </x:c>
      <x:c r="C137" s="97" t="str"/>
      <x:c r="D137" s="97" t="str">
        <x:v>0</x:v>
      </x:c>
      <x:c r="E137" s="97" t="str">
        <x:v>unresolved—no supported occupation found</x:v>
      </x:c>
      <x:c r="F137" s="97" t="str"/>
      <x:c r="G137" s="97" t="str">
        <x:v>S4;S10</x:v>
      </x:c>
      <x:c r="H137" s="97" t="str"/>
      <x:c r="I137" s="97" t="str">
        <x:v>No occupation is inferred from name, sex, residence, spouse, or family role.</x:v>
      </x:c>
    </x:row>
    <x:row r="138">
      <x:c r="A138" s="97" t="str">
        <x:v>I141</x:v>
      </x:c>
      <x:c r="B138" s="97" t="str">
        <x:v>William Rives</x:v>
      </x:c>
      <x:c r="C138" s="97" t="str"/>
      <x:c r="D138" s="97" t="str">
        <x:v>0</x:v>
      </x:c>
      <x:c r="E138" s="97" t="str">
        <x:v>unresolved—no supported occupation found</x:v>
      </x:c>
      <x:c r="F138" s="97" t="str"/>
      <x:c r="G138" s="97" t="str">
        <x:v>S4;S10;S11</x:v>
      </x:c>
      <x:c r="H138" s="97" t="str"/>
      <x:c r="I138" s="97" t="str">
        <x:v>No occupation is inferred from name, sex, residence, spouse, or family role.</x:v>
      </x:c>
    </x:row>
    <x:row r="139">
      <x:c r="A139" s="97" t="str">
        <x:v>I142</x:v>
      </x:c>
      <x:c r="B139" s="97" t="str">
        <x:v>Lucy Wyche</x:v>
      </x:c>
      <x:c r="C139" s="97" t="str"/>
      <x:c r="D139" s="97" t="str">
        <x:v>0</x:v>
      </x:c>
      <x:c r="E139" s="97" t="str">
        <x:v>unresolved—no supported occupation found</x:v>
      </x:c>
      <x:c r="F139" s="97" t="str"/>
      <x:c r="G139" s="97" t="str">
        <x:v>S4;S10;S11</x:v>
      </x:c>
      <x:c r="H139" s="97" t="str"/>
      <x:c r="I139" s="97" t="str">
        <x:v>No occupation is inferred from name, sex, residence, spouse, or family role.</x:v>
      </x:c>
    </x:row>
    <x:row r="140">
      <x:c r="A140" s="97" t="str">
        <x:v>I143</x:v>
      </x:c>
      <x:c r="B140" s="97" t="str">
        <x:v>Timothy Rives</x:v>
      </x:c>
      <x:c r="C140" s="97" t="str"/>
      <x:c r="D140" s="97" t="str">
        <x:v>0</x:v>
      </x:c>
      <x:c r="E140" s="97" t="str">
        <x:v>unresolved—no supported occupation found</x:v>
      </x:c>
      <x:c r="F140" s="97" t="str"/>
      <x:c r="G140" s="97" t="str">
        <x:v>S4;S11;S12</x:v>
      </x:c>
      <x:c r="H140" s="97" t="str"/>
      <x:c r="I140" s="97" t="str">
        <x:v>No occupation is inferred from name, sex, residence, spouse, or family role.</x:v>
      </x:c>
    </x:row>
    <x:row r="141">
      <x:c r="A141" s="97" t="str">
        <x:v>I144</x:v>
      </x:c>
      <x:c r="B141" s="97" t="str">
        <x:v>Hester Rives</x:v>
      </x:c>
      <x:c r="C141" s="97" t="str"/>
      <x:c r="D141" s="97" t="str">
        <x:v>0</x:v>
      </x:c>
      <x:c r="E141" s="97" t="str">
        <x:v>unresolved—no supported occupation found</x:v>
      </x:c>
      <x:c r="F141" s="97" t="str"/>
      <x:c r="G141" s="97" t="str">
        <x:v>S4;S12</x:v>
      </x:c>
      <x:c r="H141" s="97" t="str"/>
      <x:c r="I141" s="97" t="str">
        <x:v>No occupation is inferred from name, sex, residence, spouse, or family role.</x:v>
      </x:c>
    </x:row>
    <x:row r="142">
      <x:c r="A142" s="97" t="str">
        <x:v>I145</x:v>
      </x:c>
      <x:c r="B142" s="97" t="str">
        <x:v>Darling Jones</x:v>
      </x:c>
      <x:c r="C142" s="97" t="str"/>
      <x:c r="D142" s="97" t="str">
        <x:v>0</x:v>
      </x:c>
      <x:c r="E142" s="97" t="str">
        <x:v>unresolved—no supported occupation found</x:v>
      </x:c>
      <x:c r="F142" s="97" t="str"/>
      <x:c r="G142" s="97" t="str">
        <x:v>S10</x:v>
      </x:c>
      <x:c r="H142" s="97" t="str"/>
      <x:c r="I142" s="97" t="str">
        <x:v>No occupation is inferred from name, sex, residence, spouse, or family role.</x:v>
      </x:c>
    </x:row>
    <x:row r="143">
      <x:c r="A143" s="97" t="str">
        <x:v>I146</x:v>
      </x:c>
      <x:c r="B143" s="97" t="str">
        <x:v>Susannah Jones</x:v>
      </x:c>
      <x:c r="C143" s="97" t="str"/>
      <x:c r="D143" s="97" t="str">
        <x:v>0</x:v>
      </x:c>
      <x:c r="E143" s="97" t="str">
        <x:v>unresolved—no supported occupation found</x:v>
      </x:c>
      <x:c r="F143" s="97" t="str"/>
      <x:c r="G143" s="97" t="str">
        <x:v>S10</x:v>
      </x:c>
      <x:c r="H143" s="97" t="str"/>
      <x:c r="I143" s="97" t="str">
        <x:v>No occupation is inferred from name, sex, residence, spouse, or family role.</x:v>
      </x:c>
    </x:row>
    <x:row r="144">
      <x:c r="A144" s="97" t="str">
        <x:v>I147</x:v>
      </x:c>
      <x:c r="B144" s="97" t="str">
        <x:v>William Harrison</x:v>
      </x:c>
      <x:c r="C144" s="97" t="str"/>
      <x:c r="D144" s="97" t="str">
        <x:v>0</x:v>
      </x:c>
      <x:c r="E144" s="97" t="str">
        <x:v>unresolved—no supported occupation found</x:v>
      </x:c>
      <x:c r="F144" s="97" t="str"/>
      <x:c r="G144" s="97" t="str">
        <x:v>S20</x:v>
      </x:c>
      <x:c r="H144" s="97" t="str"/>
      <x:c r="I144" s="97" t="str">
        <x:v>No occupation is inferred from name, sex, residence, spouse, or family role.</x:v>
      </x:c>
    </x:row>
    <x:row r="145">
      <x:c r="A145" s="97" t="str">
        <x:v>I148</x:v>
      </x:c>
      <x:c r="B145" s="97" t="str">
        <x:v>Ann Perry</x:v>
      </x:c>
      <x:c r="C145" s="97" t="str"/>
      <x:c r="D145" s="97" t="str">
        <x:v>0</x:v>
      </x:c>
      <x:c r="E145" s="97" t="str">
        <x:v>unresolved—no supported occupation found</x:v>
      </x:c>
      <x:c r="F145" s="97" t="str"/>
      <x:c r="G145" s="97" t="str">
        <x:v>S20</x:v>
      </x:c>
      <x:c r="H145" s="97" t="str"/>
      <x:c r="I145" s="97" t="str">
        <x:v>No occupation is inferred from name, sex, residence, spouse, or family role.</x:v>
      </x:c>
    </x:row>
    <x:row r="146">
      <x:c r="A146" s="97" t="str">
        <x:v>I149</x:v>
      </x:c>
      <x:c r="B146" s="97" t="str">
        <x:v>Col. William Rives</x:v>
      </x:c>
      <x:c r="C146" s="97" t="str"/>
      <x:c r="D146" s="97" t="str">
        <x:v>0</x:v>
      </x:c>
      <x:c r="E146" s="97" t="str">
        <x:v>unresolved—no supported occupation found</x:v>
      </x:c>
      <x:c r="F146" s="97" t="str"/>
      <x:c r="G146" s="97" t="str">
        <x:v>S4;S12</x:v>
      </x:c>
      <x:c r="H146" s="97" t="str"/>
      <x:c r="I146" s="97" t="str">
        <x:v>No occupation is inferred from name, sex, residence, spouse, or family role.</x:v>
      </x:c>
    </x:row>
    <x:row r="147">
      <x:c r="A147" s="97" t="str">
        <x:v>I150</x:v>
      </x:c>
      <x:c r="B147" s="97" t="str">
        <x:v>Elizabeth Rives</x:v>
      </x:c>
      <x:c r="C147" s="97" t="str"/>
      <x:c r="D147" s="97" t="str">
        <x:v>0</x:v>
      </x:c>
      <x:c r="E147" s="97" t="str">
        <x:v>unresolved—no supported occupation found</x:v>
      </x:c>
      <x:c r="F147" s="97" t="str"/>
      <x:c r="G147" s="97" t="str">
        <x:v>S4;S12</x:v>
      </x:c>
      <x:c r="H147" s="97" t="str"/>
      <x:c r="I147" s="97" t="str">
        <x:v>No occupation is inferred from name, sex, residence, spouse, or family role.</x:v>
      </x:c>
    </x:row>
    <x:row r="148">
      <x:c r="A148" s="97" t="str">
        <x:v>I151</x:v>
      </x:c>
      <x:c r="B148" s="97" t="str">
        <x:v>George Rives</x:v>
      </x:c>
      <x:c r="C148" s="97" t="str"/>
      <x:c r="D148" s="97" t="str">
        <x:v>0</x:v>
      </x:c>
      <x:c r="E148" s="97" t="str">
        <x:v>unresolved—no supported occupation found</x:v>
      </x:c>
      <x:c r="F148" s="97" t="str"/>
      <x:c r="G148" s="97" t="str">
        <x:v>S4;S13</x:v>
      </x:c>
      <x:c r="H148" s="97" t="str"/>
      <x:c r="I148" s="97" t="str">
        <x:v>No occupation is inferred from name, sex, residence, spouse, or family role.</x:v>
      </x:c>
    </x:row>
    <x:row r="149">
      <x:c r="A149" s="97" t="str">
        <x:v>I152</x:v>
      </x:c>
      <x:c r="B149" s="97" t="str">
        <x:v>Peter Wyche</x:v>
      </x:c>
      <x:c r="C149" s="97" t="str"/>
      <x:c r="D149" s="97" t="str">
        <x:v>0</x:v>
      </x:c>
      <x:c r="E149" s="97" t="str">
        <x:v>unresolved—no supported occupation found</x:v>
      </x:c>
      <x:c r="F149" s="97" t="str"/>
      <x:c r="G149" s="97" t="str">
        <x:v>S11</x:v>
      </x:c>
      <x:c r="H149" s="97" t="str"/>
      <x:c r="I149" s="97" t="str">
        <x:v>No occupation is inferred from name, sex, residence, spouse, or family role.</x:v>
      </x:c>
    </x:row>
    <x:row r="150">
      <x:c r="A150" s="97" t="str">
        <x:v>I153</x:v>
      </x:c>
      <x:c r="B150" s="97" t="str">
        <x:v>Alice Wyche</x:v>
      </x:c>
      <x:c r="C150" s="97" t="str"/>
      <x:c r="D150" s="97" t="str">
        <x:v>0</x:v>
      </x:c>
      <x:c r="E150" s="97" t="str">
        <x:v>unresolved—no supported occupation found</x:v>
      </x:c>
      <x:c r="F150" s="97" t="str"/>
      <x:c r="G150" s="97" t="str">
        <x:v>S11</x:v>
      </x:c>
      <x:c r="H150" s="97" t="str"/>
      <x:c r="I150" s="97" t="str">
        <x:v>No occupation is inferred from name, sex, residence, spouse, or family role.</x:v>
      </x:c>
    </x:row>
    <x:row r="151">
      <x:c r="A151" s="97" t="str">
        <x:v>I154</x:v>
      </x:c>
      <x:c r="B151" s="97" t="str">
        <x:v>William Raiford Agee</x:v>
      </x:c>
      <x:c r="C151" s="97" t="str"/>
      <x:c r="D151" s="97" t="str">
        <x:v>0</x:v>
      </x:c>
      <x:c r="E151" s="97" t="str">
        <x:v>unresolved—no supported occupation found</x:v>
      </x:c>
      <x:c r="F151" s="97" t="str"/>
      <x:c r="G151" s="97" t="str">
        <x:v>S8</x:v>
      </x:c>
      <x:c r="H151" s="97" t="str"/>
      <x:c r="I151" s="97" t="str">
        <x:v>No occupation is inferred from name, sex, residence, spouse, or family role.</x:v>
      </x:c>
    </x:row>
    <x:row r="152">
      <x:c r="A152" s="97" t="str">
        <x:v>I155</x:v>
      </x:c>
      <x:c r="B152" s="97" t="str">
        <x:v>Elvina Hill</x:v>
      </x:c>
      <x:c r="C152" s="97" t="str"/>
      <x:c r="D152" s="97" t="str">
        <x:v>0</x:v>
      </x:c>
      <x:c r="E152" s="97" t="str">
        <x:v>unresolved—no supported occupation found</x:v>
      </x:c>
      <x:c r="F152" s="97" t="str"/>
      <x:c r="G152" s="97" t="str">
        <x:v>S8</x:v>
      </x:c>
      <x:c r="H152" s="97" t="str"/>
      <x:c r="I152" s="97" t="str">
        <x:v>No occupation is inferred from name, sex, residence, spouse, or family role.</x:v>
      </x:c>
    </x:row>
    <x:row r="153">
      <x:c r="A153" s="97" t="str">
        <x:v>I157</x:v>
      </x:c>
      <x:c r="B153" s="97" t="str">
        <x:v>William Rives</x:v>
      </x:c>
      <x:c r="C153" s="97" t="str"/>
      <x:c r="D153" s="97" t="str">
        <x:v>0</x:v>
      </x:c>
      <x:c r="E153" s="97" t="str">
        <x:v>unresolved—no supported occupation found</x:v>
      </x:c>
      <x:c r="F153" s="97" t="str"/>
      <x:c r="G153" s="97" t="str">
        <x:v>S4;S13</x:v>
      </x:c>
      <x:c r="H153" s="97" t="str"/>
      <x:c r="I153" s="97" t="str">
        <x:v>No occupation is inferred from name, sex, residence, spouse, or family role.</x:v>
      </x:c>
    </x:row>
    <x:row r="154">
      <x:c r="A154" s="97" t="str">
        <x:v>I158</x:v>
      </x:c>
      <x:c r="B154" s="97" t="str">
        <x:v>Reuben Harrison</x:v>
      </x:c>
      <x:c r="C154" s="97" t="str"/>
      <x:c r="D154" s="97" t="str">
        <x:v>0</x:v>
      </x:c>
      <x:c r="E154" s="97" t="str">
        <x:v>unresolved—no supported occupation found</x:v>
      </x:c>
      <x:c r="F154" s="97" t="str"/>
      <x:c r="G154" s="97" t="str">
        <x:v>S20</x:v>
      </x:c>
      <x:c r="H154" s="97" t="str"/>
      <x:c r="I154" s="97" t="str">
        <x:v>No occupation is inferred from name, sex, residence, spouse, or family role.</x:v>
      </x:c>
    </x:row>
    <x:row r="155">
      <x:c r="A155" s="97" t="str">
        <x:v>I159</x:v>
      </x:c>
      <x:c r="B155" s="97" t="str">
        <x:v>Nancy Harrison</x:v>
      </x:c>
      <x:c r="C155" s="97" t="str"/>
      <x:c r="D155" s="97" t="str">
        <x:v>0</x:v>
      </x:c>
      <x:c r="E155" s="97" t="str">
        <x:v>unresolved—no supported occupation found</x:v>
      </x:c>
      <x:c r="F155" s="97" t="str"/>
      <x:c r="G155" s="97" t="str">
        <x:v>S20</x:v>
      </x:c>
      <x:c r="H155" s="97" t="str"/>
      <x:c r="I155" s="97" t="str">
        <x:v>No occupation is inferred from name, sex, residence, spouse, or family role.</x:v>
      </x:c>
    </x:row>
    <x:row r="156">
      <x:c r="A156" s="97" t="str">
        <x:v>I160</x:v>
      </x:c>
      <x:c r="B156" s="97" t="str">
        <x:v>James Perry</x:v>
      </x:c>
      <x:c r="C156" s="97" t="str"/>
      <x:c r="D156" s="97" t="str">
        <x:v>0</x:v>
      </x:c>
      <x:c r="E156" s="97" t="str">
        <x:v>unresolved—no supported occupation found</x:v>
      </x:c>
      <x:c r="F156" s="97" t="str"/>
      <x:c r="G156" s="97" t="str">
        <x:v>S20</x:v>
      </x:c>
      <x:c r="H156" s="97" t="str"/>
      <x:c r="I156" s="97" t="str">
        <x:v>No occupation is inferred from name, sex, residence, spouse, or family role.</x:v>
      </x:c>
    </x:row>
    <x:row r="157">
      <x:c r="A157" s="97" t="str">
        <x:v>I161</x:v>
      </x:c>
      <x:c r="B157" s="97" t="str">
        <x:v>Noah Agee</x:v>
      </x:c>
      <x:c r="C157" s="97" t="str"/>
      <x:c r="D157" s="97" t="str">
        <x:v>0</x:v>
      </x:c>
      <x:c r="E157" s="97" t="str">
        <x:v>unresolved—no supported occupation found</x:v>
      </x:c>
      <x:c r="F157" s="97" t="str"/>
      <x:c r="G157" s="97" t="str">
        <x:v>S8</x:v>
      </x:c>
      <x:c r="H157" s="97" t="str"/>
      <x:c r="I157" s="97" t="str">
        <x:v>No occupation is inferred from name, sex, residence, spouse, or family role.</x:v>
      </x:c>
    </x:row>
    <x:row r="158">
      <x:c r="A158" s="97" t="str">
        <x:v>I162</x:v>
      </x:c>
      <x:c r="B158" s="97" t="str">
        <x:v>Martha Mask</x:v>
      </x:c>
      <x:c r="C158" s="97" t="str"/>
      <x:c r="D158" s="97" t="str">
        <x:v>0</x:v>
      </x:c>
      <x:c r="E158" s="97" t="str">
        <x:v>unresolved—no supported occupation found</x:v>
      </x:c>
      <x:c r="F158" s="97" t="str"/>
      <x:c r="G158" s="97" t="str">
        <x:v>S8</x:v>
      </x:c>
      <x:c r="H158" s="97" t="str"/>
      <x:c r="I158" s="97" t="str">
        <x:v>No occupation is inferred from name, sex, residence, spouse, or family role.</x:v>
      </x:c>
    </x:row>
    <x:row r="159">
      <x:c r="A159" s="97" t="str">
        <x:v>I163</x:v>
      </x:c>
      <x:c r="B159" s="97" t="str">
        <x:v>William Hill</x:v>
      </x:c>
      <x:c r="C159" s="97" t="str"/>
      <x:c r="D159" s="97" t="str">
        <x:v>0</x:v>
      </x:c>
      <x:c r="E159" s="97" t="str">
        <x:v>unresolved—no supported occupation found</x:v>
      </x:c>
      <x:c r="F159" s="97" t="str"/>
      <x:c r="G159" s="97" t="str">
        <x:v>S8</x:v>
      </x:c>
      <x:c r="H159" s="97" t="str"/>
      <x:c r="I159" s="97" t="str">
        <x:v>No occupation is inferred from name, sex, residence, spouse, or family role.</x:v>
      </x:c>
    </x:row>
    <x:row r="160">
      <x:c r="A160" s="97" t="str">
        <x:v>I164</x:v>
      </x:c>
      <x:c r="B160" s="97" t="str">
        <x:v>James Agee</x:v>
      </x:c>
      <x:c r="C160" s="97" t="str"/>
      <x:c r="D160" s="97" t="str">
        <x:v>0</x:v>
      </x:c>
      <x:c r="E160" s="97" t="str">
        <x:v>unresolved—no supported occupation found</x:v>
      </x:c>
      <x:c r="F160" s="97" t="str"/>
      <x:c r="G160" s="97" t="str">
        <x:v>S8</x:v>
      </x:c>
      <x:c r="H160" s="97" t="str"/>
      <x:c r="I160" s="97" t="str">
        <x:v>No occupation is inferred from name, sex, residence, spouse, or family role.</x:v>
      </x:c>
    </x:row>
    <x:row r="161">
      <x:c r="A161" s="97" t="str">
        <x:v>I165</x:v>
      </x:c>
      <x:c r="B161" s="97" t="str">
        <x:v>Mary Ford</x:v>
      </x:c>
      <x:c r="C161" s="97" t="str"/>
      <x:c r="D161" s="97" t="str">
        <x:v>0</x:v>
      </x:c>
      <x:c r="E161" s="97" t="str">
        <x:v>unresolved—no supported occupation found</x:v>
      </x:c>
      <x:c r="F161" s="97" t="str"/>
      <x:c r="G161" s="97" t="str">
        <x:v>S8;S46</x:v>
      </x:c>
      <x:c r="H161" s="97" t="str"/>
      <x:c r="I161" s="97" t="str">
        <x:v>No occupation is inferred from name, sex, residence, spouse, or family role.</x:v>
      </x:c>
    </x:row>
    <x:row r="162">
      <x:c r="A162" s="97" t="str">
        <x:v>I166</x:v>
      </x:c>
      <x:c r="B162" s="97" t="str">
        <x:v>Mathieu Agee</x:v>
      </x:c>
      <x:c r="C162" s="97" t="str"/>
      <x:c r="D162" s="97" t="str">
        <x:v>0</x:v>
      </x:c>
      <x:c r="E162" s="97" t="str">
        <x:v>unresolved—no supported occupation found</x:v>
      </x:c>
      <x:c r="F162" s="97" t="str"/>
      <x:c r="G162" s="97" t="str">
        <x:v>S8</x:v>
      </x:c>
      <x:c r="H162" s="97" t="str"/>
      <x:c r="I162" s="97" t="str">
        <x:v>No occupation is inferred from name, sex, residence, spouse, or family role.</x:v>
      </x:c>
    </x:row>
    <x:row r="163">
      <x:c r="A163" s="97" t="str">
        <x:v>I167</x:v>
      </x:c>
      <x:c r="B163" s="97" t="str">
        <x:v>Ann Godwin</x:v>
      </x:c>
      <x:c r="C163" s="97" t="str"/>
      <x:c r="D163" s="97" t="str">
        <x:v>0</x:v>
      </x:c>
      <x:c r="E163" s="97" t="str">
        <x:v>unresolved—no supported occupation found</x:v>
      </x:c>
      <x:c r="F163" s="97" t="str"/>
      <x:c r="G163" s="97" t="str">
        <x:v>S8</x:v>
      </x:c>
      <x:c r="H163" s="97" t="str"/>
      <x:c r="I163" s="97" t="str">
        <x:v>No occupation is inferred from name, sex, residence, spouse, or family role.</x:v>
      </x:c>
    </x:row>
    <x:row r="164">
      <x:c r="A164" s="97" t="str">
        <x:v>I168</x:v>
      </x:c>
      <x:c r="B164" s="97" t="str">
        <x:v>James Ford</x:v>
      </x:c>
      <x:c r="C164" s="97" t="str"/>
      <x:c r="D164" s="97" t="str">
        <x:v>0</x:v>
      </x:c>
      <x:c r="E164" s="97" t="str">
        <x:v>unresolved—no supported occupation found</x:v>
      </x:c>
      <x:c r="F164" s="97" t="str"/>
      <x:c r="G164" s="97" t="str">
        <x:v>S8</x:v>
      </x:c>
      <x:c r="H164" s="97" t="str"/>
      <x:c r="I164" s="97" t="str">
        <x:v>No occupation is inferred from name, sex, residence, spouse, or family role.</x:v>
      </x:c>
    </x:row>
    <x:row r="165">
      <x:c r="A165" s="97" t="str">
        <x:v>I169</x:v>
      </x:c>
      <x:c r="B165" s="97" t="str">
        <x:v>Ann Bondurant</x:v>
      </x:c>
      <x:c r="C165" s="97" t="str"/>
      <x:c r="D165" s="97" t="str">
        <x:v>0</x:v>
      </x:c>
      <x:c r="E165" s="97" t="str">
        <x:v>unresolved—no supported occupation found</x:v>
      </x:c>
      <x:c r="F165" s="97" t="str"/>
      <x:c r="G165" s="97" t="str">
        <x:v>S8</x:v>
      </x:c>
      <x:c r="H165" s="97" t="str"/>
      <x:c r="I165" s="97" t="str">
        <x:v>No occupation is inferred from name, sex, residence, spouse, or family role.</x:v>
      </x:c>
    </x:row>
    <x:row r="166">
      <x:c r="A166" s="97" t="str">
        <x:v>I170</x:v>
      </x:c>
      <x:c r="B166" s="97" t="str">
        <x:v>Isaac Godwin</x:v>
      </x:c>
      <x:c r="C166" s="97" t="str"/>
      <x:c r="D166" s="97" t="str">
        <x:v>0</x:v>
      </x:c>
      <x:c r="E166" s="97" t="str">
        <x:v>unresolved—no supported occupation found</x:v>
      </x:c>
      <x:c r="F166" s="97" t="str"/>
      <x:c r="G166" s="97" t="str">
        <x:v>S8</x:v>
      </x:c>
      <x:c r="H166" s="97" t="str"/>
      <x:c r="I166" s="97" t="str">
        <x:v>No occupation is inferred from name, sex, residence, spouse, or family role.</x:v>
      </x:c>
    </x:row>
    <x:row r="167">
      <x:c r="A167" s="97" t="str">
        <x:v>I171</x:v>
      </x:c>
      <x:c r="B167" s="97" t="str">
        <x:v>Ann Godwin</x:v>
      </x:c>
      <x:c r="C167" s="97" t="str"/>
      <x:c r="D167" s="97" t="str">
        <x:v>0</x:v>
      </x:c>
      <x:c r="E167" s="97" t="str">
        <x:v>unresolved—no supported occupation found</x:v>
      </x:c>
      <x:c r="F167" s="97" t="str"/>
      <x:c r="G167" s="97" t="str">
        <x:v>S8</x:v>
      </x:c>
      <x:c r="H167" s="97" t="str"/>
      <x:c r="I167" s="97" t="str">
        <x:v>No occupation is inferred from name, sex, residence, spouse, or family role.</x:v>
      </x:c>
    </x:row>
    <x:row r="168">
      <x:c r="A168" s="97" t="str">
        <x:v>I172</x:v>
      </x:c>
      <x:c r="B168" s="97" t="str">
        <x:v>Anthony Agee</x:v>
      </x:c>
      <x:c r="C168" s="97" t="str"/>
      <x:c r="D168" s="97" t="str">
        <x:v>0</x:v>
      </x:c>
      <x:c r="E168" s="97" t="str">
        <x:v>unresolved—no supported occupation found</x:v>
      </x:c>
      <x:c r="F168" s="97" t="str"/>
      <x:c r="G168" s="97" t="str">
        <x:v>S8</x:v>
      </x:c>
      <x:c r="H168" s="97" t="str"/>
      <x:c r="I168" s="97" t="str">
        <x:v>No occupation is inferred from name, sex, residence, spouse, or family role.</x:v>
      </x:c>
    </x:row>
    <x:row r="169">
      <x:c r="A169" s="97" t="str">
        <x:v>I173</x:v>
      </x:c>
      <x:c r="B169" s="97" t="str">
        <x:v>Judith Chastain</x:v>
      </x:c>
      <x:c r="C169" s="97" t="str"/>
      <x:c r="D169" s="97" t="str">
        <x:v>0</x:v>
      </x:c>
      <x:c r="E169" s="97" t="str">
        <x:v>unresolved—no supported occupation found</x:v>
      </x:c>
      <x:c r="F169" s="97" t="str"/>
      <x:c r="G169" s="97" t="str">
        <x:v>S8</x:v>
      </x:c>
      <x:c r="H169" s="97" t="str"/>
      <x:c r="I169" s="97" t="str">
        <x:v>No occupation is inferred from name, sex, residence, spouse, or family role.</x:v>
      </x:c>
    </x:row>
    <x:row r="170">
      <x:c r="A170" s="97" t="str">
        <x:v>I174</x:v>
      </x:c>
      <x:c r="B170" s="97" t="str">
        <x:v>Jean Pierre John Peter Bondurant</x:v>
      </x:c>
      <x:c r="C170" s="97" t="str"/>
      <x:c r="D170" s="97" t="str">
        <x:v>0</x:v>
      </x:c>
      <x:c r="E170" s="97" t="str">
        <x:v>unresolved—no supported occupation found</x:v>
      </x:c>
      <x:c r="F170" s="97" t="str"/>
      <x:c r="G170" s="97" t="str">
        <x:v>S8</x:v>
      </x:c>
      <x:c r="H170" s="97" t="str"/>
      <x:c r="I170" s="97" t="str">
        <x:v>No occupation is inferred from name, sex, residence, spouse, or family role.</x:v>
      </x:c>
    </x:row>
    <x:row r="171">
      <x:c r="A171" s="97" t="str">
        <x:v>I175</x:v>
      </x:c>
      <x:c r="B171" s="97" t="str">
        <x:v>Arianna Lynn Annie Vollmer</x:v>
      </x:c>
      <x:c r="C171" s="97" t="str"/>
      <x:c r="D171" s="97" t="str">
        <x:v>0</x:v>
      </x:c>
      <x:c r="E171" s="97" t="str">
        <x:v>not researched—privacy limited</x:v>
      </x:c>
      <x:c r="F171" s="97" t="str"/>
      <x:c r="G171" s="97" t="str"/>
      <x:c r="H171" s="97" t="str"/>
      <x:c r="I171" s="97" t="str">
        <x:v>Modern collateral occupation research was intentionally limited for privacy.</x:v>
      </x:c>
    </x:row>
    <x:row r="172">
      <x:c r="A172" s="97" t="str">
        <x:v>I176</x:v>
      </x:c>
      <x:c r="B172" s="97" t="str">
        <x:v>Henry Richard Vollmer</x:v>
      </x:c>
      <x:c r="C172" s="97" t="str"/>
      <x:c r="D172" s="97" t="str">
        <x:v>0</x:v>
      </x:c>
      <x:c r="E172" s="97" t="str">
        <x:v>unresolved—no supported occupation found</x:v>
      </x:c>
      <x:c r="F172" s="97" t="str"/>
      <x:c r="G172" s="97" t="str">
        <x:v>S28;S46;S31;S47</x:v>
      </x:c>
      <x:c r="H172" s="97" t="str"/>
      <x:c r="I172" s="97" t="str">
        <x:v>No occupation is inferred from name, sex, residence, spouse, or family role.</x:v>
      </x:c>
    </x:row>
    <x:row r="173">
      <x:c r="A173" s="97" t="str">
        <x:v>I177</x:v>
      </x:c>
      <x:c r="B173" s="97" t="str">
        <x:v>Bruce Eric Muller</x:v>
      </x:c>
      <x:c r="C173" s="97" t="str"/>
      <x:c r="D173" s="97" t="str">
        <x:v>0</x:v>
      </x:c>
      <x:c r="E173" s="97" t="str">
        <x:v>not established—minor</x:v>
      </x:c>
      <x:c r="F173" s="97" t="str"/>
      <x:c r="G173" s="97" t="str">
        <x:v>S27;S46;S47</x:v>
      </x:c>
      <x:c r="H173" s="97" t="str"/>
      <x:c r="I173" s="97" t="str">
        <x:v>No occupation is assigned; this person died before adulthood.</x:v>
      </x:c>
    </x:row>
    <x:row r="174">
      <x:c r="A174" s="97" t="str">
        <x:v>I178</x:v>
      </x:c>
      <x:c r="B174" s="97" t="str">
        <x:v>Mary Gene Muller Chaffee</x:v>
      </x:c>
      <x:c r="C174" s="97" t="str">
        <x:v>Stenographer (1940; Detroit, Wayne, Michigan)</x:v>
      </x:c>
      <x:c r="D174" s="97" t="str">
        <x:v>1</x:v>
      </x:c>
      <x:c r="E174" s="97" t="str">
        <x:v>recorded</x:v>
      </x:c>
      <x:c r="F174" s="97" t="str">
        <x:v>civilian occupation</x:v>
      </x:c>
      <x:c r="G174" s="97" t="str">
        <x:v>S27;S48</x:v>
      </x:c>
      <x:c r="H174" s="97" t="str">
        <x:v>OCC-002</x:v>
      </x:c>
      <x:c r="I174" s="97" t="str">
        <x:v>One or more cited occupations or roles are present in the GEDCOM.</x:v>
      </x:c>
    </x:row>
    <x:row r="175">
      <x:c r="A175" s="97" t="str">
        <x:v>I179</x:v>
      </x:c>
      <x:c r="B175" s="97" t="str">
        <x:v>Elmer James Chaffee Jr</x:v>
      </x:c>
      <x:c r="C175" s="97" t="str"/>
      <x:c r="D175" s="97" t="str">
        <x:v>0</x:v>
      </x:c>
      <x:c r="E175" s="97" t="str">
        <x:v>unresolved—no supported occupation found</x:v>
      </x:c>
      <x:c r="F175" s="97" t="str"/>
      <x:c r="G175" s="97" t="str">
        <x:v>S27</x:v>
      </x:c>
      <x:c r="H175" s="97" t="str"/>
      <x:c r="I175" s="97" t="str">
        <x:v>No occupation is inferred from name, sex, residence, spouse, or family role.</x:v>
      </x:c>
    </x:row>
    <x:row r="176">
      <x:c r="A176" s="97" t="str">
        <x:v>I180</x:v>
      </x:c>
      <x:c r="B176" s="97" t="str">
        <x:v>Linda Chaffee</x:v>
      </x:c>
      <x:c r="C176" s="97" t="str"/>
      <x:c r="D176" s="97" t="str">
        <x:v>0</x:v>
      </x:c>
      <x:c r="E176" s="97" t="str">
        <x:v>not researched—privacy limited</x:v>
      </x:c>
      <x:c r="F176" s="97" t="str"/>
      <x:c r="G176" s="97" t="str"/>
      <x:c r="H176" s="97" t="str"/>
      <x:c r="I176" s="97" t="str">
        <x:v>Modern collateral occupation research was intentionally limited for privacy.</x:v>
      </x:c>
    </x:row>
    <x:row r="177">
      <x:c r="A177" s="97" t="str">
        <x:v>I181</x:v>
      </x:c>
      <x:c r="B177" s="97" t="str">
        <x:v>Lori Chaffee Mettler</x:v>
      </x:c>
      <x:c r="C177" s="97" t="str"/>
      <x:c r="D177" s="97" t="str">
        <x:v>0</x:v>
      </x:c>
      <x:c r="E177" s="97" t="str">
        <x:v>not researched—privacy limited</x:v>
      </x:c>
      <x:c r="F177" s="97" t="str"/>
      <x:c r="G177" s="97" t="str"/>
      <x:c r="H177" s="97" t="str"/>
      <x:c r="I177" s="97" t="str">
        <x:v>Modern collateral occupation research was intentionally limited for privacy.</x:v>
      </x:c>
    </x:row>
    <x:row r="178">
      <x:c r="A178" s="97" t="str">
        <x:v>I182</x:v>
      </x:c>
      <x:c r="B178" s="97" t="str">
        <x:v>James Chaffee</x:v>
      </x:c>
      <x:c r="C178" s="97" t="str"/>
      <x:c r="D178" s="97" t="str">
        <x:v>0</x:v>
      </x:c>
      <x:c r="E178" s="97" t="str">
        <x:v>not researched—privacy limited</x:v>
      </x:c>
      <x:c r="F178" s="97" t="str"/>
      <x:c r="G178" s="97" t="str">
        <x:v>S29</x:v>
      </x:c>
      <x:c r="H178" s="97" t="str"/>
      <x:c r="I178" s="97" t="str">
        <x:v>Modern collateral occupation research was intentionally limited for privacy.</x:v>
      </x:c>
    </x:row>
    <x:row r="179">
      <x:c r="A179" s="97" t="str">
        <x:v>I183</x:v>
      </x:c>
      <x:c r="B179" s="97" t="str">
        <x:v>Jane Lee Muller Swick</x:v>
      </x:c>
      <x:c r="C179" s="97" t="str"/>
      <x:c r="D179" s="97" t="str">
        <x:v>0</x:v>
      </x:c>
      <x:c r="E179" s="97" t="str">
        <x:v>unresolved—no supported occupation found</x:v>
      </x:c>
      <x:c r="F179" s="97" t="str"/>
      <x:c r="G179" s="97" t="str">
        <x:v>S27</x:v>
      </x:c>
      <x:c r="H179" s="97" t="str"/>
      <x:c r="I179" s="97" t="str">
        <x:v>No occupation is inferred from name, sex, residence, spouse, or family role.</x:v>
      </x:c>
    </x:row>
    <x:row r="180">
      <x:c r="A180" s="97" t="str">
        <x:v>I184</x:v>
      </x:c>
      <x:c r="B180" s="97" t="str">
        <x:v>Howard Swick</x:v>
      </x:c>
      <x:c r="C180" s="97" t="str"/>
      <x:c r="D180" s="97" t="str">
        <x:v>0</x:v>
      </x:c>
      <x:c r="E180" s="97" t="str">
        <x:v>not researched—privacy limited</x:v>
      </x:c>
      <x:c r="F180" s="97" t="str"/>
      <x:c r="G180" s="97" t="str"/>
      <x:c r="H180" s="97" t="str"/>
      <x:c r="I180" s="97" t="str">
        <x:v>Modern collateral occupation research was intentionally limited for privacy.</x:v>
      </x:c>
    </x:row>
    <x:row r="181">
      <x:c r="A181" s="97" t="str">
        <x:v>I185</x:v>
      </x:c>
      <x:c r="B181" s="97" t="str">
        <x:v>Kathy Swick Werblo</x:v>
      </x:c>
      <x:c r="C181" s="97" t="str"/>
      <x:c r="D181" s="97" t="str">
        <x:v>0</x:v>
      </x:c>
      <x:c r="E181" s="97" t="str">
        <x:v>not researched—privacy limited</x:v>
      </x:c>
      <x:c r="F181" s="97" t="str"/>
      <x:c r="G181" s="97" t="str"/>
      <x:c r="H181" s="97" t="str"/>
      <x:c r="I181" s="97" t="str">
        <x:v>Modern collateral occupation research was intentionally limited for privacy.</x:v>
      </x:c>
    </x:row>
    <x:row r="182">
      <x:c r="A182" s="97" t="str">
        <x:v>I186</x:v>
      </x:c>
      <x:c r="B182" s="97" t="str">
        <x:v>Dave Werblo</x:v>
      </x:c>
      <x:c r="C182" s="97" t="str"/>
      <x:c r="D182" s="97" t="str">
        <x:v>0</x:v>
      </x:c>
      <x:c r="E182" s="97" t="str">
        <x:v>not researched—privacy limited</x:v>
      </x:c>
      <x:c r="F182" s="97" t="str"/>
      <x:c r="G182" s="97" t="str"/>
      <x:c r="H182" s="97" t="str"/>
      <x:c r="I182" s="97" t="str">
        <x:v>Modern collateral occupation research was intentionally limited for privacy.</x:v>
      </x:c>
    </x:row>
    <x:row r="183">
      <x:c r="A183" s="97" t="str">
        <x:v>I187</x:v>
      </x:c>
      <x:c r="B183" s="97" t="str">
        <x:v>John Swick</x:v>
      </x:c>
      <x:c r="C183" s="97" t="str"/>
      <x:c r="D183" s="97" t="str">
        <x:v>0</x:v>
      </x:c>
      <x:c r="E183" s="97" t="str">
        <x:v>not researched—privacy limited</x:v>
      </x:c>
      <x:c r="F183" s="97" t="str"/>
      <x:c r="G183" s="97" t="str"/>
      <x:c r="H183" s="97" t="str"/>
      <x:c r="I183" s="97" t="str">
        <x:v>Modern collateral occupation research was intentionally limited for privacy.</x:v>
      </x:c>
    </x:row>
    <x:row r="184">
      <x:c r="A184" s="97" t="str">
        <x:v>I188</x:v>
      </x:c>
      <x:c r="B184" s="97" t="str">
        <x:v>Celeste</x:v>
      </x:c>
      <x:c r="C184" s="97" t="str"/>
      <x:c r="D184" s="97" t="str">
        <x:v>0</x:v>
      </x:c>
      <x:c r="E184" s="97" t="str">
        <x:v>not researched—privacy limited</x:v>
      </x:c>
      <x:c r="F184" s="97" t="str"/>
      <x:c r="G184" s="97" t="str"/>
      <x:c r="H184" s="97" t="str"/>
      <x:c r="I184" s="97" t="str">
        <x:v>Modern collateral occupation research was intentionally limited for privacy.</x:v>
      </x:c>
    </x:row>
    <x:row r="185">
      <x:c r="A185" s="97" t="str">
        <x:v>I189</x:v>
      </x:c>
      <x:c r="B185" s="97" t="str">
        <x:v>Susan Sue Swick Galbraith</x:v>
      </x:c>
      <x:c r="C185" s="97" t="str"/>
      <x:c r="D185" s="97" t="str">
        <x:v>0</x:v>
      </x:c>
      <x:c r="E185" s="97" t="str">
        <x:v>not researched—privacy limited</x:v>
      </x:c>
      <x:c r="F185" s="97" t="str"/>
      <x:c r="G185" s="97" t="str"/>
      <x:c r="H185" s="97" t="str"/>
      <x:c r="I185" s="97" t="str">
        <x:v>Modern collateral occupation research was intentionally limited for privacy.</x:v>
      </x:c>
    </x:row>
    <x:row r="186">
      <x:c r="A186" s="97" t="str">
        <x:v>I190</x:v>
      </x:c>
      <x:c r="B186" s="97" t="str">
        <x:v>Gordon Galbraith</x:v>
      </x:c>
      <x:c r="C186" s="97" t="str"/>
      <x:c r="D186" s="97" t="str">
        <x:v>0</x:v>
      </x:c>
      <x:c r="E186" s="97" t="str">
        <x:v>not researched—privacy limited</x:v>
      </x:c>
      <x:c r="F186" s="97" t="str"/>
      <x:c r="G186" s="97" t="str"/>
      <x:c r="H186" s="97" t="str"/>
      <x:c r="I186" s="97" t="str">
        <x:v>Modern collateral occupation research was intentionally limited for privacy.</x:v>
      </x:c>
    </x:row>
    <x:row r="187">
      <x:c r="A187" s="97" t="str">
        <x:v>I191</x:v>
      </x:c>
      <x:c r="B187" s="97" t="str">
        <x:v>Patti Swick</x:v>
      </x:c>
      <x:c r="C187" s="97" t="str"/>
      <x:c r="D187" s="97" t="str">
        <x:v>0</x:v>
      </x:c>
      <x:c r="E187" s="97" t="str">
        <x:v>not researched—privacy limited</x:v>
      </x:c>
      <x:c r="F187" s="97" t="str"/>
      <x:c r="G187" s="97" t="str"/>
      <x:c r="H187" s="97" t="str"/>
      <x:c r="I187" s="97" t="str">
        <x:v>Modern collateral occupation research was intentionally limited for privacy.</x:v>
      </x:c>
    </x:row>
    <x:row r="188">
      <x:c r="A188" s="97" t="str">
        <x:v>I192</x:v>
      </x:c>
      <x:c r="B188" s="97" t="str">
        <x:v>Rick Lilly</x:v>
      </x:c>
      <x:c r="C188" s="97" t="str"/>
      <x:c r="D188" s="97" t="str">
        <x:v>0</x:v>
      </x:c>
      <x:c r="E188" s="97" t="str">
        <x:v>not researched—privacy limited</x:v>
      </x:c>
      <x:c r="F188" s="97" t="str"/>
      <x:c r="G188" s="97" t="str"/>
      <x:c r="H188" s="97" t="str"/>
      <x:c r="I188" s="97" t="str">
        <x:v>Modern collateral occupation research was intentionally limited for privacy.</x:v>
      </x:c>
    </x:row>
    <x:row r="189">
      <x:c r="A189" s="97" t="str">
        <x:v>I193</x:v>
      </x:c>
      <x:c r="B189" s="97" t="str">
        <x:v>Philip Brooks McCormick</x:v>
      </x:c>
      <x:c r="C189" s="97" t="str"/>
      <x:c r="D189" s="97" t="str">
        <x:v>0</x:v>
      </x:c>
      <x:c r="E189" s="97" t="str">
        <x:v>unresolved—no supported occupation found</x:v>
      </x:c>
      <x:c r="F189" s="97" t="str"/>
      <x:c r="G189" s="97" t="str">
        <x:v>S27;S46</x:v>
      </x:c>
      <x:c r="H189" s="97" t="str"/>
      <x:c r="I189" s="97" t="str">
        <x:v>No occupation is inferred from name, sex, residence, spouse, or family role.</x:v>
      </x:c>
    </x:row>
    <x:row r="190">
      <x:c r="A190" s="97" t="str">
        <x:v>I194</x:v>
      </x:c>
      <x:c r="B190" s="97" t="str">
        <x:v>Elizabeth Betsy Ross McCormick</x:v>
      </x:c>
      <x:c r="C190" s="97" t="str"/>
      <x:c r="D190" s="97" t="str">
        <x:v>0</x:v>
      </x:c>
      <x:c r="E190" s="97" t="str">
        <x:v>not researched—privacy limited</x:v>
      </x:c>
      <x:c r="F190" s="97" t="str"/>
      <x:c r="G190" s="97" t="str"/>
      <x:c r="H190" s="97" t="str"/>
      <x:c r="I190" s="97" t="str">
        <x:v>Modern collateral occupation research was intentionally limited for privacy.</x:v>
      </x:c>
    </x:row>
    <x:row r="191">
      <x:c r="A191" s="97" t="str">
        <x:v>I195</x:v>
      </x:c>
      <x:c r="B191" s="97" t="str">
        <x:v>Sandy McCormick Hill</x:v>
      </x:c>
      <x:c r="C191" s="97" t="str"/>
      <x:c r="D191" s="97" t="str">
        <x:v>0</x:v>
      </x:c>
      <x:c r="E191" s="97" t="str">
        <x:v>not researched—privacy limited</x:v>
      </x:c>
      <x:c r="F191" s="97" t="str"/>
      <x:c r="G191" s="97" t="str"/>
      <x:c r="H191" s="97" t="str"/>
      <x:c r="I191" s="97" t="str">
        <x:v>Modern collateral occupation research was intentionally limited for privacy.</x:v>
      </x:c>
    </x:row>
    <x:row r="192">
      <x:c r="A192" s="97" t="str">
        <x:v>I196</x:v>
      </x:c>
      <x:c r="B192" s="97" t="str">
        <x:v>John Hill</x:v>
      </x:c>
      <x:c r="C192" s="97" t="str"/>
      <x:c r="D192" s="97" t="str">
        <x:v>0</x:v>
      </x:c>
      <x:c r="E192" s="97" t="str">
        <x:v>not researched—privacy limited</x:v>
      </x:c>
      <x:c r="F192" s="97" t="str"/>
      <x:c r="G192" s="97" t="str"/>
      <x:c r="H192" s="97" t="str"/>
      <x:c r="I192" s="97" t="str">
        <x:v>Modern collateral occupation research was intentionally limited for privacy.</x:v>
      </x:c>
    </x:row>
    <x:row r="193">
      <x:c r="A193" s="97" t="str">
        <x:v>I197</x:v>
      </x:c>
      <x:c r="B193" s="97" t="str">
        <x:v>Ross McCormick</x:v>
      </x:c>
      <x:c r="C193" s="97" t="str"/>
      <x:c r="D193" s="97" t="str">
        <x:v>0</x:v>
      </x:c>
      <x:c r="E193" s="97" t="str">
        <x:v>not researched—privacy limited</x:v>
      </x:c>
      <x:c r="F193" s="97" t="str"/>
      <x:c r="G193" s="97" t="str"/>
      <x:c r="H193" s="97" t="str"/>
      <x:c r="I193" s="97" t="str">
        <x:v>Modern collateral occupation research was intentionally limited for privacy.</x:v>
      </x:c>
    </x:row>
    <x:row r="194">
      <x:c r="A194" s="97" t="str">
        <x:v>I198</x:v>
      </x:c>
      <x:c r="B194" s="97" t="str">
        <x:v>Carrie McCormick</x:v>
      </x:c>
      <x:c r="C194" s="97" t="str"/>
      <x:c r="D194" s="97" t="str">
        <x:v>0</x:v>
      </x:c>
      <x:c r="E194" s="97" t="str">
        <x:v>not researched—privacy limited</x:v>
      </x:c>
      <x:c r="F194" s="97" t="str"/>
      <x:c r="G194" s="97" t="str"/>
      <x:c r="H194" s="97" t="str"/>
      <x:c r="I194" s="97" t="str">
        <x:v>Modern collateral occupation research was intentionally limited for privacy.</x:v>
      </x:c>
    </x:row>
    <x:row r="195">
      <x:c r="A195" s="97" t="str">
        <x:v>I199</x:v>
      </x:c>
      <x:c r="B195" s="97" t="str">
        <x:v>Tina McCormick</x:v>
      </x:c>
      <x:c r="C195" s="97" t="str"/>
      <x:c r="D195" s="97" t="str">
        <x:v>0</x:v>
      </x:c>
      <x:c r="E195" s="97" t="str">
        <x:v>not researched—privacy limited</x:v>
      </x:c>
      <x:c r="F195" s="97" t="str"/>
      <x:c r="G195" s="97" t="str"/>
      <x:c r="H195" s="97" t="str"/>
      <x:c r="I195" s="97" t="str">
        <x:v>Modern collateral occupation research was intentionally limited for privacy.</x:v>
      </x:c>
    </x:row>
    <x:row r="196">
      <x:c r="A196" s="97" t="str">
        <x:v>I200</x:v>
      </x:c>
      <x:c r="B196" s="97" t="str">
        <x:v>Charles McCormick</x:v>
      </x:c>
      <x:c r="C196" s="97" t="str"/>
      <x:c r="D196" s="97" t="str">
        <x:v>0</x:v>
      </x:c>
      <x:c r="E196" s="97" t="str">
        <x:v>not researched—privacy limited</x:v>
      </x:c>
      <x:c r="F196" s="97" t="str"/>
      <x:c r="G196" s="97" t="str">
        <x:v>S27</x:v>
      </x:c>
      <x:c r="H196" s="97" t="str"/>
      <x:c r="I196" s="97" t="str">
        <x:v>Modern collateral occupation research was intentionally limited for privacy.</x:v>
      </x:c>
    </x:row>
    <x:row r="197">
      <x:c r="A197" s="97" t="str">
        <x:v>I201</x:v>
      </x:c>
      <x:c r="B197" s="97" t="str">
        <x:v>Judy McCormick</x:v>
      </x:c>
      <x:c r="C197" s="97" t="str"/>
      <x:c r="D197" s="97" t="str">
        <x:v>0</x:v>
      </x:c>
      <x:c r="E197" s="97" t="str">
        <x:v>not researched—privacy limited</x:v>
      </x:c>
      <x:c r="F197" s="97" t="str"/>
      <x:c r="G197" s="97" t="str"/>
      <x:c r="H197" s="97" t="str"/>
      <x:c r="I197" s="97" t="str">
        <x:v>Modern collateral occupation research was intentionally limited for privacy.</x:v>
      </x:c>
    </x:row>
    <x:row r="198">
      <x:c r="A198" s="97" t="str">
        <x:v>I202</x:v>
      </x:c>
      <x:c r="B198" s="97" t="str">
        <x:v>Gwendolyn Gwen McCormick Hull</x:v>
      </x:c>
      <x:c r="C198" s="97" t="str"/>
      <x:c r="D198" s="97" t="str">
        <x:v>0</x:v>
      </x:c>
      <x:c r="E198" s="97" t="str">
        <x:v>not researched—privacy limited</x:v>
      </x:c>
      <x:c r="F198" s="97" t="str"/>
      <x:c r="G198" s="97" t="str">
        <x:v>S27</x:v>
      </x:c>
      <x:c r="H198" s="97" t="str"/>
      <x:c r="I198" s="97" t="str">
        <x:v>Modern collateral occupation research was intentionally limited for privacy.</x:v>
      </x:c>
    </x:row>
    <x:row r="199">
      <x:c r="A199" s="97" t="str">
        <x:v>I203</x:v>
      </x:c>
      <x:c r="B199" s="97" t="str">
        <x:v>Jim Hull</x:v>
      </x:c>
      <x:c r="C199" s="97" t="str"/>
      <x:c r="D199" s="97" t="str">
        <x:v>0</x:v>
      </x:c>
      <x:c r="E199" s="97" t="str">
        <x:v>not researched—privacy limited</x:v>
      </x:c>
      <x:c r="F199" s="97" t="str"/>
      <x:c r="G199" s="97" t="str"/>
      <x:c r="H199" s="97" t="str"/>
      <x:c r="I199" s="97" t="str">
        <x:v>Modern collateral occupation research was intentionally limited for privacy.</x:v>
      </x:c>
    </x:row>
    <x:row r="200">
      <x:c r="A200" s="97" t="str">
        <x:v>I204</x:v>
      </x:c>
      <x:c r="B200" s="97" t="str">
        <x:v>Carey Zaura</x:v>
      </x:c>
      <x:c r="C200" s="97" t="str"/>
      <x:c r="D200" s="97" t="str">
        <x:v>0</x:v>
      </x:c>
      <x:c r="E200" s="97" t="str">
        <x:v>not researched—privacy limited</x:v>
      </x:c>
      <x:c r="F200" s="97" t="str"/>
      <x:c r="G200" s="97" t="str"/>
      <x:c r="H200" s="97" t="str"/>
      <x:c r="I200" s="97" t="str">
        <x:v>Modern collateral occupation research was intentionally limited for privacy.</x:v>
      </x:c>
    </x:row>
    <x:row r="201">
      <x:c r="A201" s="97" t="str">
        <x:v>I205</x:v>
      </x:c>
      <x:c r="B201" s="97" t="str">
        <x:v>Mark Hull</x:v>
      </x:c>
      <x:c r="C201" s="97" t="str"/>
      <x:c r="D201" s="97" t="str">
        <x:v>0</x:v>
      </x:c>
      <x:c r="E201" s="97" t="str">
        <x:v>not researched—privacy limited</x:v>
      </x:c>
      <x:c r="F201" s="97" t="str"/>
      <x:c r="G201" s="97" t="str"/>
      <x:c r="H201" s="97" t="str"/>
      <x:c r="I201" s="97" t="str">
        <x:v>Modern collateral occupation research was intentionally limited for privacy.</x:v>
      </x:c>
    </x:row>
    <x:row r="202">
      <x:c r="A202" s="97" t="str">
        <x:v>I207</x:v>
      </x:c>
      <x:c r="B202" s="97" t="str">
        <x:v>Charles Frederic Vollmer</x:v>
      </x:c>
      <x:c r="C202" s="97" t="str">
        <x:v>Salesman (1940; Van Wert, Van Wert, Ohio; private employer) | Salesman (1950; Seattle, King, Washington; wholesale glue company)</x:v>
      </x:c>
      <x:c r="D202" s="97" t="str">
        <x:v>2</x:v>
      </x:c>
      <x:c r="E202" s="97" t="str">
        <x:v>recorded</x:v>
      </x:c>
      <x:c r="F202" s="97" t="str">
        <x:v>civilian occupation</x:v>
      </x:c>
      <x:c r="G202" s="97" t="str">
        <x:v>S26;S30;S48</x:v>
      </x:c>
      <x:c r="H202" s="97" t="str">
        <x:v>OCC-003;OCC-004</x:v>
      </x:c>
      <x:c r="I202" s="97" t="str">
        <x:v>One or more cited occupations or roles are present in the GEDCOM.</x:v>
      </x:c>
    </x:row>
    <x:row r="203">
      <x:c r="A203" s="97" t="str">
        <x:v>I208</x:v>
      </x:c>
      <x:c r="B203" s="97" t="str">
        <x:v>Henry John Joseph Vollmer</x:v>
      </x:c>
      <x:c r="C203" s="97" t="str">
        <x:v>Mason and plasterer (1910; Hempstead District 5, Nassau, New York; own account) | Mason (1920; Hempstead, Nassau, New York; house industry) | Builder (1930; Freeport, Nassau, New York; contracting)</x:v>
      </x:c>
      <x:c r="D203" s="97" t="str">
        <x:v>3</x:v>
      </x:c>
      <x:c r="E203" s="97" t="str">
        <x:v>recorded</x:v>
      </x:c>
      <x:c r="F203" s="97" t="str">
        <x:v>civilian occupation</x:v>
      </x:c>
      <x:c r="G203" s="97" t="str">
        <x:v>S26;S48</x:v>
      </x:c>
      <x:c r="H203" s="97" t="str">
        <x:v>OCC-005;OCC-006;OCC-007</x:v>
      </x:c>
      <x:c r="I203" s="97" t="str">
        <x:v>One or more cited occupations or roles are present in the GEDCOM.</x:v>
      </x:c>
    </x:row>
    <x:row r="204">
      <x:c r="A204" s="97" t="str">
        <x:v>I209</x:v>
      </x:c>
      <x:c r="B204" s="97" t="str">
        <x:v>Frederick Gottlieb Vollmer</x:v>
      </x:c>
      <x:c r="C204" s="97" t="str"/>
      <x:c r="D204" s="97" t="str">
        <x:v>0</x:v>
      </x:c>
      <x:c r="E204" s="97" t="str">
        <x:v>unresolved—no supported occupation found</x:v>
      </x:c>
      <x:c r="F204" s="97" t="str"/>
      <x:c r="G204" s="97" t="str">
        <x:v>S26</x:v>
      </x:c>
      <x:c r="H204" s="97" t="str"/>
      <x:c r="I204" s="97" t="str">
        <x:v>No occupation is inferred from name, sex, residence, spouse, or family role.</x:v>
      </x:c>
    </x:row>
    <x:row r="205">
      <x:c r="A205" s="97" t="str">
        <x:v>I210</x:v>
      </x:c>
      <x:c r="B205" s="97" t="str">
        <x:v>Mary Kalwiet</x:v>
      </x:c>
      <x:c r="C205" s="97" t="str"/>
      <x:c r="D205" s="97" t="str">
        <x:v>0</x:v>
      </x:c>
      <x:c r="E205" s="97" t="str">
        <x:v>unresolved—no supported occupation found</x:v>
      </x:c>
      <x:c r="F205" s="97" t="str"/>
      <x:c r="G205" s="97" t="str">
        <x:v>S26</x:v>
      </x:c>
      <x:c r="H205" s="97" t="str"/>
      <x:c r="I205" s="97" t="str">
        <x:v>No occupation is inferred from name, sex, residence, spouse, or family role.</x:v>
      </x:c>
    </x:row>
    <x:row r="206">
      <x:c r="A206" s="97" t="str">
        <x:v>I211</x:v>
      </x:c>
      <x:c r="B206" s="97" t="str">
        <x:v>Metha Peper Vollmer</x:v>
      </x:c>
      <x:c r="C206" s="97" t="str"/>
      <x:c r="D206" s="97" t="str">
        <x:v>0</x:v>
      </x:c>
      <x:c r="E206" s="97" t="str">
        <x:v>unresolved—no supported occupation found</x:v>
      </x:c>
      <x:c r="F206" s="97" t="str"/>
      <x:c r="G206" s="97" t="str">
        <x:v>S26</x:v>
      </x:c>
      <x:c r="H206" s="97" t="str"/>
      <x:c r="I206" s="97" t="str">
        <x:v>No occupation is inferred from name, sex, residence, spouse, or family role.</x:v>
      </x:c>
    </x:row>
    <x:row r="207">
      <x:c r="A207" s="97" t="str">
        <x:v>I212</x:v>
      </x:c>
      <x:c r="B207" s="97" t="str">
        <x:v>George Peper</x:v>
      </x:c>
      <x:c r="C207" s="97" t="str">
        <x:v>Teamster (14 MAR 1884; 501 West 51st Street, Manhattan, New York)</x:v>
      </x:c>
      <x:c r="D207" s="97" t="str">
        <x:v>1</x:v>
      </x:c>
      <x:c r="E207" s="97" t="str">
        <x:v>recorded</x:v>
      </x:c>
      <x:c r="F207" s="97" t="str">
        <x:v>civilian occupation</x:v>
      </x:c>
      <x:c r="G207" s="97" t="str">
        <x:v>S26;S48</x:v>
      </x:c>
      <x:c r="H207" s="97" t="str">
        <x:v>OCC-013</x:v>
      </x:c>
      <x:c r="I207" s="97" t="str">
        <x:v>One or more cited occupations or roles are present in the GEDCOM.</x:v>
      </x:c>
    </x:row>
    <x:row r="208">
      <x:c r="A208" s="97" t="str">
        <x:v>I213</x:v>
      </x:c>
      <x:c r="B208" s="97" t="str">
        <x:v>Anna Sophie Stelling Peper</x:v>
      </x:c>
      <x:c r="C208" s="97" t="str"/>
      <x:c r="D208" s="97" t="str">
        <x:v>0</x:v>
      </x:c>
      <x:c r="E208" s="97" t="str">
        <x:v>unresolved—no supported occupation found</x:v>
      </x:c>
      <x:c r="F208" s="97" t="str"/>
      <x:c r="G208" s="97" t="str">
        <x:v>S26</x:v>
      </x:c>
      <x:c r="H208" s="97" t="str"/>
      <x:c r="I208" s="97" t="str">
        <x:v>No occupation is inferred from name, sex, residence, spouse, or family role.</x:v>
      </x:c>
    </x:row>
    <x:row r="209">
      <x:c r="A209" s="97" t="str">
        <x:v>I214</x:v>
      </x:c>
      <x:c r="B209" s="97" t="str">
        <x:v>Peter Peper</x:v>
      </x:c>
      <x:c r="C209" s="97" t="str"/>
      <x:c r="D209" s="97" t="str">
        <x:v>0</x:v>
      </x:c>
      <x:c r="E209" s="97" t="str">
        <x:v>unresolved—no supported occupation found</x:v>
      </x:c>
      <x:c r="F209" s="97" t="str"/>
      <x:c r="G209" s="97" t="str">
        <x:v>S26</x:v>
      </x:c>
      <x:c r="H209" s="97" t="str"/>
      <x:c r="I209" s="97" t="str">
        <x:v>No occupation is inferred from name, sex, residence, spouse, or family role.</x:v>
      </x:c>
    </x:row>
    <x:row r="210">
      <x:c r="A210" s="97" t="str">
        <x:v>I215</x:v>
      </x:c>
      <x:c r="B210" s="97" t="str">
        <x:v>Meta Francke</x:v>
      </x:c>
      <x:c r="C210" s="97" t="str"/>
      <x:c r="D210" s="97" t="str">
        <x:v>0</x:v>
      </x:c>
      <x:c r="E210" s="97" t="str">
        <x:v>unresolved—no supported occupation found</x:v>
      </x:c>
      <x:c r="F210" s="97" t="str"/>
      <x:c r="G210" s="97" t="str">
        <x:v>S26</x:v>
      </x:c>
      <x:c r="H210" s="97" t="str"/>
      <x:c r="I210" s="97" t="str">
        <x:v>No occupation is inferred from name, sex, residence, spouse, or family role.</x:v>
      </x:c>
    </x:row>
    <x:row r="211">
      <x:c r="A211" s="97" t="str">
        <x:v>I216</x:v>
      </x:c>
      <x:c r="B211" s="97" t="str">
        <x:v>Charles Stelling</x:v>
      </x:c>
      <x:c r="C211" s="97" t="str"/>
      <x:c r="D211" s="97" t="str">
        <x:v>0</x:v>
      </x:c>
      <x:c r="E211" s="97" t="str">
        <x:v>unresolved—no supported occupation found</x:v>
      </x:c>
      <x:c r="F211" s="97" t="str"/>
      <x:c r="G211" s="97" t="str">
        <x:v>S26</x:v>
      </x:c>
      <x:c r="H211" s="97" t="str"/>
      <x:c r="I211" s="97" t="str">
        <x:v>No occupation is inferred from name, sex, residence, spouse, or family role.</x:v>
      </x:c>
    </x:row>
    <x:row r="212">
      <x:c r="A212" s="97" t="str">
        <x:v>I217</x:v>
      </x:c>
      <x:c r="B212" s="97" t="str">
        <x:v>Catharine Ahrens</x:v>
      </x:c>
      <x:c r="C212" s="97" t="str"/>
      <x:c r="D212" s="97" t="str">
        <x:v>0</x:v>
      </x:c>
      <x:c r="E212" s="97" t="str">
        <x:v>unresolved—no supported occupation found</x:v>
      </x:c>
      <x:c r="F212" s="97" t="str"/>
      <x:c r="G212" s="97" t="str">
        <x:v>S26</x:v>
      </x:c>
      <x:c r="H212" s="97" t="str"/>
      <x:c r="I212" s="97" t="str">
        <x:v>No occupation is inferred from name, sex, residence, spouse, or family role.</x:v>
      </x:c>
    </x:row>
    <x:row r="213">
      <x:c r="A213" s="97" t="str">
        <x:v>I218</x:v>
      </x:c>
      <x:c r="B213" s="97" t="str">
        <x:v>Doris Josephine Marsh Vollmer</x:v>
      </x:c>
      <x:c r="C213" s="97" t="str">
        <x:v>Keeping house (1950; Seattle, King, Washington)</x:v>
      </x:c>
      <x:c r="D213" s="97" t="str">
        <x:v>1</x:v>
      </x:c>
      <x:c r="E213" s="97" t="str">
        <x:v>recorded</x:v>
      </x:c>
      <x:c r="F213" s="97" t="str">
        <x:v>household role</x:v>
      </x:c>
      <x:c r="G213" s="97" t="str">
        <x:v>S26;S48</x:v>
      </x:c>
      <x:c r="H213" s="97" t="str">
        <x:v>OCC-008</x:v>
      </x:c>
      <x:c r="I213" s="97" t="str">
        <x:v>One or more cited occupations or roles are present in the GEDCOM.</x:v>
      </x:c>
    </x:row>
    <x:row r="214">
      <x:c r="A214" s="97" t="str">
        <x:v>I219</x:v>
      </x:c>
      <x:c r="B214" s="97" t="str">
        <x:v>Frederick Heath Marsh</x:v>
      </x:c>
      <x:c r="C214" s="97" t="str">
        <x:v>Butcher (1910; Leicester, Livingston, New York; meat market; employer)</x:v>
      </x:c>
      <x:c r="D214" s="97" t="str">
        <x:v>1</x:v>
      </x:c>
      <x:c r="E214" s="97" t="str">
        <x:v>recorded</x:v>
      </x:c>
      <x:c r="F214" s="97" t="str">
        <x:v>civilian occupation</x:v>
      </x:c>
      <x:c r="G214" s="97" t="str">
        <x:v>S26;S48</x:v>
      </x:c>
      <x:c r="H214" s="97" t="str">
        <x:v>OCC-015</x:v>
      </x:c>
      <x:c r="I214" s="97" t="str">
        <x:v>One or more cited occupations or roles are present in the GEDCOM.</x:v>
      </x:c>
    </x:row>
    <x:row r="215">
      <x:c r="A215" s="97" t="str">
        <x:v>I220</x:v>
      </x:c>
      <x:c r="B215" s="97" t="str">
        <x:v>Andrew J Marsh</x:v>
      </x:c>
      <x:c r="C215" s="97" t="str">
        <x:v>Wagon maker (1870; Pavilion, Genesee, New York) | Sexton (1910; Leicester, Livingston, New York; cemetery)</x:v>
      </x:c>
      <x:c r="D215" s="97" t="str">
        <x:v>2</x:v>
      </x:c>
      <x:c r="E215" s="97" t="str">
        <x:v>recorded</x:v>
      </x:c>
      <x:c r="F215" s="97" t="str">
        <x:v>civilian occupation</x:v>
      </x:c>
      <x:c r="G215" s="97" t="str">
        <x:v>S26;S48</x:v>
      </x:c>
      <x:c r="H215" s="97" t="str">
        <x:v>OCC-016;OCC-017</x:v>
      </x:c>
      <x:c r="I215" s="97" t="str">
        <x:v>One or more cited occupations or roles are present in the GEDCOM.</x:v>
      </x:c>
    </x:row>
    <x:row r="216">
      <x:c r="A216" s="97" t="str">
        <x:v>I221</x:v>
      </x:c>
      <x:c r="B216" s="97" t="str">
        <x:v>Malachi Marsh</x:v>
      </x:c>
      <x:c r="C216" s="97" t="str">
        <x:v>Farmer (1850; Franklinville, Cattaraugus, New York)</x:v>
      </x:c>
      <x:c r="D216" s="97" t="str">
        <x:v>1</x:v>
      </x:c>
      <x:c r="E216" s="97" t="str">
        <x:v>recorded</x:v>
      </x:c>
      <x:c r="F216" s="97" t="str">
        <x:v>civilian occupation</x:v>
      </x:c>
      <x:c r="G216" s="97" t="str">
        <x:v>S26;S48</x:v>
      </x:c>
      <x:c r="H216" s="97" t="str">
        <x:v>OCC-018</x:v>
      </x:c>
      <x:c r="I216" s="97" t="str">
        <x:v>One or more cited occupations or roles are present in the GEDCOM.</x:v>
      </x:c>
    </x:row>
    <x:row r="217">
      <x:c r="A217" s="97" t="str">
        <x:v>I222</x:v>
      </x:c>
      <x:c r="B217" s="97" t="str">
        <x:v>Mary Lane Marsh</x:v>
      </x:c>
      <x:c r="C217" s="97" t="str"/>
      <x:c r="D217" s="97" t="str">
        <x:v>0</x:v>
      </x:c>
      <x:c r="E217" s="97" t="str">
        <x:v>unresolved—no supported occupation found</x:v>
      </x:c>
      <x:c r="F217" s="97" t="str"/>
      <x:c r="G217" s="97" t="str">
        <x:v>S26</x:v>
      </x:c>
      <x:c r="H217" s="97" t="str"/>
      <x:c r="I217" s="97" t="str">
        <x:v>No occupation is inferred from name, sex, residence, spouse, or family role.</x:v>
      </x:c>
    </x:row>
    <x:row r="218">
      <x:c r="A218" s="97" t="str">
        <x:v>I223</x:v>
      </x:c>
      <x:c r="B218" s="97" t="str">
        <x:v>Stephen Lane</x:v>
      </x:c>
      <x:c r="C218" s="97" t="str"/>
      <x:c r="D218" s="97" t="str">
        <x:v>0</x:v>
      </x:c>
      <x:c r="E218" s="97" t="str">
        <x:v>unresolved—no supported occupation found</x:v>
      </x:c>
      <x:c r="F218" s="97" t="str"/>
      <x:c r="G218" s="97" t="str">
        <x:v>S26</x:v>
      </x:c>
      <x:c r="H218" s="97" t="str"/>
      <x:c r="I218" s="97" t="str">
        <x:v>No occupation is inferred from name, sex, residence, spouse, or family role.</x:v>
      </x:c>
    </x:row>
    <x:row r="219">
      <x:c r="A219" s="97" t="str">
        <x:v>I224</x:v>
      </x:c>
      <x:c r="B219" s="97" t="str">
        <x:v>Lois Currier Lane</x:v>
      </x:c>
      <x:c r="C219" s="97" t="str"/>
      <x:c r="D219" s="97" t="str">
        <x:v>0</x:v>
      </x:c>
      <x:c r="E219" s="97" t="str">
        <x:v>unresolved—no supported occupation found</x:v>
      </x:c>
      <x:c r="F219" s="97" t="str"/>
      <x:c r="G219" s="97" t="str">
        <x:v>S26</x:v>
      </x:c>
      <x:c r="H219" s="97" t="str"/>
      <x:c r="I219" s="97" t="str">
        <x:v>No occupation is inferred from name, sex, residence, spouse, or family role.</x:v>
      </x:c>
    </x:row>
    <x:row r="220">
      <x:c r="A220" s="97" t="str">
        <x:v>I225</x:v>
      </x:c>
      <x:c r="B220" s="97" t="str">
        <x:v>Joshua Lane</x:v>
      </x:c>
      <x:c r="C220" s="97" t="str"/>
      <x:c r="D220" s="97" t="str">
        <x:v>0</x:v>
      </x:c>
      <x:c r="E220" s="97" t="str">
        <x:v>unresolved—no supported occupation found</x:v>
      </x:c>
      <x:c r="F220" s="97" t="str"/>
      <x:c r="G220" s="97" t="str">
        <x:v>S26</x:v>
      </x:c>
      <x:c r="H220" s="97" t="str"/>
      <x:c r="I220" s="97" t="str">
        <x:v>No occupation is inferred from name, sex, residence, spouse, or family role.</x:v>
      </x:c>
    </x:row>
    <x:row r="221">
      <x:c r="A221" s="97" t="str">
        <x:v>I226</x:v>
      </x:c>
      <x:c r="B221" s="97" t="str">
        <x:v>Hannah Tilton Lane</x:v>
      </x:c>
      <x:c r="C221" s="97" t="str"/>
      <x:c r="D221" s="97" t="str">
        <x:v>0</x:v>
      </x:c>
      <x:c r="E221" s="97" t="str">
        <x:v>unresolved—no supported occupation found</x:v>
      </x:c>
      <x:c r="F221" s="97" t="str"/>
      <x:c r="G221" s="97" t="str">
        <x:v>S26</x:v>
      </x:c>
      <x:c r="H221" s="97" t="str"/>
      <x:c r="I221" s="97" t="str">
        <x:v>No occupation is inferred from name, sex, residence, spouse, or family role.</x:v>
      </x:c>
    </x:row>
    <x:row r="222">
      <x:c r="A222" s="97" t="str">
        <x:v>I227</x:v>
      </x:c>
      <x:c r="B222" s="97" t="str">
        <x:v>Samuel Lane</x:v>
      </x:c>
      <x:c r="C222" s="97" t="str"/>
      <x:c r="D222" s="97" t="str">
        <x:v>0</x:v>
      </x:c>
      <x:c r="E222" s="97" t="str">
        <x:v>unresolved—no supported occupation found</x:v>
      </x:c>
      <x:c r="F222" s="97" t="str"/>
      <x:c r="G222" s="97" t="str">
        <x:v>S26</x:v>
      </x:c>
      <x:c r="H222" s="97" t="str"/>
      <x:c r="I222" s="97" t="str">
        <x:v>No occupation is inferred from name, sex, residence, spouse, or family role.</x:v>
      </x:c>
    </x:row>
    <x:row r="223">
      <x:c r="A223" s="97" t="str">
        <x:v>I228</x:v>
      </x:c>
      <x:c r="B223" s="97" t="str">
        <x:v>Mary James Lane</x:v>
      </x:c>
      <x:c r="C223" s="97" t="str"/>
      <x:c r="D223" s="97" t="str">
        <x:v>0</x:v>
      </x:c>
      <x:c r="E223" s="97" t="str">
        <x:v>unresolved—no supported occupation found</x:v>
      </x:c>
      <x:c r="F223" s="97" t="str"/>
      <x:c r="G223" s="97" t="str">
        <x:v>S26</x:v>
      </x:c>
      <x:c r="H223" s="97" t="str"/>
      <x:c r="I223" s="97" t="str">
        <x:v>No occupation is inferred from name, sex, residence, spouse, or family role.</x:v>
      </x:c>
    </x:row>
    <x:row r="224">
      <x:c r="A224" s="97" t="str">
        <x:v>I229</x:v>
      </x:c>
      <x:c r="B224" s="97" t="str">
        <x:v>Joshua Lane</x:v>
      </x:c>
      <x:c r="C224" s="97" t="str"/>
      <x:c r="D224" s="97" t="str">
        <x:v>0</x:v>
      </x:c>
      <x:c r="E224" s="97" t="str">
        <x:v>unresolved—no supported occupation found</x:v>
      </x:c>
      <x:c r="F224" s="97" t="str"/>
      <x:c r="G224" s="97" t="str">
        <x:v>S26</x:v>
      </x:c>
      <x:c r="H224" s="97" t="str"/>
      <x:c r="I224" s="97" t="str">
        <x:v>No occupation is inferred from name, sex, residence, spouse, or family role.</x:v>
      </x:c>
    </x:row>
    <x:row r="225">
      <x:c r="A225" s="97" t="str">
        <x:v>I230</x:v>
      </x:c>
      <x:c r="B225" s="97" t="str">
        <x:v>Bathsheba Robie Lane</x:v>
      </x:c>
      <x:c r="C225" s="97" t="str"/>
      <x:c r="D225" s="97" t="str">
        <x:v>0</x:v>
      </x:c>
      <x:c r="E225" s="97" t="str">
        <x:v>unresolved—no supported occupation found</x:v>
      </x:c>
      <x:c r="F225" s="97" t="str"/>
      <x:c r="G225" s="97" t="str">
        <x:v>S26;S46</x:v>
      </x:c>
      <x:c r="H225" s="97" t="str"/>
      <x:c r="I225" s="97" t="str">
        <x:v>No occupation is inferred from name, sex, residence, spouse, or family role.</x:v>
      </x:c>
    </x:row>
    <x:row r="226">
      <x:c r="A226" s="97" t="str">
        <x:v>I231</x:v>
      </x:c>
      <x:c r="B226" s="97" t="str">
        <x:v>Benjamin James</x:v>
      </x:c>
      <x:c r="C226" s="97" t="str"/>
      <x:c r="D226" s="97" t="str">
        <x:v>0</x:v>
      </x:c>
      <x:c r="E226" s="97" t="str">
        <x:v>unresolved—no supported occupation found</x:v>
      </x:c>
      <x:c r="F226" s="97" t="str"/>
      <x:c r="G226" s="97" t="str">
        <x:v>S26</x:v>
      </x:c>
      <x:c r="H226" s="97" t="str"/>
      <x:c r="I226" s="97" t="str">
        <x:v>No occupation is inferred from name, sex, residence, spouse, or family role.</x:v>
      </x:c>
    </x:row>
    <x:row r="227">
      <x:c r="A227" s="97" t="str">
        <x:v>I232</x:v>
      </x:c>
      <x:c r="B227" s="97" t="str">
        <x:v>Susanna James</x:v>
      </x:c>
      <x:c r="C227" s="97" t="str"/>
      <x:c r="D227" s="97" t="str">
        <x:v>0</x:v>
      </x:c>
      <x:c r="E227" s="97" t="str">
        <x:v>unresolved—no supported occupation found</x:v>
      </x:c>
      <x:c r="F227" s="97" t="str"/>
      <x:c r="G227" s="97" t="str">
        <x:v>S26</x:v>
      </x:c>
      <x:c r="H227" s="97" t="str"/>
      <x:c r="I227" s="97" t="str">
        <x:v>No occupation is inferred from name, sex, residence, spouse, or family role.</x:v>
      </x:c>
    </x:row>
    <x:row r="228">
      <x:c r="A228" s="97" t="str">
        <x:v>I233</x:v>
      </x:c>
      <x:c r="B228" s="97" t="str">
        <x:v>William Lane</x:v>
      </x:c>
      <x:c r="C228" s="97" t="str"/>
      <x:c r="D228" s="97" t="str">
        <x:v>0</x:v>
      </x:c>
      <x:c r="E228" s="97" t="str">
        <x:v>unresolved—no supported occupation found</x:v>
      </x:c>
      <x:c r="F228" s="97" t="str"/>
      <x:c r="G228" s="97" t="str">
        <x:v>S26</x:v>
      </x:c>
      <x:c r="H228" s="97" t="str"/>
      <x:c r="I228" s="97" t="str">
        <x:v>No occupation is inferred from name, sex, residence, spouse, or family role.</x:v>
      </x:c>
    </x:row>
    <x:row r="229">
      <x:c r="A229" s="97" t="str">
        <x:v>I234</x:v>
      </x:c>
      <x:c r="B229" s="97" t="str">
        <x:v>Sarah Lane</x:v>
      </x:c>
      <x:c r="C229" s="97" t="str"/>
      <x:c r="D229" s="97" t="str">
        <x:v>0</x:v>
      </x:c>
      <x:c r="E229" s="97" t="str">
        <x:v>unresolved—no supported occupation found</x:v>
      </x:c>
      <x:c r="F229" s="97" t="str"/>
      <x:c r="G229" s="97" t="str">
        <x:v>S26</x:v>
      </x:c>
      <x:c r="H229" s="97" t="str"/>
      <x:c r="I229" s="97" t="str">
        <x:v>No occupation is inferred from name, sex, residence, spouse, or family role.</x:v>
      </x:c>
    </x:row>
    <x:row r="230">
      <x:c r="A230" s="97" t="str">
        <x:v>I235</x:v>
      </x:c>
      <x:c r="B230" s="97" t="str">
        <x:v>Amelia Whitney Marsh</x:v>
      </x:c>
      <x:c r="C230" s="97" t="str"/>
      <x:c r="D230" s="97" t="str">
        <x:v>0</x:v>
      </x:c>
      <x:c r="E230" s="97" t="str">
        <x:v>unresolved—no supported occupation found</x:v>
      </x:c>
      <x:c r="F230" s="97" t="str"/>
      <x:c r="G230" s="97" t="str">
        <x:v>S26</x:v>
      </x:c>
      <x:c r="H230" s="97" t="str"/>
      <x:c r="I230" s="97" t="str">
        <x:v>No occupation is inferred from name, sex, residence, spouse, or family role.</x:v>
      </x:c>
    </x:row>
    <x:row r="231">
      <x:c r="A231" s="97" t="str">
        <x:v>I236</x:v>
      </x:c>
      <x:c r="B231" s="97" t="str">
        <x:v>Alvin L Whitney</x:v>
      </x:c>
      <x:c r="C231" s="97" t="str">
        <x:v>Carpenter and joiner (1850; Pavilion, Genesee, New York; construction)</x:v>
      </x:c>
      <x:c r="D231" s="97" t="str">
        <x:v>1</x:v>
      </x:c>
      <x:c r="E231" s="97" t="str">
        <x:v>recorded</x:v>
      </x:c>
      <x:c r="F231" s="97" t="str">
        <x:v>civilian occupation</x:v>
      </x:c>
      <x:c r="G231" s="97" t="str">
        <x:v>S26;S48</x:v>
      </x:c>
      <x:c r="H231" s="97" t="str">
        <x:v>OCC-019</x:v>
      </x:c>
      <x:c r="I231" s="97" t="str">
        <x:v>One or more cited occupations or roles are present in the GEDCOM.</x:v>
      </x:c>
    </x:row>
    <x:row r="232">
      <x:c r="A232" s="97" t="str">
        <x:v>I237</x:v>
      </x:c>
      <x:c r="B232" s="97" t="str">
        <x:v>James Whitney</x:v>
      </x:c>
      <x:c r="C232" s="97" t="str"/>
      <x:c r="D232" s="97" t="str">
        <x:v>0</x:v>
      </x:c>
      <x:c r="E232" s="97" t="str">
        <x:v>unresolved—no supported occupation found</x:v>
      </x:c>
      <x:c r="F232" s="97" t="str"/>
      <x:c r="G232" s="97" t="str">
        <x:v>S26</x:v>
      </x:c>
      <x:c r="H232" s="97" t="str"/>
      <x:c r="I232" s="97" t="str">
        <x:v>No occupation is inferred from name, sex, residence, spouse, or family role.</x:v>
      </x:c>
    </x:row>
    <x:row r="233">
      <x:c r="A233" s="97" t="str">
        <x:v>I238</x:v>
      </x:c>
      <x:c r="B233" s="97" t="str">
        <x:v>Betsey Cook Whitney</x:v>
      </x:c>
      <x:c r="C233" s="97" t="str"/>
      <x:c r="D233" s="97" t="str">
        <x:v>0</x:v>
      </x:c>
      <x:c r="E233" s="97" t="str">
        <x:v>unresolved—no supported occupation found</x:v>
      </x:c>
      <x:c r="F233" s="97" t="str"/>
      <x:c r="G233" s="97" t="str">
        <x:v>S26</x:v>
      </x:c>
      <x:c r="H233" s="97" t="str"/>
      <x:c r="I233" s="97" t="str">
        <x:v>No occupation is inferred from name, sex, residence, spouse, or family role.</x:v>
      </x:c>
    </x:row>
    <x:row r="234">
      <x:c r="A234" s="97" t="str">
        <x:v>I239</x:v>
      </x:c>
      <x:c r="B234" s="97" t="str">
        <x:v>Levi Cook</x:v>
      </x:c>
      <x:c r="C234" s="97" t="str"/>
      <x:c r="D234" s="97" t="str">
        <x:v>0</x:v>
      </x:c>
      <x:c r="E234" s="97" t="str">
        <x:v>unresolved—no supported occupation found</x:v>
      </x:c>
      <x:c r="F234" s="97" t="str"/>
      <x:c r="G234" s="97" t="str">
        <x:v>S26</x:v>
      </x:c>
      <x:c r="H234" s="97" t="str"/>
      <x:c r="I234" s="97" t="str">
        <x:v>No occupation is inferred from name, sex, residence, spouse, or family role.</x:v>
      </x:c>
    </x:row>
    <x:row r="235">
      <x:c r="A235" s="97" t="str">
        <x:v>I240</x:v>
      </x:c>
      <x:c r="B235" s="97" t="str">
        <x:v>Betsey Brown Cook</x:v>
      </x:c>
      <x:c r="C235" s="97" t="str"/>
      <x:c r="D235" s="97" t="str">
        <x:v>0</x:v>
      </x:c>
      <x:c r="E235" s="97" t="str">
        <x:v>unresolved—no supported occupation found</x:v>
      </x:c>
      <x:c r="F235" s="97" t="str"/>
      <x:c r="G235" s="97" t="str">
        <x:v>S26</x:v>
      </x:c>
      <x:c r="H235" s="97" t="str"/>
      <x:c r="I235" s="97" t="str">
        <x:v>No occupation is inferred from name, sex, residence, spouse, or family role.</x:v>
      </x:c>
    </x:row>
    <x:row r="236">
      <x:c r="A236" s="97" t="str">
        <x:v>I241</x:v>
      </x:c>
      <x:c r="B236" s="97" t="str">
        <x:v>Hezekiah Cook</x:v>
      </x:c>
      <x:c r="C236" s="97" t="str"/>
      <x:c r="D236" s="97" t="str">
        <x:v>0</x:v>
      </x:c>
      <x:c r="E236" s="97" t="str">
        <x:v>unresolved—no supported occupation found</x:v>
      </x:c>
      <x:c r="F236" s="97" t="str"/>
      <x:c r="G236" s="97" t="str">
        <x:v>S26</x:v>
      </x:c>
      <x:c r="H236" s="97" t="str"/>
      <x:c r="I236" s="97" t="str">
        <x:v>No occupation is inferred from name, sex, residence, spouse, or family role.</x:v>
      </x:c>
    </x:row>
    <x:row r="237">
      <x:c r="A237" s="97" t="str">
        <x:v>I242</x:v>
      </x:c>
      <x:c r="B237" s="97" t="str">
        <x:v>Lydia Cook</x:v>
      </x:c>
      <x:c r="C237" s="97" t="str"/>
      <x:c r="D237" s="97" t="str">
        <x:v>0</x:v>
      </x:c>
      <x:c r="E237" s="97" t="str">
        <x:v>unresolved—no supported occupation found</x:v>
      </x:c>
      <x:c r="F237" s="97" t="str"/>
      <x:c r="G237" s="97" t="str">
        <x:v>S26</x:v>
      </x:c>
      <x:c r="H237" s="97" t="str"/>
      <x:c r="I237" s="97" t="str">
        <x:v>No occupation is inferred from name, sex, residence, spouse, or family role.</x:v>
      </x:c>
    </x:row>
    <x:row r="238">
      <x:c r="A238" s="97" t="str">
        <x:v>I243</x:v>
      </x:c>
      <x:c r="B238" s="97" t="str">
        <x:v>Perez Brown</x:v>
      </x:c>
      <x:c r="C238" s="97" t="str"/>
      <x:c r="D238" s="97" t="str">
        <x:v>0</x:v>
      </x:c>
      <x:c r="E238" s="97" t="str">
        <x:v>unresolved—no supported occupation found</x:v>
      </x:c>
      <x:c r="F238" s="97" t="str"/>
      <x:c r="G238" s="97" t="str">
        <x:v>S26</x:v>
      </x:c>
      <x:c r="H238" s="97" t="str"/>
      <x:c r="I238" s="97" t="str">
        <x:v>No occupation is inferred from name, sex, residence, spouse, or family role.</x:v>
      </x:c>
    </x:row>
    <x:row r="239">
      <x:c r="A239" s="97" t="str">
        <x:v>I244</x:v>
      </x:c>
      <x:c r="B239" s="97" t="str">
        <x:v>Betty Brown</x:v>
      </x:c>
      <x:c r="C239" s="97" t="str"/>
      <x:c r="D239" s="97" t="str">
        <x:v>0</x:v>
      </x:c>
      <x:c r="E239" s="97" t="str">
        <x:v>unresolved—no supported occupation found</x:v>
      </x:c>
      <x:c r="F239" s="97" t="str"/>
      <x:c r="G239" s="97" t="str">
        <x:v>S26</x:v>
      </x:c>
      <x:c r="H239" s="97" t="str"/>
      <x:c r="I239" s="97" t="str">
        <x:v>No occupation is inferred from name, sex, residence, spouse, or family role.</x:v>
      </x:c>
    </x:row>
    <x:row r="240">
      <x:c r="A240" s="97" t="str">
        <x:v>I245</x:v>
      </x:c>
      <x:c r="B240" s="97" t="str">
        <x:v>Joshua Cooke</x:v>
      </x:c>
      <x:c r="C240" s="97" t="str"/>
      <x:c r="D240" s="97" t="str">
        <x:v>0</x:v>
      </x:c>
      <x:c r="E240" s="97" t="str">
        <x:v>unresolved—no supported occupation found</x:v>
      </x:c>
      <x:c r="F240" s="97" t="str"/>
      <x:c r="G240" s="97" t="str">
        <x:v>S26;S46</x:v>
      </x:c>
      <x:c r="H240" s="97" t="str"/>
      <x:c r="I240" s="97" t="str">
        <x:v>No occupation is inferred from name, sex, residence, spouse, or family role.</x:v>
      </x:c>
    </x:row>
    <x:row r="241">
      <x:c r="A241" s="97" t="str">
        <x:v>I246</x:v>
      </x:c>
      <x:c r="B241" s="97" t="str">
        <x:v>Patience Doane</x:v>
      </x:c>
      <x:c r="C241" s="97" t="str"/>
      <x:c r="D241" s="97" t="str">
        <x:v>0</x:v>
      </x:c>
      <x:c r="E241" s="97" t="str">
        <x:v>unresolved—no supported occupation found</x:v>
      </x:c>
      <x:c r="F241" s="97" t="str"/>
      <x:c r="G241" s="97" t="str">
        <x:v>S26;S46</x:v>
      </x:c>
      <x:c r="H241" s="97" t="str"/>
      <x:c r="I241" s="97" t="str">
        <x:v>No occupation is inferred from name, sex, residence, spouse, or family role.</x:v>
      </x:c>
    </x:row>
    <x:row r="242">
      <x:c r="A242" s="97" t="str">
        <x:v>I247</x:v>
      </x:c>
      <x:c r="B242" s="97" t="str">
        <x:v>Josiah Cooke</x:v>
      </x:c>
      <x:c r="C242" s="97" t="str"/>
      <x:c r="D242" s="97" t="str">
        <x:v>0</x:v>
      </x:c>
      <x:c r="E242" s="97" t="str">
        <x:v>unresolved—no supported occupation found</x:v>
      </x:c>
      <x:c r="F242" s="97" t="str"/>
      <x:c r="G242" s="97" t="str">
        <x:v>S26</x:v>
      </x:c>
      <x:c r="H242" s="97" t="str"/>
      <x:c r="I242" s="97" t="str">
        <x:v>No occupation is inferred from name, sex, residence, spouse, or family role.</x:v>
      </x:c>
    </x:row>
    <x:row r="243">
      <x:c r="A243" s="97" t="str">
        <x:v>I248</x:v>
      </x:c>
      <x:c r="B243" s="97" t="str">
        <x:v>Deborah Hopkins Cooke</x:v>
      </x:c>
      <x:c r="C243" s="97" t="str"/>
      <x:c r="D243" s="97" t="str">
        <x:v>0</x:v>
      </x:c>
      <x:c r="E243" s="97" t="str">
        <x:v>unresolved—no supported occupation found</x:v>
      </x:c>
      <x:c r="F243" s="97" t="str"/>
      <x:c r="G243" s="97" t="str">
        <x:v>S26;S46</x:v>
      </x:c>
      <x:c r="H243" s="97" t="str"/>
      <x:c r="I243" s="97" t="str">
        <x:v>No occupation is inferred from name, sex, residence, spouse, or family role.</x:v>
      </x:c>
    </x:row>
    <x:row r="244">
      <x:c r="A244" s="97" t="str">
        <x:v>I249</x:v>
      </x:c>
      <x:c r="B244" s="97" t="str">
        <x:v>Ephraim Doane</x:v>
      </x:c>
      <x:c r="C244" s="97" t="str"/>
      <x:c r="D244" s="97" t="str">
        <x:v>0</x:v>
      </x:c>
      <x:c r="E244" s="97" t="str">
        <x:v>unresolved—no supported occupation found</x:v>
      </x:c>
      <x:c r="F244" s="97" t="str"/>
      <x:c r="G244" s="97" t="str">
        <x:v>S26</x:v>
      </x:c>
      <x:c r="H244" s="97" t="str"/>
      <x:c r="I244" s="97" t="str">
        <x:v>No occupation is inferred from name, sex, residence, spouse, or family role.</x:v>
      </x:c>
    </x:row>
    <x:row r="245">
      <x:c r="A245" s="97" t="str">
        <x:v>I250</x:v>
      </x:c>
      <x:c r="B245" s="97" t="str">
        <x:v>Mary Knowles Doane</x:v>
      </x:c>
      <x:c r="C245" s="97" t="str"/>
      <x:c r="D245" s="97" t="str">
        <x:v>0</x:v>
      </x:c>
      <x:c r="E245" s="97" t="str">
        <x:v>unresolved—no supported occupation found</x:v>
      </x:c>
      <x:c r="F245" s="97" t="str"/>
      <x:c r="G245" s="97" t="str">
        <x:v>S26</x:v>
      </x:c>
      <x:c r="H245" s="97" t="str"/>
      <x:c r="I245" s="97" t="str">
        <x:v>No occupation is inferred from name, sex, residence, spouse, or family role.</x:v>
      </x:c>
    </x:row>
    <x:row r="246">
      <x:c r="A246" s="97" t="str">
        <x:v>I251</x:v>
      </x:c>
      <x:c r="B246" s="97" t="str">
        <x:v>Giles Hopkins</x:v>
      </x:c>
      <x:c r="C246" s="97" t="str"/>
      <x:c r="D246" s="97" t="str">
        <x:v>0</x:v>
      </x:c>
      <x:c r="E246" s="97" t="str">
        <x:v>unresolved—no supported occupation found</x:v>
      </x:c>
      <x:c r="F246" s="97" t="str"/>
      <x:c r="G246" s="97" t="str">
        <x:v>S26</x:v>
      </x:c>
      <x:c r="H246" s="97" t="str"/>
      <x:c r="I246" s="97" t="str">
        <x:v>No occupation is inferred from name, sex, residence, spouse, or family role.</x:v>
      </x:c>
    </x:row>
    <x:row r="247">
      <x:c r="A247" s="97" t="str">
        <x:v>I252</x:v>
      </x:c>
      <x:c r="B247" s="97" t="str">
        <x:v>Josiah Cooke Sr.</x:v>
      </x:c>
      <x:c r="C247" s="97" t="str"/>
      <x:c r="D247" s="97" t="str">
        <x:v>0</x:v>
      </x:c>
      <x:c r="E247" s="97" t="str">
        <x:v>unresolved—no supported occupation found</x:v>
      </x:c>
      <x:c r="F247" s="97" t="str"/>
      <x:c r="G247" s="97" t="str">
        <x:v>S26</x:v>
      </x:c>
      <x:c r="H247" s="97" t="str"/>
      <x:c r="I247" s="97" t="str">
        <x:v>No occupation is inferred from name, sex, residence, spouse, or family role.</x:v>
      </x:c>
    </x:row>
    <x:row r="248">
      <x:c r="A248" s="97" t="str">
        <x:v>I253</x:v>
      </x:c>
      <x:c r="B248" s="97" t="str">
        <x:v>Elizabeth Ring Cooke</x:v>
      </x:c>
      <x:c r="C248" s="97" t="str"/>
      <x:c r="D248" s="97" t="str">
        <x:v>0</x:v>
      </x:c>
      <x:c r="E248" s="97" t="str">
        <x:v>unresolved—no supported occupation found</x:v>
      </x:c>
      <x:c r="F248" s="97" t="str"/>
      <x:c r="G248" s="97" t="str">
        <x:v>S26</x:v>
      </x:c>
      <x:c r="H248" s="97" t="str"/>
      <x:c r="I248" s="97" t="str">
        <x:v>No occupation is inferred from name, sex, residence, spouse, or family role.</x:v>
      </x:c>
    </x:row>
    <x:row r="249">
      <x:c r="A249" s="97" t="str">
        <x:v>I254</x:v>
      </x:c>
      <x:c r="B249" s="97" t="str">
        <x:v>Catherine Whelden Hopkins</x:v>
      </x:c>
      <x:c r="C249" s="97" t="str"/>
      <x:c r="D249" s="97" t="str">
        <x:v>0</x:v>
      </x:c>
      <x:c r="E249" s="97" t="str">
        <x:v>unresolved—no supported occupation found</x:v>
      </x:c>
      <x:c r="F249" s="97" t="str"/>
      <x:c r="G249" s="97" t="str">
        <x:v>S26</x:v>
      </x:c>
      <x:c r="H249" s="97" t="str"/>
      <x:c r="I249" s="97" t="str">
        <x:v>No occupation is inferred from name, sex, residence, spouse, or family role.</x:v>
      </x:c>
    </x:row>
    <x:row r="250">
      <x:c r="A250" s="97" t="str">
        <x:v>I255</x:v>
      </x:c>
      <x:c r="B250" s="97" t="str">
        <x:v>Stephen Hopkins</x:v>
      </x:c>
      <x:c r="C250" s="97" t="str"/>
      <x:c r="D250" s="97" t="str">
        <x:v>0</x:v>
      </x:c>
      <x:c r="E250" s="97" t="str">
        <x:v>unresolved—no supported occupation found</x:v>
      </x:c>
      <x:c r="F250" s="97" t="str"/>
      <x:c r="G250" s="97" t="str">
        <x:v>S26</x:v>
      </x:c>
      <x:c r="H250" s="97" t="str"/>
      <x:c r="I250" s="97" t="str">
        <x:v>No occupation is inferred from name, sex, residence, spouse, or family role.</x:v>
      </x:c>
    </x:row>
    <x:row r="251">
      <x:c r="A251" s="97" t="str">
        <x:v>I256</x:v>
      </x:c>
      <x:c r="B251" s="97" t="str">
        <x:v>Mary Hopkins</x:v>
      </x:c>
      <x:c r="C251" s="97" t="str"/>
      <x:c r="D251" s="97" t="str">
        <x:v>0</x:v>
      </x:c>
      <x:c r="E251" s="97" t="str">
        <x:v>unresolved—no supported occupation found</x:v>
      </x:c>
      <x:c r="F251" s="97" t="str"/>
      <x:c r="G251" s="97" t="str">
        <x:v>S26;S46</x:v>
      </x:c>
      <x:c r="H251" s="97" t="str"/>
      <x:c r="I251" s="97" t="str">
        <x:v>No occupation is inferred from name, sex, residence, spouse, or family role.</x:v>
      </x:c>
    </x:row>
    <x:row r="252">
      <x:c r="A252" s="97" t="str">
        <x:v>I257</x:v>
      </x:c>
      <x:c r="B252" s="97" t="str">
        <x:v>Gabriel Whelden</x:v>
      </x:c>
      <x:c r="C252" s="97" t="str"/>
      <x:c r="D252" s="97" t="str">
        <x:v>0</x:v>
      </x:c>
      <x:c r="E252" s="97" t="str">
        <x:v>unresolved—no supported occupation found</x:v>
      </x:c>
      <x:c r="F252" s="97" t="str"/>
      <x:c r="G252" s="97" t="str">
        <x:v>S26;S46</x:v>
      </x:c>
      <x:c r="H252" s="97" t="str"/>
      <x:c r="I252" s="97" t="str">
        <x:v>No occupation is inferred from name, sex, residence, spouse, or family role.</x:v>
      </x:c>
    </x:row>
    <x:row r="253">
      <x:c r="A253" s="97" t="str">
        <x:v>I258</x:v>
      </x:c>
      <x:c r="B253" s="97" t="str">
        <x:v>John Doane</x:v>
      </x:c>
      <x:c r="C253" s="97" t="str"/>
      <x:c r="D253" s="97" t="str">
        <x:v>0</x:v>
      </x:c>
      <x:c r="E253" s="97" t="str">
        <x:v>unresolved—no supported occupation found</x:v>
      </x:c>
      <x:c r="F253" s="97" t="str"/>
      <x:c r="G253" s="97" t="str">
        <x:v>S26</x:v>
      </x:c>
      <x:c r="H253" s="97" t="str"/>
      <x:c r="I253" s="97" t="str">
        <x:v>No occupation is inferred from name, sex, residence, spouse, or family role.</x:v>
      </x:c>
    </x:row>
    <x:row r="254">
      <x:c r="A254" s="97" t="str">
        <x:v>I259</x:v>
      </x:c>
      <x:c r="B254" s="97" t="str">
        <x:v>Ann Doane</x:v>
      </x:c>
      <x:c r="C254" s="97" t="str"/>
      <x:c r="D254" s="97" t="str">
        <x:v>0</x:v>
      </x:c>
      <x:c r="E254" s="97" t="str">
        <x:v>unresolved—no supported occupation found</x:v>
      </x:c>
      <x:c r="F254" s="97" t="str"/>
      <x:c r="G254" s="97" t="str">
        <x:v>S26</x:v>
      </x:c>
      <x:c r="H254" s="97" t="str"/>
      <x:c r="I254" s="97" t="str">
        <x:v>No occupation is inferred from name, sex, residence, spouse, or family role.</x:v>
      </x:c>
    </x:row>
    <x:row r="255">
      <x:c r="A255" s="97" t="str">
        <x:v>I260</x:v>
      </x:c>
      <x:c r="B255" s="97" t="str">
        <x:v>Richard Knowles</x:v>
      </x:c>
      <x:c r="C255" s="97" t="str"/>
      <x:c r="D255" s="97" t="str">
        <x:v>0</x:v>
      </x:c>
      <x:c r="E255" s="97" t="str">
        <x:v>unresolved—no supported occupation found</x:v>
      </x:c>
      <x:c r="F255" s="97" t="str"/>
      <x:c r="G255" s="97" t="str">
        <x:v>S26</x:v>
      </x:c>
      <x:c r="H255" s="97" t="str"/>
      <x:c r="I255" s="97" t="str">
        <x:v>No occupation is inferred from name, sex, residence, spouse, or family role.</x:v>
      </x:c>
    </x:row>
    <x:row r="256">
      <x:c r="A256" s="97" t="str">
        <x:v>I261</x:v>
      </x:c>
      <x:c r="B256" s="97" t="str">
        <x:v>Ruth Bower Knowles</x:v>
      </x:c>
      <x:c r="C256" s="97" t="str"/>
      <x:c r="D256" s="97" t="str">
        <x:v>0</x:v>
      </x:c>
      <x:c r="E256" s="97" t="str">
        <x:v>unresolved—no supported occupation found</x:v>
      </x:c>
      <x:c r="F256" s="97" t="str"/>
      <x:c r="G256" s="97" t="str">
        <x:v>S26</x:v>
      </x:c>
      <x:c r="H256" s="97" t="str"/>
      <x:c r="I256" s="97" t="str">
        <x:v>No occupation is inferred from name, sex, residence, spouse, or family role.</x:v>
      </x:c>
    </x:row>
    <x:row r="257">
      <x:c r="A257" s="97" t="str">
        <x:v>I262</x:v>
      </x:c>
      <x:c r="B257" s="97" t="str">
        <x:v>George Bower</x:v>
      </x:c>
      <x:c r="C257" s="97" t="str"/>
      <x:c r="D257" s="97" t="str">
        <x:v>0</x:v>
      </x:c>
      <x:c r="E257" s="97" t="str">
        <x:v>unresolved—no supported occupation found</x:v>
      </x:c>
      <x:c r="F257" s="97" t="str"/>
      <x:c r="G257" s="97" t="str">
        <x:v>S26</x:v>
      </x:c>
      <x:c r="H257" s="97" t="str"/>
      <x:c r="I257" s="97" t="str">
        <x:v>No occupation is inferred from name, sex, residence, spouse, or family role.</x:v>
      </x:c>
    </x:row>
    <x:row r="258">
      <x:c r="A258" s="97" t="str">
        <x:v>I263</x:v>
      </x:c>
      <x:c r="B258" s="97" t="str">
        <x:v>Barbara Bower</x:v>
      </x:c>
      <x:c r="C258" s="97" t="str"/>
      <x:c r="D258" s="97" t="str">
        <x:v>0</x:v>
      </x:c>
      <x:c r="E258" s="97" t="str">
        <x:v>unresolved—no supported occupation found</x:v>
      </x:c>
      <x:c r="F258" s="97" t="str"/>
      <x:c r="G258" s="97" t="str">
        <x:v>S26</x:v>
      </x:c>
      <x:c r="H258" s="97" t="str"/>
      <x:c r="I258" s="97" t="str">
        <x:v>No occupation is inferred from name, sex, residence, spouse, or family role.</x:v>
      </x:c>
    </x:row>
    <x:row r="259">
      <x:c r="A259" s="97" t="str">
        <x:v>I264</x:v>
      </x:c>
      <x:c r="B259" s="97" t="str">
        <x:v>Carrie E McNaughton Marsh</x:v>
      </x:c>
      <x:c r="C259" s="97" t="str"/>
      <x:c r="D259" s="97" t="str">
        <x:v>0</x:v>
      </x:c>
      <x:c r="E259" s="97" t="str">
        <x:v>unresolved—no supported occupation found</x:v>
      </x:c>
      <x:c r="F259" s="97" t="str"/>
      <x:c r="G259" s="97" t="str">
        <x:v>S26</x:v>
      </x:c>
      <x:c r="H259" s="97" t="str"/>
      <x:c r="I259" s="97" t="str">
        <x:v>No occupation is inferred from name, sex, residence, spouse, or family role.</x:v>
      </x:c>
    </x:row>
    <x:row r="260">
      <x:c r="A260" s="97" t="str">
        <x:v>I265</x:v>
      </x:c>
      <x:c r="B260" s="97" t="str">
        <x:v>Peter William McNaughton</x:v>
      </x:c>
      <x:c r="C260" s="97" t="str">
        <x:v>Laborer (1850; Caledonia, Livingston, New York) | Corporal (1862; 6th Independent Company, New York State Sharpshooters) | Carpenter (1870; Caledonia, Livingston, New York)</x:v>
      </x:c>
      <x:c r="D260" s="97" t="str">
        <x:v>3</x:v>
      </x:c>
      <x:c r="E260" s="97" t="str">
        <x:v>recorded</x:v>
      </x:c>
      <x:c r="F260" s="97" t="str">
        <x:v>civilian occupation;military role</x:v>
      </x:c>
      <x:c r="G260" s="97" t="str">
        <x:v>S26;S48</x:v>
      </x:c>
      <x:c r="H260" s="97" t="str">
        <x:v>OCC-020;OCC-021;OCC-022</x:v>
      </x:c>
      <x:c r="I260" s="97" t="str">
        <x:v>One or more cited occupations or roles are present in the GEDCOM.</x:v>
      </x:c>
    </x:row>
    <x:row r="261">
      <x:c r="A261" s="97" t="str">
        <x:v>I266</x:v>
      </x:c>
      <x:c r="B261" s="97" t="str">
        <x:v>William McNaughton</x:v>
      </x:c>
      <x:c r="C261" s="97" t="str">
        <x:v>Wagon maker (1850; Caledonia, Livingston, New York; transportation equipment)</x:v>
      </x:c>
      <x:c r="D261" s="97" t="str">
        <x:v>1</x:v>
      </x:c>
      <x:c r="E261" s="97" t="str">
        <x:v>recorded</x:v>
      </x:c>
      <x:c r="F261" s="97" t="str">
        <x:v>civilian occupation</x:v>
      </x:c>
      <x:c r="G261" s="97" t="str">
        <x:v>S26;S48</x:v>
      </x:c>
      <x:c r="H261" s="97" t="str">
        <x:v>OCC-023</x:v>
      </x:c>
      <x:c r="I261" s="97" t="str">
        <x:v>One or more cited occupations or roles are present in the GEDCOM.</x:v>
      </x:c>
    </x:row>
    <x:row r="262">
      <x:c r="A262" s="97" t="str">
        <x:v>I267</x:v>
      </x:c>
      <x:c r="B262" s="97" t="str">
        <x:v>Relief Gibbs McNaughton</x:v>
      </x:c>
      <x:c r="C262" s="97" t="str"/>
      <x:c r="D262" s="97" t="str">
        <x:v>0</x:v>
      </x:c>
      <x:c r="E262" s="97" t="str">
        <x:v>unresolved—no supported occupation found</x:v>
      </x:c>
      <x:c r="F262" s="97" t="str"/>
      <x:c r="G262" s="97" t="str">
        <x:v>S26</x:v>
      </x:c>
      <x:c r="H262" s="97" t="str"/>
      <x:c r="I262" s="97" t="str">
        <x:v>No occupation is inferred from name, sex, residence, spouse, or family role.</x:v>
      </x:c>
    </x:row>
    <x:row r="263">
      <x:c r="A263" s="97" t="str">
        <x:v>I268</x:v>
      </x:c>
      <x:c r="B263" s="97" t="str">
        <x:v>Mary A McNaughton</x:v>
      </x:c>
      <x:c r="C263" s="97" t="str"/>
      <x:c r="D263" s="97" t="str">
        <x:v>0</x:v>
      </x:c>
      <x:c r="E263" s="97" t="str">
        <x:v>unresolved—no supported occupation found</x:v>
      </x:c>
      <x:c r="F263" s="97" t="str"/>
      <x:c r="G263" s="97" t="str">
        <x:v>S26</x:v>
      </x:c>
      <x:c r="H263" s="97" t="str"/>
      <x:c r="I263" s="97" t="str">
        <x:v>No occupation is inferred from name, sex, residence, spouse, or family role.</x:v>
      </x:c>
    </x:row>
    <x:row r="264">
      <x:c r="A264" s="97" t="str">
        <x:v>I269</x:v>
      </x:c>
      <x:c r="B264" s="97" t="str">
        <x:v>Doris Ann Vollmer</x:v>
      </x:c>
      <x:c r="C264" s="97" t="str"/>
      <x:c r="D264" s="97" t="str">
        <x:v>0</x:v>
      </x:c>
      <x:c r="E264" s="97" t="str">
        <x:v>not researched—privacy limited</x:v>
      </x:c>
      <x:c r="F264" s="97" t="str"/>
      <x:c r="G264" s="97" t="str">
        <x:v>S27</x:v>
      </x:c>
      <x:c r="H264" s="97" t="str"/>
      <x:c r="I264" s="97" t="str">
        <x:v>Modern collateral occupation research was intentionally limited for privacy.</x:v>
      </x:c>
    </x:row>
    <x:row r="265">
      <x:c r="A265" s="97" t="str">
        <x:v>I270</x:v>
      </x:c>
      <x:c r="B265" s="97" t="str">
        <x:v>Marie Anna Vollmer Seeley</x:v>
      </x:c>
      <x:c r="C265" s="97" t="str">
        <x:v>Keeping house (1950; Freeport, Nassau, New York)</x:v>
      </x:c>
      <x:c r="D265" s="97" t="str">
        <x:v>1</x:v>
      </x:c>
      <x:c r="E265" s="97" t="str">
        <x:v>recorded</x:v>
      </x:c>
      <x:c r="F265" s="97" t="str">
        <x:v>household role</x:v>
      </x:c>
      <x:c r="G265" s="97" t="str">
        <x:v>S27;S48</x:v>
      </x:c>
      <x:c r="H265" s="97" t="str">
        <x:v>OCC-009</x:v>
      </x:c>
      <x:c r="I265" s="97" t="str">
        <x:v>One or more cited occupations or roles are present in the GEDCOM.</x:v>
      </x:c>
    </x:row>
    <x:row r="266">
      <x:c r="A266" s="97" t="str">
        <x:v>I271</x:v>
      </x:c>
      <x:c r="B266" s="97" t="str">
        <x:v>Lester Allan Seeley</x:v>
      </x:c>
      <x:c r="C266" s="97" t="str">
        <x:v>Punch press operator (1950; Freeport, Nassau, New York; airplane plant)</x:v>
      </x:c>
      <x:c r="D266" s="97" t="str">
        <x:v>1</x:v>
      </x:c>
      <x:c r="E266" s="97" t="str">
        <x:v>recorded</x:v>
      </x:c>
      <x:c r="F266" s="97" t="str">
        <x:v>civilian occupation</x:v>
      </x:c>
      <x:c r="G266" s="97" t="str">
        <x:v>S27;S48</x:v>
      </x:c>
      <x:c r="H266" s="97" t="str">
        <x:v>OCC-010</x:v>
      </x:c>
      <x:c r="I266" s="97" t="str">
        <x:v>One or more cited occupations or roles are present in the GEDCOM.</x:v>
      </x:c>
    </x:row>
    <x:row r="267">
      <x:c r="A267" s="97" t="str">
        <x:v>I272</x:v>
      </x:c>
      <x:c r="B267" s="97" t="str">
        <x:v>James Seeley</x:v>
      </x:c>
      <x:c r="C267" s="97" t="str"/>
      <x:c r="D267" s="97" t="str">
        <x:v>0</x:v>
      </x:c>
      <x:c r="E267" s="97" t="str">
        <x:v>not researched—privacy limited</x:v>
      </x:c>
      <x:c r="F267" s="97" t="str"/>
      <x:c r="G267" s="97" t="str">
        <x:v>S27</x:v>
      </x:c>
      <x:c r="H267" s="97" t="str"/>
      <x:c r="I267" s="97" t="str">
        <x:v>Modern collateral occupation research was intentionally limited for privacy.</x:v>
      </x:c>
    </x:row>
    <x:row r="268">
      <x:c r="A268" s="97" t="str">
        <x:v>I273</x:v>
      </x:c>
      <x:c r="B268" s="97" t="str">
        <x:v>John Seeley</x:v>
      </x:c>
      <x:c r="C268" s="97" t="str"/>
      <x:c r="D268" s="97" t="str">
        <x:v>0</x:v>
      </x:c>
      <x:c r="E268" s="97" t="str">
        <x:v>not researched—privacy limited</x:v>
      </x:c>
      <x:c r="F268" s="97" t="str"/>
      <x:c r="G268" s="97" t="str">
        <x:v>S27</x:v>
      </x:c>
      <x:c r="H268" s="97" t="str"/>
      <x:c r="I268" s="97" t="str">
        <x:v>Modern collateral occupation research was intentionally limited for privacy.</x:v>
      </x:c>
    </x:row>
    <x:row r="269">
      <x:c r="A269" s="97" t="str">
        <x:v>I274</x:v>
      </x:c>
      <x:c r="B269" s="97" t="str">
        <x:v>Mildred E Marsh Gutelius</x:v>
      </x:c>
      <x:c r="C269" s="97" t="str"/>
      <x:c r="D269" s="97" t="str">
        <x:v>0</x:v>
      </x:c>
      <x:c r="E269" s="97" t="str">
        <x:v>unresolved—no supported occupation found</x:v>
      </x:c>
      <x:c r="F269" s="97" t="str"/>
      <x:c r="G269" s="97" t="str">
        <x:v>S27</x:v>
      </x:c>
      <x:c r="H269" s="97" t="str"/>
      <x:c r="I269" s="97" t="str">
        <x:v>No occupation is inferred from name, sex, residence, spouse, or family role.</x:v>
      </x:c>
    </x:row>
    <x:row r="270">
      <x:c r="A270" s="97" t="str">
        <x:v>I275</x:v>
      </x:c>
      <x:c r="B270" s="97" t="str">
        <x:v>Harry K Gutelius</x:v>
      </x:c>
      <x:c r="C270" s="97" t="str"/>
      <x:c r="D270" s="97" t="str">
        <x:v>0</x:v>
      </x:c>
      <x:c r="E270" s="97" t="str">
        <x:v>unresolved—no supported occupation found</x:v>
      </x:c>
      <x:c r="F270" s="97" t="str"/>
      <x:c r="G270" s="97" t="str">
        <x:v>S27;S46</x:v>
      </x:c>
      <x:c r="H270" s="97" t="str"/>
      <x:c r="I270" s="97" t="str">
        <x:v>No occupation is inferred from name, sex, residence, spouse, or family role.</x:v>
      </x:c>
    </x:row>
    <x:row r="271">
      <x:c r="A271" s="97" t="str">
        <x:v>I276</x:v>
      </x:c>
      <x:c r="B271" s="97" t="str">
        <x:v>Eileen Gutelius Eaton</x:v>
      </x:c>
      <x:c r="C271" s="97" t="str"/>
      <x:c r="D271" s="97" t="str">
        <x:v>0</x:v>
      </x:c>
      <x:c r="E271" s="97" t="str">
        <x:v>unresolved—no supported occupation found</x:v>
      </x:c>
      <x:c r="F271" s="97" t="str"/>
      <x:c r="G271" s="97" t="str">
        <x:v>S27</x:v>
      </x:c>
      <x:c r="H271" s="97" t="str"/>
      <x:c r="I271" s="97" t="str">
        <x:v>No occupation is inferred from name, sex, residence, spouse, or family role.</x:v>
      </x:c>
    </x:row>
    <x:row r="272">
      <x:c r="A272" s="97" t="str">
        <x:v>I277</x:v>
      </x:c>
      <x:c r="B272" s="97" t="str">
        <x:v>Ronald McNaughton Marsh</x:v>
      </x:c>
      <x:c r="C272" s="97" t="str"/>
      <x:c r="D272" s="97" t="str">
        <x:v>0</x:v>
      </x:c>
      <x:c r="E272" s="97" t="str">
        <x:v>unresolved—no supported occupation found</x:v>
      </x:c>
      <x:c r="F272" s="97" t="str"/>
      <x:c r="G272" s="97" t="str">
        <x:v>S27</x:v>
      </x:c>
      <x:c r="H272" s="97" t="str"/>
      <x:c r="I272" s="97" t="str">
        <x:v>No occupation is inferred from name, sex, residence, spouse, or family role.</x:v>
      </x:c>
    </x:row>
    <x:row r="273">
      <x:c r="A273" s="97" t="str">
        <x:v>I278</x:v>
      </x:c>
      <x:c r="B273" s="97" t="str">
        <x:v>Eva C St Martin Marsh</x:v>
      </x:c>
      <x:c r="C273" s="97" t="str"/>
      <x:c r="D273" s="97" t="str">
        <x:v>0</x:v>
      </x:c>
      <x:c r="E273" s="97" t="str">
        <x:v>unresolved—no supported occupation found</x:v>
      </x:c>
      <x:c r="F273" s="97" t="str"/>
      <x:c r="G273" s="97" t="str">
        <x:v>S27</x:v>
      </x:c>
      <x:c r="H273" s="97" t="str"/>
      <x:c r="I273" s="97" t="str">
        <x:v>No occupation is inferred from name, sex, residence, spouse, or family role.</x:v>
      </x:c>
    </x:row>
    <x:row r="274">
      <x:c r="A274" s="97" t="str">
        <x:v>I279</x:v>
      </x:c>
      <x:c r="B274" s="97" t="str">
        <x:v>Dorothy Jane Marsh Kidwell</x:v>
      </x:c>
      <x:c r="C274" s="97" t="str"/>
      <x:c r="D274" s="97" t="str">
        <x:v>0</x:v>
      </x:c>
      <x:c r="E274" s="97" t="str">
        <x:v>unresolved—no supported occupation found</x:v>
      </x:c>
      <x:c r="F274" s="97" t="str"/>
      <x:c r="G274" s="97" t="str">
        <x:v>S27</x:v>
      </x:c>
      <x:c r="H274" s="97" t="str"/>
      <x:c r="I274" s="97" t="str">
        <x:v>No occupation is inferred from name, sex, residence, spouse, or family role.</x:v>
      </x:c>
    </x:row>
    <x:row r="275">
      <x:c r="A275" s="97" t="str">
        <x:v>I280</x:v>
      </x:c>
      <x:c r="B275" s="97" t="str">
        <x:v>Robert James Marsh</x:v>
      </x:c>
      <x:c r="C275" s="97" t="str"/>
      <x:c r="D275" s="97" t="str">
        <x:v>0</x:v>
      </x:c>
      <x:c r="E275" s="97" t="str">
        <x:v>unresolved—no supported occupation found</x:v>
      </x:c>
      <x:c r="F275" s="97" t="str"/>
      <x:c r="G275" s="97" t="str">
        <x:v>S27</x:v>
      </x:c>
      <x:c r="H275" s="97" t="str"/>
      <x:c r="I275" s="97" t="str">
        <x:v>No occupation is inferred from name, sex, residence, spouse, or family role.</x:v>
      </x:c>
    </x:row>
    <x:row r="276">
      <x:c r="A276" s="97" t="str">
        <x:v>I281</x:v>
      </x:c>
      <x:c r="B276" s="97" t="str">
        <x:v>Ronald Louis Marsh</x:v>
      </x:c>
      <x:c r="C276" s="97" t="str"/>
      <x:c r="D276" s="97" t="str">
        <x:v>0</x:v>
      </x:c>
      <x:c r="E276" s="97" t="str">
        <x:v>unresolved—no supported occupation found</x:v>
      </x:c>
      <x:c r="F276" s="97" t="str"/>
      <x:c r="G276" s="97" t="str">
        <x:v>S27</x:v>
      </x:c>
      <x:c r="H276" s="97" t="str"/>
      <x:c r="I276" s="97" t="str">
        <x:v>No occupation is inferred from name, sex, residence, spouse, or family role.</x:v>
      </x:c>
    </x:row>
    <x:row r="277">
      <x:c r="A277" s="97" t="str">
        <x:v>I282</x:v>
      </x:c>
      <x:c r="B277" s="97" t="str">
        <x:v>Frederick Gottlieb Heinrich Vollmer</x:v>
      </x:c>
      <x:c r="C277" s="97" t="str">
        <x:v>Painter (10 MAR 1917; Queens, New York)</x:v>
      </x:c>
      <x:c r="D277" s="97" t="str">
        <x:v>1</x:v>
      </x:c>
      <x:c r="E277" s="97" t="str">
        <x:v>recorded</x:v>
      </x:c>
      <x:c r="F277" s="97" t="str">
        <x:v>civilian occupation</x:v>
      </x:c>
      <x:c r="G277" s="97" t="str">
        <x:v>S27;S48</x:v>
      </x:c>
      <x:c r="H277" s="97" t="str">
        <x:v>OCC-014</x:v>
      </x:c>
      <x:c r="I277" s="97" t="str">
        <x:v>One or more cited occupations or roles are present in the GEDCOM.</x:v>
      </x:c>
    </x:row>
    <x:row r="278">
      <x:c r="A278" s="97" t="str">
        <x:v>I283</x:v>
      </x:c>
      <x:c r="B278" s="97" t="str">
        <x:v>Charles Marsh</x:v>
      </x:c>
      <x:c r="C278" s="97" t="str"/>
      <x:c r="D278" s="97" t="str">
        <x:v>0</x:v>
      </x:c>
      <x:c r="E278" s="97" t="str">
        <x:v>unresolved—no supported occupation found</x:v>
      </x:c>
      <x:c r="F278" s="97" t="str"/>
      <x:c r="G278" s="97" t="str">
        <x:v>S27</x:v>
      </x:c>
      <x:c r="H278" s="97" t="str"/>
      <x:c r="I278" s="97" t="str">
        <x:v>No occupation is inferred from name, sex, residence, spouse, or family role.</x:v>
      </x:c>
    </x:row>
    <x:row r="279">
      <x:c r="A279" s="97" t="str">
        <x:v>I284</x:v>
      </x:c>
      <x:c r="B279" s="97" t="str">
        <x:v>Marion McNaughton</x:v>
      </x:c>
      <x:c r="C279" s="97" t="str"/>
      <x:c r="D279" s="97" t="str">
        <x:v>0</x:v>
      </x:c>
      <x:c r="E279" s="97" t="str">
        <x:v>unresolved—no supported occupation found</x:v>
      </x:c>
      <x:c r="F279" s="97" t="str"/>
      <x:c r="G279" s="97" t="str">
        <x:v>S27</x:v>
      </x:c>
      <x:c r="H279" s="97" t="str"/>
      <x:c r="I279" s="97" t="str">
        <x:v>No occupation is inferred from name, sex, residence, spouse, or family role.</x:v>
      </x:c>
    </x:row>
    <x:row r="280">
      <x:c r="A280" s="97" t="str">
        <x:v>I285</x:v>
      </x:c>
      <x:c r="B280" s="97" t="str">
        <x:v>Elizabeth McNaughton Pullyblank</x:v>
      </x:c>
      <x:c r="C280" s="97" t="str"/>
      <x:c r="D280" s="97" t="str">
        <x:v>0</x:v>
      </x:c>
      <x:c r="E280" s="97" t="str">
        <x:v>unresolved—no supported occupation found</x:v>
      </x:c>
      <x:c r="F280" s="97" t="str"/>
      <x:c r="G280" s="97" t="str">
        <x:v>S27</x:v>
      </x:c>
      <x:c r="H280" s="97" t="str"/>
      <x:c r="I280" s="97" t="str">
        <x:v>No occupation is inferred from name, sex, residence, spouse, or family role.</x:v>
      </x:c>
    </x:row>
    <x:row r="281">
      <x:c r="A281" s="97" t="str">
        <x:v>I286</x:v>
      </x:c>
      <x:c r="B281" s="97" t="str">
        <x:v>John C Pullyblank</x:v>
      </x:c>
      <x:c r="C281" s="97" t="str"/>
      <x:c r="D281" s="97" t="str">
        <x:v>0</x:v>
      </x:c>
      <x:c r="E281" s="97" t="str">
        <x:v>unresolved—no supported occupation found</x:v>
      </x:c>
      <x:c r="F281" s="97" t="str"/>
      <x:c r="G281" s="97" t="str">
        <x:v>S27;S46</x:v>
      </x:c>
      <x:c r="H281" s="97" t="str"/>
      <x:c r="I281" s="97" t="str">
        <x:v>No occupation is inferred from name, sex, residence, spouse, or family role.</x:v>
      </x:c>
    </x:row>
    <x:row r="282">
      <x:c r="A282" s="97" t="str">
        <x:v>I287</x:v>
      </x:c>
      <x:c r="B282" s="97" t="str">
        <x:v>MacNaughton Pullyblank</x:v>
      </x:c>
      <x:c r="C282" s="97" t="str"/>
      <x:c r="D282" s="97" t="str">
        <x:v>0</x:v>
      </x:c>
      <x:c r="E282" s="97" t="str">
        <x:v>unresolved—no supported occupation found</x:v>
      </x:c>
      <x:c r="F282" s="97" t="str"/>
      <x:c r="G282" s="97" t="str">
        <x:v>S27</x:v>
      </x:c>
      <x:c r="H282" s="97" t="str"/>
      <x:c r="I282" s="97" t="str">
        <x:v>No occupation is inferred from name, sex, residence, spouse, or family role.</x:v>
      </x:c>
    </x:row>
    <x:row r="283">
      <x:c r="A283" s="97" t="str">
        <x:v>I288</x:v>
      </x:c>
      <x:c r="B283" s="97" t="str">
        <x:v>Floyd W Pullyblank</x:v>
      </x:c>
      <x:c r="C283" s="97" t="str"/>
      <x:c r="D283" s="97" t="str">
        <x:v>0</x:v>
      </x:c>
      <x:c r="E283" s="97" t="str">
        <x:v>unresolved—no supported occupation found</x:v>
      </x:c>
      <x:c r="F283" s="97" t="str"/>
      <x:c r="G283" s="97" t="str">
        <x:v>S27</x:v>
      </x:c>
      <x:c r="H283" s="97" t="str"/>
      <x:c r="I283" s="97" t="str">
        <x:v>No occupation is inferred from name, sex, residence, spouse, or family role.</x:v>
      </x:c>
    </x:row>
    <x:row r="284">
      <x:c r="A284" s="97" t="str">
        <x:v>I289</x:v>
      </x:c>
      <x:c r="B284" s="97" t="str">
        <x:v>Ola L Pullyblank</x:v>
      </x:c>
      <x:c r="C284" s="97" t="str"/>
      <x:c r="D284" s="97" t="str">
        <x:v>0</x:v>
      </x:c>
      <x:c r="E284" s="97" t="str">
        <x:v>unresolved—no supported occupation found</x:v>
      </x:c>
      <x:c r="F284" s="97" t="str"/>
      <x:c r="G284" s="97" t="str">
        <x:v>S27</x:v>
      </x:c>
      <x:c r="H284" s="97" t="str"/>
      <x:c r="I284" s="97" t="str">
        <x:v>No occupation is inferred from name, sex, residence, spouse, or family role.</x:v>
      </x:c>
    </x:row>
    <x:row r="285">
      <x:c r="A285" s="97" t="str">
        <x:v>I290</x:v>
      </x:c>
      <x:c r="B285" s="97" t="str">
        <x:v>Willard R Pullyblank</x:v>
      </x:c>
      <x:c r="C285" s="97" t="str"/>
      <x:c r="D285" s="97" t="str">
        <x:v>0</x:v>
      </x:c>
      <x:c r="E285" s="97" t="str">
        <x:v>unresolved—no supported occupation found</x:v>
      </x:c>
      <x:c r="F285" s="97" t="str"/>
      <x:c r="G285" s="97" t="str">
        <x:v>S27;S46</x:v>
      </x:c>
      <x:c r="H285" s="97" t="str"/>
      <x:c r="I285" s="97" t="str">
        <x:v>No occupation is inferred from name, sex, residence, spouse, or family role.</x:v>
      </x:c>
    </x:row>
    <x:row r="286">
      <x:c r="A286" s="97" t="str">
        <x:v>I291</x:v>
      </x:c>
      <x:c r="B286" s="97" t="str">
        <x:v>John W Pullyblank</x:v>
      </x:c>
      <x:c r="C286" s="97" t="str"/>
      <x:c r="D286" s="97" t="str">
        <x:v>0</x:v>
      </x:c>
      <x:c r="E286" s="97" t="str">
        <x:v>unresolved—no supported occupation found</x:v>
      </x:c>
      <x:c r="F286" s="97" t="str"/>
      <x:c r="G286" s="97" t="str">
        <x:v>S27</x:v>
      </x:c>
      <x:c r="H286" s="97" t="str"/>
      <x:c r="I286" s="97" t="str">
        <x:v>No occupation is inferred from name, sex, residence, spouse, or family role.</x:v>
      </x:c>
    </x:row>
    <x:row r="287">
      <x:c r="A287" s="97" t="str">
        <x:v>I292</x:v>
      </x:c>
      <x:c r="B287" s="97" t="str">
        <x:v>Ruby J Pullyblank</x:v>
      </x:c>
      <x:c r="C287" s="97" t="str"/>
      <x:c r="D287" s="97" t="str">
        <x:v>0</x:v>
      </x:c>
      <x:c r="E287" s="97" t="str">
        <x:v>unresolved—no supported occupation found</x:v>
      </x:c>
      <x:c r="F287" s="97" t="str"/>
      <x:c r="G287" s="97" t="str">
        <x:v>S27</x:v>
      </x:c>
      <x:c r="H287" s="97" t="str"/>
      <x:c r="I287" s="97" t="str">
        <x:v>No occupation is inferred from name, sex, residence, spouse, or family role.</x:v>
      </x:c>
    </x:row>
    <x:row r="288">
      <x:c r="A288" s="97" t="str">
        <x:v>I293</x:v>
      </x:c>
      <x:c r="B288" s="97" t="str">
        <x:v>Helen E Pullyblank</x:v>
      </x:c>
      <x:c r="C288" s="97" t="str"/>
      <x:c r="D288" s="97" t="str">
        <x:v>0</x:v>
      </x:c>
      <x:c r="E288" s="97" t="str">
        <x:v>unresolved—no supported occupation found</x:v>
      </x:c>
      <x:c r="F288" s="97" t="str"/>
      <x:c r="G288" s="97" t="str">
        <x:v>S27</x:v>
      </x:c>
      <x:c r="H288" s="97" t="str"/>
      <x:c r="I288" s="97" t="str">
        <x:v>No occupation is inferred from name, sex, residence, spouse, or family role.</x:v>
      </x:c>
    </x:row>
    <x:row r="289">
      <x:c r="A289" s="97" t="str">
        <x:v>I294</x:v>
      </x:c>
      <x:c r="B289" s="97" t="str">
        <x:v>Lulu McNaughton</x:v>
      </x:c>
      <x:c r="C289" s="97" t="str"/>
      <x:c r="D289" s="97" t="str">
        <x:v>0</x:v>
      </x:c>
      <x:c r="E289" s="97" t="str">
        <x:v>unresolved—no supported occupation found</x:v>
      </x:c>
      <x:c r="F289" s="97" t="str"/>
      <x:c r="G289" s="97" t="str">
        <x:v>S27</x:v>
      </x:c>
      <x:c r="H289" s="97" t="str"/>
      <x:c r="I289" s="97" t="str">
        <x:v>No occupation is inferred from name, sex, residence, spouse, or family role.</x:v>
      </x:c>
    </x:row>
    <x:row r="290">
      <x:c r="A290" s="97" t="str">
        <x:v>I310</x:v>
      </x:c>
      <x:c r="B290" s="97" t="str">
        <x:v>C Rudolph Muller</x:v>
      </x:c>
      <x:c r="C290" s="97" t="str"/>
      <x:c r="D290" s="97" t="str">
        <x:v>0</x:v>
      </x:c>
      <x:c r="E290" s="97" t="str">
        <x:v>unresolved—no supported occupation found</x:v>
      </x:c>
      <x:c r="F290" s="97" t="str"/>
      <x:c r="G290" s="97" t="str">
        <x:v>S27</x:v>
      </x:c>
      <x:c r="H290" s="97" t="str"/>
      <x:c r="I290" s="97" t="str">
        <x:v>No occupation is inferred from name, sex, residence, spouse, or family role.</x:v>
      </x:c>
    </x:row>
    <x:row r="291">
      <x:c r="A291" s="97" t="str">
        <x:v>I311</x:v>
      </x:c>
      <x:c r="B291" s="97" t="str">
        <x:v>David Paul Muller</x:v>
      </x:c>
      <x:c r="C291" s="97" t="str"/>
      <x:c r="D291" s="97" t="str">
        <x:v>0</x:v>
      </x:c>
      <x:c r="E291" s="97" t="str">
        <x:v>unresolved—no supported occupation found</x:v>
      </x:c>
      <x:c r="F291" s="97" t="str"/>
      <x:c r="G291" s="97" t="str">
        <x:v>S27</x:v>
      </x:c>
      <x:c r="H291" s="97" t="str"/>
      <x:c r="I291" s="97" t="str">
        <x:v>No occupation is inferred from name, sex, residence, spouse, or family role.</x:v>
      </x:c>
    </x:row>
    <x:row r="292">
      <x:c r="A292" s="97" t="str">
        <x:v>I314</x:v>
      </x:c>
      <x:c r="B292" s="97" t="str">
        <x:v>Hazel G Lee</x:v>
      </x:c>
      <x:c r="C292" s="97" t="str"/>
      <x:c r="D292" s="97" t="str">
        <x:v>0</x:v>
      </x:c>
      <x:c r="E292" s="97" t="str">
        <x:v>unresolved—no supported occupation found</x:v>
      </x:c>
      <x:c r="F292" s="97" t="str"/>
      <x:c r="G292" s="97" t="str">
        <x:v>S27</x:v>
      </x:c>
      <x:c r="H292" s="97" t="str"/>
      <x:c r="I292" s="97" t="str">
        <x:v>No occupation is inferred from name, sex, residence, spouse, or family role.</x:v>
      </x:c>
    </x:row>
    <x:row r="293">
      <x:c r="A293" s="97" t="str">
        <x:v>I315</x:v>
      </x:c>
      <x:c r="B293" s="97" t="str">
        <x:v>Hubbard Stone Lee Sr</x:v>
      </x:c>
      <x:c r="C293" s="97" t="str"/>
      <x:c r="D293" s="97" t="str">
        <x:v>0</x:v>
      </x:c>
      <x:c r="E293" s="97" t="str">
        <x:v>unresolved—no supported occupation found</x:v>
      </x:c>
      <x:c r="F293" s="97" t="str"/>
      <x:c r="G293" s="97" t="str">
        <x:v>S27</x:v>
      </x:c>
      <x:c r="H293" s="97" t="str"/>
      <x:c r="I293" s="97" t="str">
        <x:v>No occupation is inferred from name, sex, residence, spouse, or family role.</x:v>
      </x:c>
    </x:row>
    <x:row r="294">
      <x:c r="A294" s="97" t="str">
        <x:v>I316</x:v>
      </x:c>
      <x:c r="B294" s="97" t="str">
        <x:v>Irene M Burr Lee</x:v>
      </x:c>
      <x:c r="C294" s="97" t="str"/>
      <x:c r="D294" s="97" t="str">
        <x:v>0</x:v>
      </x:c>
      <x:c r="E294" s="97" t="str">
        <x:v>unresolved—no supported occupation found</x:v>
      </x:c>
      <x:c r="F294" s="97" t="str"/>
      <x:c r="G294" s="97" t="str">
        <x:v>S27</x:v>
      </x:c>
      <x:c r="H294" s="97" t="str"/>
      <x:c r="I294" s="97" t="str">
        <x:v>No occupation is inferred from name, sex, residence, spouse, or family role.</x:v>
      </x:c>
    </x:row>
    <x:row r="295">
      <x:c r="A295" s="97" t="str">
        <x:v>I317</x:v>
      </x:c>
      <x:c r="B295" s="97" t="str">
        <x:v>Hubbard Stone Lee Jr</x:v>
      </x:c>
      <x:c r="C295" s="97" t="str"/>
      <x:c r="D295" s="97" t="str">
        <x:v>0</x:v>
      </x:c>
      <x:c r="E295" s="97" t="str">
        <x:v>unresolved—no supported occupation found</x:v>
      </x:c>
      <x:c r="F295" s="97" t="str"/>
      <x:c r="G295" s="97" t="str">
        <x:v>S27</x:v>
      </x:c>
      <x:c r="H295" s="97" t="str"/>
      <x:c r="I295" s="97" t="str">
        <x:v>No occupation is inferred from name, sex, residence, spouse, or family role.</x:v>
      </x:c>
    </x:row>
    <x:row r="296">
      <x:c r="A296" s="97" t="str">
        <x:v>I320</x:v>
      </x:c>
      <x:c r="B296" s="97" t="str">
        <x:v>Martha M McCormick Macdonald</x:v>
      </x:c>
      <x:c r="C296" s="97" t="str"/>
      <x:c r="D296" s="97" t="str">
        <x:v>0</x:v>
      </x:c>
      <x:c r="E296" s="97" t="str">
        <x:v>unresolved—no supported occupation found</x:v>
      </x:c>
      <x:c r="F296" s="97" t="str"/>
      <x:c r="G296" s="97" t="str">
        <x:v>S27</x:v>
      </x:c>
      <x:c r="H296" s="97" t="str"/>
      <x:c r="I296" s="97" t="str">
        <x:v>No occupation is inferred from name, sex, residence, spouse, or family role.</x:v>
      </x:c>
    </x:row>
    <x:row r="297">
      <x:c r="A297" s="97" t="str">
        <x:v>I321</x:v>
      </x:c>
      <x:c r="B297" s="97" t="str">
        <x:v>John R Macdonald</x:v>
      </x:c>
      <x:c r="C297" s="97" t="str"/>
      <x:c r="D297" s="97" t="str">
        <x:v>0</x:v>
      </x:c>
      <x:c r="E297" s="97" t="str">
        <x:v>unresolved—no supported occupation found</x:v>
      </x:c>
      <x:c r="F297" s="97" t="str"/>
      <x:c r="G297" s="97" t="str">
        <x:v>S27</x:v>
      </x:c>
      <x:c r="H297" s="97" t="str"/>
      <x:c r="I297" s="97" t="str">
        <x:v>No occupation is inferred from name, sex, residence, spouse, or family role.</x:v>
      </x:c>
    </x:row>
    <x:row r="298">
      <x:c r="A298" s="97" t="str">
        <x:v>I322</x:v>
      </x:c>
      <x:c r="B298" s="97" t="str">
        <x:v>James D Macdonald</x:v>
      </x:c>
      <x:c r="C298" s="97" t="str"/>
      <x:c r="D298" s="97" t="str">
        <x:v>0</x:v>
      </x:c>
      <x:c r="E298" s="97" t="str">
        <x:v>not researched—privacy limited</x:v>
      </x:c>
      <x:c r="F298" s="97" t="str"/>
      <x:c r="G298" s="97" t="str">
        <x:v>S27</x:v>
      </x:c>
      <x:c r="H298" s="97" t="str"/>
      <x:c r="I298" s="97" t="str">
        <x:v>Modern collateral occupation research was intentionally limited for privacy.</x:v>
      </x:c>
    </x:row>
    <x:row r="299">
      <x:c r="A299" s="97" t="str">
        <x:v>I323</x:v>
      </x:c>
      <x:c r="B299" s="97" t="str">
        <x:v>Jean Ruth Macdonald</x:v>
      </x:c>
      <x:c r="C299" s="97" t="str"/>
      <x:c r="D299" s="97" t="str">
        <x:v>0</x:v>
      </x:c>
      <x:c r="E299" s="97" t="str">
        <x:v>not researched—privacy limited</x:v>
      </x:c>
      <x:c r="F299" s="97" t="str"/>
      <x:c r="G299" s="97" t="str">
        <x:v>S27</x:v>
      </x:c>
      <x:c r="H299" s="97" t="str"/>
      <x:c r="I299" s="97" t="str">
        <x:v>Modern collateral occupation research was intentionally limited for privacy.</x:v>
      </x:c>
    </x:row>
    <x:row r="300">
      <x:c r="A300" s="97" t="str">
        <x:v>I324</x:v>
      </x:c>
      <x:c r="B300" s="97" t="str">
        <x:v>Ruth B McCormick Reese</x:v>
      </x:c>
      <x:c r="C300" s="97" t="str"/>
      <x:c r="D300" s="97" t="str">
        <x:v>0</x:v>
      </x:c>
      <x:c r="E300" s="97" t="str">
        <x:v>unresolved—no supported occupation found</x:v>
      </x:c>
      <x:c r="F300" s="97" t="str"/>
      <x:c r="G300" s="97" t="str">
        <x:v>S27</x:v>
      </x:c>
      <x:c r="H300" s="97" t="str"/>
      <x:c r="I300" s="97" t="str">
        <x:v>No occupation is inferred from name, sex, residence, spouse, or family role.</x:v>
      </x:c>
    </x:row>
    <x:row r="301">
      <x:c r="A301" s="97" t="str">
        <x:v>I327</x:v>
      </x:c>
      <x:c r="B301" s="97" t="str">
        <x:v>Sarah Slaughter Lazenby</x:v>
      </x:c>
      <x:c r="C301" s="97" t="str"/>
      <x:c r="D301" s="97" t="str">
        <x:v>0</x:v>
      </x:c>
      <x:c r="E301" s="97" t="str">
        <x:v>unresolved—no supported occupation found</x:v>
      </x:c>
      <x:c r="F301" s="97" t="str"/>
      <x:c r="G301" s="97" t="str">
        <x:v>S27</x:v>
      </x:c>
      <x:c r="H301" s="97" t="str"/>
      <x:c r="I301" s="97" t="str">
        <x:v>No occupation is inferred from name, sex, residence, spouse, or family role.</x:v>
      </x:c>
    </x:row>
    <x:row r="302">
      <x:c r="A302" s="97" t="str">
        <x:v>I328</x:v>
      </x:c>
      <x:c r="B302" s="97" t="str">
        <x:v>Irene Williams Slaughter Cooke</x:v>
      </x:c>
      <x:c r="C302" s="97" t="str"/>
      <x:c r="D302" s="97" t="str">
        <x:v>0</x:v>
      </x:c>
      <x:c r="E302" s="97" t="str">
        <x:v>unresolved—no supported occupation found</x:v>
      </x:c>
      <x:c r="F302" s="97" t="str"/>
      <x:c r="G302" s="97" t="str">
        <x:v>S27</x:v>
      </x:c>
      <x:c r="H302" s="97" t="str"/>
      <x:c r="I302" s="97" t="str">
        <x:v>No occupation is inferred from name, sex, residence, spouse, or family role.</x:v>
      </x:c>
    </x:row>
    <x:row r="303">
      <x:c r="A303" s="97" t="str">
        <x:v>I329</x:v>
      </x:c>
      <x:c r="B303" s="97" t="str">
        <x:v>Isaac Bush Slaughter Jr</x:v>
      </x:c>
      <x:c r="C303" s="97" t="str"/>
      <x:c r="D303" s="97" t="str">
        <x:v>0</x:v>
      </x:c>
      <x:c r="E303" s="97" t="str">
        <x:v>unresolved—no supported occupation found</x:v>
      </x:c>
      <x:c r="F303" s="97" t="str"/>
      <x:c r="G303" s="97" t="str">
        <x:v>S27</x:v>
      </x:c>
      <x:c r="H303" s="97" t="str"/>
      <x:c r="I303" s="97" t="str">
        <x:v>No occupation is inferred from name, sex, residence, spouse, or family role.</x:v>
      </x:c>
    </x:row>
    <x:row r="304">
      <x:c r="A304" s="97" t="str">
        <x:v>I330</x:v>
      </x:c>
      <x:c r="B304" s="97" t="str">
        <x:v>Mae Belle Watson Slaughter</x:v>
      </x:c>
      <x:c r="C304" s="97" t="str"/>
      <x:c r="D304" s="97" t="str">
        <x:v>0</x:v>
      </x:c>
      <x:c r="E304" s="97" t="str">
        <x:v>unresolved—no supported occupation found</x:v>
      </x:c>
      <x:c r="F304" s="97" t="str"/>
      <x:c r="G304" s="97" t="str">
        <x:v>S27</x:v>
      </x:c>
      <x:c r="H304" s="97" t="str"/>
      <x:c r="I304" s="97" t="str">
        <x:v>No occupation is inferred from name, sex, residence, spouse, or family role.</x:v>
      </x:c>
    </x:row>
    <x:row r="305">
      <x:c r="A305" s="97" t="str">
        <x:v>I331</x:v>
      </x:c>
      <x:c r="B305" s="97" t="str">
        <x:v>Agnes Slaughter</x:v>
      </x:c>
      <x:c r="C305" s="97" t="str"/>
      <x:c r="D305" s="97" t="str">
        <x:v>0</x:v>
      </x:c>
      <x:c r="E305" s="97" t="str">
        <x:v>not researched—privacy limited</x:v>
      </x:c>
      <x:c r="F305" s="97" t="str"/>
      <x:c r="G305" s="97" t="str">
        <x:v>S27</x:v>
      </x:c>
      <x:c r="H305" s="97" t="str"/>
      <x:c r="I305" s="97" t="str">
        <x:v>Modern collateral occupation research was intentionally limited for privacy.</x:v>
      </x:c>
    </x:row>
    <x:row r="306">
      <x:c r="A306" s="97" t="str">
        <x:v>I332</x:v>
      </x:c>
      <x:c r="B306" s="97" t="str">
        <x:v>Hundley Agee Slaughter</x:v>
      </x:c>
      <x:c r="C306" s="97" t="str"/>
      <x:c r="D306" s="97" t="str">
        <x:v>0</x:v>
      </x:c>
      <x:c r="E306" s="97" t="str">
        <x:v>unresolved—no supported occupation found</x:v>
      </x:c>
      <x:c r="F306" s="97" t="str"/>
      <x:c r="G306" s="97" t="str">
        <x:v>S27</x:v>
      </x:c>
      <x:c r="H306" s="97" t="str"/>
      <x:c r="I306" s="97" t="str">
        <x:v>No occupation is inferred from name, sex, residence, spouse, or family role.</x:v>
      </x:c>
    </x:row>
    <x:row r="307">
      <x:c r="A307" s="97" t="str">
        <x:v>I333</x:v>
      </x:c>
      <x:c r="B307" s="97" t="str">
        <x:v>Frank Rives Slaughter</x:v>
      </x:c>
      <x:c r="C307" s="97" t="str"/>
      <x:c r="D307" s="97" t="str">
        <x:v>0</x:v>
      </x:c>
      <x:c r="E307" s="97" t="str">
        <x:v>unresolved—no supported occupation found</x:v>
      </x:c>
      <x:c r="F307" s="97" t="str"/>
      <x:c r="G307" s="97" t="str">
        <x:v>S27</x:v>
      </x:c>
      <x:c r="H307" s="97" t="str"/>
      <x:c r="I307" s="97" t="str">
        <x:v>No occupation is inferred from name, sex, residence, spouse, or family role.</x:v>
      </x:c>
    </x:row>
    <x:row r="308">
      <x:c r="A308" s="97" t="str">
        <x:v>I334</x:v>
      </x:c>
      <x:c r="B308" s="97" t="str">
        <x:v>Mary Alice Thoren</x:v>
      </x:c>
      <x:c r="C308" s="97" t="str"/>
      <x:c r="D308" s="97" t="str">
        <x:v>0</x:v>
      </x:c>
      <x:c r="E308" s="97" t="str">
        <x:v>withheld—living/private</x:v>
      </x:c>
      <x:c r="F308" s="97" t="str"/>
      <x:c r="G308" s="97" t="str">
        <x:v>S28;S31;S32</x:v>
      </x:c>
      <x:c r="H308" s="97" t="str"/>
      <x:c r="I308" s="97" t="str">
        <x:v>No living person's occupation was researched or exposed.</x:v>
      </x:c>
    </x:row>
    <x:row r="309">
      <x:c r="A309" s="97" t="str">
        <x:v>I335</x:v>
      </x:c>
      <x:c r="B309" s="97" t="str">
        <x:v>Chris Vollmer</x:v>
      </x:c>
      <x:c r="C309" s="97" t="str"/>
      <x:c r="D309" s="97" t="str">
        <x:v>0</x:v>
      </x:c>
      <x:c r="E309" s="97" t="str">
        <x:v>withheld—living/private</x:v>
      </x:c>
      <x:c r="F309" s="97" t="str"/>
      <x:c r="G309" s="97" t="str">
        <x:v>S28;S47</x:v>
      </x:c>
      <x:c r="H309" s="97" t="str"/>
      <x:c r="I309" s="97" t="str">
        <x:v>No living person's occupation was researched or exposed.</x:v>
      </x:c>
    </x:row>
    <x:row r="310">
      <x:c r="A310" s="97" t="str">
        <x:v>I336</x:v>
      </x:c>
      <x:c r="B310" s="97" t="str">
        <x:v>William John Thoren</x:v>
      </x:c>
      <x:c r="C310" s="97" t="str"/>
      <x:c r="D310" s="97" t="str">
        <x:v>0</x:v>
      </x:c>
      <x:c r="E310" s="97" t="str">
        <x:v>unresolved—no supported occupation found</x:v>
      </x:c>
      <x:c r="F310" s="97" t="str"/>
      <x:c r="G310" s="97" t="str">
        <x:v>S28;S32;S33;S34</x:v>
      </x:c>
      <x:c r="H310" s="97" t="str"/>
      <x:c r="I310" s="97" t="str">
        <x:v>No occupation is inferred from name, sex, residence, spouse, or family role.</x:v>
      </x:c>
    </x:row>
    <x:row r="311">
      <x:c r="A311" s="97" t="str">
        <x:v>I337</x:v>
      </x:c>
      <x:c r="B311" s="97" t="str">
        <x:v>Alice Gallaher</x:v>
      </x:c>
      <x:c r="C311" s="97" t="str"/>
      <x:c r="D311" s="97" t="str">
        <x:v>0</x:v>
      </x:c>
      <x:c r="E311" s="97" t="str">
        <x:v>unresolved—no supported occupation found</x:v>
      </x:c>
      <x:c r="F311" s="97" t="str"/>
      <x:c r="G311" s="97" t="str">
        <x:v>S32;S33;S35</x:v>
      </x:c>
      <x:c r="H311" s="97" t="str"/>
      <x:c r="I311" s="97" t="str">
        <x:v>No occupation is inferred from name, sex, residence, spouse, or family role.</x:v>
      </x:c>
    </x:row>
    <x:row r="312">
      <x:c r="A312" s="97" t="str">
        <x:v>I338</x:v>
      </x:c>
      <x:c r="B312" s="97" t="str">
        <x:v>Christian Andrew Thoren</x:v>
      </x:c>
      <x:c r="C312" s="97" t="str"/>
      <x:c r="D312" s="97" t="str">
        <x:v>0</x:v>
      </x:c>
      <x:c r="E312" s="97" t="str">
        <x:v>unresolved—no supported occupation found</x:v>
      </x:c>
      <x:c r="F312" s="97" t="str"/>
      <x:c r="G312" s="97" t="str">
        <x:v>S34;S36</x:v>
      </x:c>
      <x:c r="H312" s="97" t="str"/>
      <x:c r="I312" s="97" t="str">
        <x:v>No occupation is inferred from name, sex, residence, spouse, or family role.</x:v>
      </x:c>
    </x:row>
    <x:row r="313">
      <x:c r="A313" s="97" t="str">
        <x:v>I339</x:v>
      </x:c>
      <x:c r="B313" s="97" t="str">
        <x:v>Augusta Nilsdotter</x:v>
      </x:c>
      <x:c r="C313" s="97" t="str"/>
      <x:c r="D313" s="97" t="str">
        <x:v>0</x:v>
      </x:c>
      <x:c r="E313" s="97" t="str">
        <x:v>unresolved—no supported occupation found</x:v>
      </x:c>
      <x:c r="F313" s="97" t="str"/>
      <x:c r="G313" s="97" t="str">
        <x:v>S34;S37</x:v>
      </x:c>
      <x:c r="H313" s="97" t="str"/>
      <x:c r="I313" s="97" t="str">
        <x:v>No occupation is inferred from name, sex, residence, spouse, or family role.</x:v>
      </x:c>
    </x:row>
    <x:row r="314">
      <x:c r="A314" s="97" t="str">
        <x:v>I340</x:v>
      </x:c>
      <x:c r="B314" s="97" t="str">
        <x:v>Anders Troedsson</x:v>
      </x:c>
      <x:c r="C314" s="97" t="str"/>
      <x:c r="D314" s="97" t="str">
        <x:v>0</x:v>
      </x:c>
      <x:c r="E314" s="97" t="str">
        <x:v>unresolved—no supported occupation found</x:v>
      </x:c>
      <x:c r="F314" s="97" t="str"/>
      <x:c r="G314" s="97" t="str">
        <x:v>S38</x:v>
      </x:c>
      <x:c r="H314" s="97" t="str"/>
      <x:c r="I314" s="97" t="str">
        <x:v>No occupation is inferred from name, sex, residence, spouse, or family role.</x:v>
      </x:c>
    </x:row>
    <x:row r="315">
      <x:c r="A315" s="97" t="str">
        <x:v>I341</x:v>
      </x:c>
      <x:c r="B315" s="97" t="str">
        <x:v>Kjersti Månsdotter</x:v>
      </x:c>
      <x:c r="C315" s="97" t="str"/>
      <x:c r="D315" s="97" t="str">
        <x:v>0</x:v>
      </x:c>
      <x:c r="E315" s="97" t="str">
        <x:v>unresolved—no supported occupation found</x:v>
      </x:c>
      <x:c r="F315" s="97" t="str"/>
      <x:c r="G315" s="97" t="str">
        <x:v>S38</x:v>
      </x:c>
      <x:c r="H315" s="97" t="str"/>
      <x:c r="I315" s="97" t="str">
        <x:v>No occupation is inferred from name, sex, residence, spouse, or family role.</x:v>
      </x:c>
    </x:row>
    <x:row r="316">
      <x:c r="A316" s="97" t="str">
        <x:v>I342</x:v>
      </x:c>
      <x:c r="B316" s="97" t="str">
        <x:v>Trued Andersson</x:v>
      </x:c>
      <x:c r="C316" s="97" t="str"/>
      <x:c r="D316" s="97" t="str">
        <x:v>0</x:v>
      </x:c>
      <x:c r="E316" s="97" t="str">
        <x:v>unresolved—no supported occupation found</x:v>
      </x:c>
      <x:c r="F316" s="97" t="str"/>
      <x:c r="G316" s="97" t="str">
        <x:v>S38</x:v>
      </x:c>
      <x:c r="H316" s="97" t="str"/>
      <x:c r="I316" s="97" t="str">
        <x:v>No occupation is inferred from name, sex, residence, spouse, or family role.</x:v>
      </x:c>
    </x:row>
    <x:row r="317">
      <x:c r="A317" s="97" t="str">
        <x:v>I343</x:v>
      </x:c>
      <x:c r="B317" s="97" t="str">
        <x:v>Bortha Nilsdotter</x:v>
      </x:c>
      <x:c r="C317" s="97" t="str"/>
      <x:c r="D317" s="97" t="str">
        <x:v>0</x:v>
      </x:c>
      <x:c r="E317" s="97" t="str">
        <x:v>unresolved—no supported occupation found</x:v>
      </x:c>
      <x:c r="F317" s="97" t="str"/>
      <x:c r="G317" s="97" t="str">
        <x:v>S38</x:v>
      </x:c>
      <x:c r="H317" s="97" t="str"/>
      <x:c r="I317" s="97" t="str">
        <x:v>No occupation is inferred from name, sex, residence, spouse, or family role.</x:v>
      </x:c>
    </x:row>
    <x:row r="318">
      <x:c r="A318" s="97" t="str">
        <x:v>I344</x:v>
      </x:c>
      <x:c r="B318" s="97" t="str">
        <x:v>Nils Svensson</x:v>
      </x:c>
      <x:c r="C318" s="97" t="str"/>
      <x:c r="D318" s="97" t="str">
        <x:v>0</x:v>
      </x:c>
      <x:c r="E318" s="97" t="str">
        <x:v>unresolved—no supported occupation found</x:v>
      </x:c>
      <x:c r="F318" s="97" t="str"/>
      <x:c r="G318" s="97" t="str">
        <x:v>S39;S40</x:v>
      </x:c>
      <x:c r="H318" s="97" t="str"/>
      <x:c r="I318" s="97" t="str">
        <x:v>No occupation is inferred from name, sex, residence, spouse, or family role.</x:v>
      </x:c>
    </x:row>
    <x:row r="319">
      <x:c r="A319" s="97" t="str">
        <x:v>I345</x:v>
      </x:c>
      <x:c r="B319" s="97" t="str">
        <x:v>Christina Persdotter</x:v>
      </x:c>
      <x:c r="C319" s="97" t="str"/>
      <x:c r="D319" s="97" t="str">
        <x:v>0</x:v>
      </x:c>
      <x:c r="E319" s="97" t="str">
        <x:v>unresolved—no supported occupation found</x:v>
      </x:c>
      <x:c r="F319" s="97" t="str"/>
      <x:c r="G319" s="97" t="str">
        <x:v>S39;S42</x:v>
      </x:c>
      <x:c r="H319" s="97" t="str"/>
      <x:c r="I319" s="97" t="str">
        <x:v>No occupation is inferred from name, sex, residence, spouse, or family role.</x:v>
      </x:c>
    </x:row>
    <x:row r="320">
      <x:c r="A320" s="97" t="str">
        <x:v>I346</x:v>
      </x:c>
      <x:c r="B320" s="97" t="str">
        <x:v>Gunnilla Nilsdotter</x:v>
      </x:c>
      <x:c r="C320" s="97" t="str"/>
      <x:c r="D320" s="97" t="str">
        <x:v>0</x:v>
      </x:c>
      <x:c r="E320" s="97" t="str">
        <x:v>unresolved—no supported occupation found</x:v>
      </x:c>
      <x:c r="F320" s="97" t="str"/>
      <x:c r="G320" s="97" t="str">
        <x:v>S40;S41</x:v>
      </x:c>
      <x:c r="H320" s="97" t="str"/>
      <x:c r="I320" s="97" t="str">
        <x:v>No occupation is inferred from name, sex, residence, spouse, or family role.</x:v>
      </x:c>
    </x:row>
    <x:row r="321">
      <x:c r="A321" s="97" t="str">
        <x:v>I347</x:v>
      </x:c>
      <x:c r="B321" s="97" t="str">
        <x:v>Nils Johansson</x:v>
      </x:c>
      <x:c r="C321" s="97" t="str"/>
      <x:c r="D321" s="97" t="str">
        <x:v>0</x:v>
      </x:c>
      <x:c r="E321" s="97" t="str">
        <x:v>unresolved—no supported occupation found</x:v>
      </x:c>
      <x:c r="F321" s="97" t="str"/>
      <x:c r="G321" s="97" t="str">
        <x:v>S41</x:v>
      </x:c>
      <x:c r="H321" s="97" t="str"/>
      <x:c r="I321" s="97" t="str">
        <x:v>No occupation is inferred from name, sex, residence, spouse, or family role.</x:v>
      </x:c>
    </x:row>
    <x:row r="322">
      <x:c r="A322" s="97" t="str">
        <x:v>I348</x:v>
      </x:c>
      <x:c r="B322" s="97" t="str">
        <x:v>Elna Nilsdotter</x:v>
      </x:c>
      <x:c r="C322" s="97" t="str"/>
      <x:c r="D322" s="97" t="str">
        <x:v>0</x:v>
      </x:c>
      <x:c r="E322" s="97" t="str">
        <x:v>unresolved—no supported occupation found</x:v>
      </x:c>
      <x:c r="F322" s="97" t="str"/>
      <x:c r="G322" s="97" t="str">
        <x:v>S41</x:v>
      </x:c>
      <x:c r="H322" s="97" t="str"/>
      <x:c r="I322" s="97" t="str">
        <x:v>No occupation is inferred from name, sex, residence, spouse, or family role.</x:v>
      </x:c>
    </x:row>
    <x:row r="323">
      <x:c r="A323" s="97" t="str">
        <x:v>I349</x:v>
      </x:c>
      <x:c r="B323" s="97" t="str">
        <x:v>Pehr Erlandsson</x:v>
      </x:c>
      <x:c r="C323" s="97" t="str"/>
      <x:c r="D323" s="97" t="str">
        <x:v>0</x:v>
      </x:c>
      <x:c r="E323" s="97" t="str">
        <x:v>unresolved—no supported occupation found</x:v>
      </x:c>
      <x:c r="F323" s="97" t="str"/>
      <x:c r="G323" s="97" t="str">
        <x:v>S43;S44</x:v>
      </x:c>
      <x:c r="H323" s="97" t="str"/>
      <x:c r="I323" s="97" t="str">
        <x:v>No occupation is inferred from name, sex, residence, spouse, or family role.</x:v>
      </x:c>
    </x:row>
    <x:row r="324">
      <x:c r="A324" s="97" t="str">
        <x:v>I350</x:v>
      </x:c>
      <x:c r="B324" s="97" t="str">
        <x:v>Ingier Hansdotter</x:v>
      </x:c>
      <x:c r="C324" s="97" t="str"/>
      <x:c r="D324" s="97" t="str">
        <x:v>0</x:v>
      </x:c>
      <x:c r="E324" s="97" t="str">
        <x:v>unresolved—no supported occupation found</x:v>
      </x:c>
      <x:c r="F324" s="97" t="str"/>
      <x:c r="G324" s="97" t="str">
        <x:v>S43;S45</x:v>
      </x:c>
      <x:c r="H324" s="97" t="str"/>
      <x:c r="I324" s="97" t="str">
        <x:v>No occupation is inferred from name, sex, residence, spouse, or family role.</x:v>
      </x:c>
    </x:row>
    <x:row r="325">
      <x:c r="A325" s="97" t="str">
        <x:v>I351</x:v>
      </x:c>
      <x:c r="B325" s="97" t="str">
        <x:v>Erland Pålsson</x:v>
      </x:c>
      <x:c r="C325" s="97" t="str"/>
      <x:c r="D325" s="97" t="str">
        <x:v>0</x:v>
      </x:c>
      <x:c r="E325" s="97" t="str">
        <x:v>unresolved—no supported occupation found</x:v>
      </x:c>
      <x:c r="F325" s="97" t="str"/>
      <x:c r="G325" s="97" t="str">
        <x:v>S44</x:v>
      </x:c>
      <x:c r="H325" s="97" t="str"/>
      <x:c r="I325" s="97" t="str">
        <x:v>No occupation is inferred from name, sex, residence, spouse, or family role.</x:v>
      </x:c>
    </x:row>
    <x:row r="326">
      <x:c r="A326" s="97" t="str">
        <x:v>I352</x:v>
      </x:c>
      <x:c r="B326" s="97" t="str">
        <x:v>Bengta Pehrsdotter</x:v>
      </x:c>
      <x:c r="C326" s="97" t="str"/>
      <x:c r="D326" s="97" t="str">
        <x:v>0</x:v>
      </x:c>
      <x:c r="E326" s="97" t="str">
        <x:v>unresolved—no supported occupation found</x:v>
      </x:c>
      <x:c r="F326" s="97" t="str"/>
      <x:c r="G326" s="97" t="str">
        <x:v>S44</x:v>
      </x:c>
      <x:c r="H326" s="97" t="str"/>
      <x:c r="I326" s="97" t="str">
        <x:v>No occupation is inferred from name, sex, residence, spouse, or family role.</x:v>
      </x:c>
    </x:row>
    <x:row r="327">
      <x:c r="A327" s="97" t="str">
        <x:v>I353</x:v>
      </x:c>
      <x:c r="B327" s="97" t="str">
        <x:v>Hans Månsson</x:v>
      </x:c>
      <x:c r="C327" s="97" t="str"/>
      <x:c r="D327" s="97" t="str">
        <x:v>0</x:v>
      </x:c>
      <x:c r="E327" s="97" t="str">
        <x:v>unresolved—no supported occupation found</x:v>
      </x:c>
      <x:c r="F327" s="97" t="str"/>
      <x:c r="G327" s="97" t="str">
        <x:v>S45</x:v>
      </x:c>
      <x:c r="H327" s="97" t="str"/>
      <x:c r="I327" s="97" t="str">
        <x:v>No occupation is inferred from name, sex, residence, spouse, or family role.</x:v>
      </x:c>
    </x:row>
    <x:row r="328">
      <x:c r="A328" s="97" t="str">
        <x:v>I354</x:v>
      </x:c>
      <x:c r="B328" s="97" t="str">
        <x:v>Maria Hansdotter</x:v>
      </x:c>
      <x:c r="C328" s="97" t="str"/>
      <x:c r="D328" s="97" t="str">
        <x:v>0</x:v>
      </x:c>
      <x:c r="E328" s="97" t="str">
        <x:v>unresolved—no supported occupation found</x:v>
      </x:c>
      <x:c r="F328" s="97" t="str"/>
      <x:c r="G328" s="97" t="str">
        <x:v>S45</x:v>
      </x:c>
      <x:c r="H328" s="97" t="str"/>
      <x:c r="I328" s="97" t="str">
        <x:v>No occupation is inferred from name, sex, residence, spouse, or family role.</x:v>
      </x:c>
    </x:row>
    <x:row r="329">
      <x:c r="A329" s="97" t="str">
        <x:v>I355</x:v>
      </x:c>
      <x:c r="B329" s="97" t="str">
        <x:v>Peter Vollmer</x:v>
      </x:c>
      <x:c r="C329" s="97" t="str"/>
      <x:c r="D329" s="97" t="str">
        <x:v>0</x:v>
      </x:c>
      <x:c r="E329" s="97" t="str">
        <x:v>not established—minor</x:v>
      </x:c>
      <x:c r="F329" s="97" t="str"/>
      <x:c r="G329" s="97" t="str">
        <x:v>S47;S46</x:v>
      </x:c>
      <x:c r="H329" s="97" t="str"/>
      <x:c r="I329" s="97" t="str">
        <x:v>No occupation is assigned; this person died before adulthood.</x:v>
      </x:c>
    </x:row>
  </x:sheetData>
  <x:conditionalFormatting sqref="E2:E329">
    <x:cfRule type="expression" dxfId="8" priority="1">
      <x:formula>$E2="recorded"</x:formula>
    </x:cfRule>
    <x:cfRule type="expression" dxfId="9" priority="2">
      <x:formula>OR($E2="unresolved—no supported occupation found",$E2="not researched—privacy limited",$E2="withheld—living/private",$E2="not established—minor")</x:formula>
    </x:cfRule>
  </x:conditionalFormatting>
  <x:pageMargins left="0.7" right="0.7" top="0.75" bottom="0.75" header="0.3" footer="0.3"/>
  <x:tableParts count="1">
    <x:tablePart xmlns:r="http://schemas.openxmlformats.org/officeDocument/2006/relationships" r:id="Rac2907c1515b432a"/>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5" hidden="0" customWidth="1"/>
    <x:col min="2" max="2" width="14" hidden="0" customWidth="1"/>
    <x:col min="3" max="3" width="42" hidden="0" customWidth="1"/>
    <x:col min="4" max="4" width="32" hidden="0" customWidth="1"/>
    <x:col min="5" max="5" width="48" hidden="0" customWidth="1"/>
    <x:col min="6" max="6" width="52" hidden="0" customWidth="1"/>
    <x:col min="7" max="7" width="36" hidden="0" customWidth="1"/>
    <x:col min="8" max="8" width="36" hidden="0" customWidth="1"/>
    <x:col min="9" max="9" width="24" hidden="0" customWidth="1"/>
    <x:col min="10" max="10" width="22" hidden="0" customWidth="1"/>
    <x:col min="11" max="11" width="60" hidden="0" customWidth="1"/>
    <x:col min="12" max="12" width="80" hidden="0" customWidth="1"/>
  </x:cols>
  <x:sheetData>
    <x:row r="1" ht="30" customHeight="1">
      <x:c r="A1" s="102" t="str">
        <x:v>row_type</x:v>
      </x:c>
      <x:c r="B1" s="102" t="str">
        <x:v>id</x:v>
      </x:c>
      <x:c r="C1" s="102" t="str">
        <x:v>name_or_title</x:v>
      </x:c>
      <x:c r="D1" s="102" t="str">
        <x:v>portrait_status_or_evidence_status</x:v>
      </x:c>
      <x:c r="E1" s="102" t="str">
        <x:v>portrait_or_file_path</x:v>
      </x:c>
      <x:c r="F1" s="102" t="str">
        <x:v>external_url</x:v>
      </x:c>
      <x:c r="G1" s="102" t="str">
        <x:v>person_ids</x:v>
      </x:c>
      <x:c r="H1" s="102" t="str">
        <x:v>evidence_ids</x:v>
      </x:c>
      <x:c r="I1" s="102" t="str">
        <x:v>source_refs</x:v>
      </x:c>
      <x:c r="J1" s="102" t="str">
        <x:v>ledger_refs</x:v>
      </x:c>
      <x:c r="K1" s="102" t="str">
        <x:v>preview_paths</x:v>
      </x:c>
      <x:c r="L1" s="102" t="str">
        <x:v>rights_or_note</x:v>
      </x:c>
    </x:row>
    <x:row r="2">
      <x:c r="A2" s="97" t="str">
        <x:v>person</x:v>
      </x:c>
      <x:c r="B2" s="97" t="str">
        <x:v>I001</x:v>
      </x:c>
      <x:c r="C2" s="97" t="str">
        <x:v>Fredric Muller Vollmer</x:v>
      </x:c>
      <x:c r="D2" s="97" t="str">
        <x:v>privacy_withheld</x:v>
      </x:c>
      <x:c r="E2" s="97" t="str"/>
      <x:c r="F2" s="97" t="str"/>
      <x:c r="G2" s="97" t="str">
        <x:v>I001</x:v>
      </x:c>
      <x:c r="H2" s="97" t="str"/>
      <x:c r="I2" s="97" t="str"/>
      <x:c r="J2" s="97" t="str"/>
      <x:c r="K2" s="97" t="str"/>
      <x:c r="L2" s="97" t="str">
        <x:v>Living-person privacy applies. No portrait is displayed because the person is living.</x:v>
      </x:c>
    </x:row>
    <x:row r="3">
      <x:c r="A3" s="97" t="str">
        <x:v>person</x:v>
      </x:c>
      <x:c r="B3" s="97" t="str">
        <x:v>I002</x:v>
      </x:c>
      <x:c r="C3" s="97" t="str">
        <x:v>Jan Muller Vollmer</x:v>
      </x:c>
      <x:c r="D3" s="97" t="str">
        <x:v>privacy_withheld</x:v>
      </x:c>
      <x:c r="E3" s="97" t="str"/>
      <x:c r="F3" s="97" t="str"/>
      <x:c r="G3" s="97" t="str">
        <x:v>I002</x:v>
      </x:c>
      <x:c r="H3" s="97" t="str"/>
      <x:c r="I3" s="97" t="str"/>
      <x:c r="J3" s="97" t="str"/>
      <x:c r="K3" s="97" t="str"/>
      <x:c r="L3" s="97" t="str">
        <x:v>Living-person privacy applies. No portrait is displayed because the person is living.</x:v>
      </x:c>
    </x:row>
    <x:row r="4">
      <x:c r="A4" s="97" t="str">
        <x:v>person</x:v>
      </x:c>
      <x:c r="B4" s="97" t="str">
        <x:v>I003</x:v>
      </x:c>
      <x:c r="C4" s="97" t="str">
        <x:v>Arthur John Muller</x:v>
      </x:c>
      <x:c r="D4" s="97" t="str">
        <x:v>no_verified_photo_archived</x:v>
      </x:c>
      <x:c r="E4" s="97" t="str"/>
      <x:c r="F4" s="97" t="str"/>
      <x:c r="G4" s="97" t="str">
        <x:v>I003</x:v>
      </x:c>
      <x:c r="H4" s="97" t="str"/>
      <x:c r="I4" s="97" t="str"/>
      <x:c r="J4" s="97" t="str"/>
      <x:c r="K4" s="97" t="str"/>
      <x:c r="L4" s="97" t="str">
        <x:v>No verified portrait was present in the repository or canonical evidence ledger at audit time.</x:v>
      </x:c>
    </x:row>
    <x:row r="5">
      <x:c r="A5" s="97" t="str">
        <x:v>person</x:v>
      </x:c>
      <x:c r="B5" s="97" t="str">
        <x:v>I004</x:v>
      </x:c>
      <x:c r="C5" s="97" t="str">
        <x:v>Anne Rives McCormick Muller</x:v>
      </x:c>
      <x:c r="D5" s="97" t="str">
        <x:v>no_verified_photo_archived</x:v>
      </x:c>
      <x:c r="E5" s="97" t="str"/>
      <x:c r="F5" s="97" t="str"/>
      <x:c r="G5" s="97" t="str">
        <x:v>I004</x:v>
      </x:c>
      <x:c r="H5" s="97" t="str"/>
      <x:c r="I5" s="97" t="str"/>
      <x:c r="J5" s="97" t="str"/>
      <x:c r="K5" s="97" t="str"/>
      <x:c r="L5" s="97" t="str">
        <x:v>No verified portrait was present in the repository or canonical evidence ledger at audit time.</x:v>
      </x:c>
    </x:row>
    <x:row r="6">
      <x:c r="A6" s="97" t="str">
        <x:v>person</x:v>
      </x:c>
      <x:c r="B6" s="97" t="str">
        <x:v>I005</x:v>
      </x:c>
      <x:c r="C6" s="97" t="str">
        <x:v>Arthur Herman Muller</x:v>
      </x:c>
      <x:c r="D6" s="97" t="str">
        <x:v>external_photo_page</x:v>
      </x:c>
      <x:c r="E6" s="97" t="str"/>
      <x:c r="F6" s="97" t="str">
        <x:v>https://www.ancestry.com/imageviewer/collections/2442/images/M-T0627-01890-00597?pid=79840169</x:v>
      </x:c>
      <x:c r="G6" s="97" t="str">
        <x:v>I005</x:v>
      </x:c>
      <x:c r="H6" s="97" t="str"/>
      <x:c r="I6" s="97" t="str">
        <x:v>S48</x:v>
      </x:c>
      <x:c r="J6" s="97" t="str"/>
      <x:c r="K6" s="97" t="str"/>
      <x:c r="L6" s="97" t="str">
        <x:v>External, account-gated image; not copied into the repository. The canonical occupation ledger records an attached member photograph whose caption identifies Arthur Herman Muller as a General Motors engineer.</x:v>
      </x:c>
    </x:row>
    <x:row r="7">
      <x:c r="A7" s="97" t="str">
        <x:v>person</x:v>
      </x:c>
      <x:c r="B7" s="97" t="str">
        <x:v>I006</x:v>
      </x:c>
      <x:c r="C7" s="97" t="str">
        <x:v>Elma Anna Lee Muller</x:v>
      </x:c>
      <x:c r="D7" s="97" t="str">
        <x:v>no_verified_photo_archived</x:v>
      </x:c>
      <x:c r="E7" s="97" t="str"/>
      <x:c r="F7" s="97" t="str"/>
      <x:c r="G7" s="97" t="str">
        <x:v>I006</x:v>
      </x:c>
      <x:c r="H7" s="97" t="str"/>
      <x:c r="I7" s="97" t="str"/>
      <x:c r="J7" s="97" t="str"/>
      <x:c r="K7" s="97" t="str"/>
      <x:c r="L7" s="97" t="str">
        <x:v>No verified portrait was present in the repository or canonical evidence ledger at audit time.</x:v>
      </x:c>
    </x:row>
    <x:row r="8">
      <x:c r="A8" s="97" t="str">
        <x:v>person</x:v>
      </x:c>
      <x:c r="B8" s="97" t="str">
        <x:v>I007</x:v>
      </x:c>
      <x:c r="C8" s="97" t="str">
        <x:v>Charles Ellsworth McCormick II</x:v>
      </x:c>
      <x:c r="D8" s="97" t="str">
        <x:v>no_verified_photo_archived</x:v>
      </x:c>
      <x:c r="E8" s="97" t="str"/>
      <x:c r="F8" s="97" t="str"/>
      <x:c r="G8" s="97" t="str">
        <x:v>I007</x:v>
      </x:c>
      <x:c r="H8" s="97" t="str"/>
      <x:c r="I8" s="97" t="str"/>
      <x:c r="J8" s="97" t="str"/>
      <x:c r="K8" s="97" t="str"/>
      <x:c r="L8" s="97" t="str">
        <x:v>No verified portrait was present in the repository or canonical evidence ledger at audit time.</x:v>
      </x:c>
    </x:row>
    <x:row r="9">
      <x:c r="A9" s="97" t="str">
        <x:v>person</x:v>
      </x:c>
      <x:c r="B9" s="97" t="str">
        <x:v>I008</x:v>
      </x:c>
      <x:c r="C9" s="97" t="str">
        <x:v>Eloise Alcyone Slaughter McCormick</x:v>
      </x:c>
      <x:c r="D9" s="97" t="str">
        <x:v>no_verified_photo_archived</x:v>
      </x:c>
      <x:c r="E9" s="97" t="str"/>
      <x:c r="F9" s="97" t="str"/>
      <x:c r="G9" s="97" t="str">
        <x:v>I008</x:v>
      </x:c>
      <x:c r="H9" s="97" t="str"/>
      <x:c r="I9" s="97" t="str"/>
      <x:c r="J9" s="97" t="str"/>
      <x:c r="K9" s="97" t="str"/>
      <x:c r="L9" s="97" t="str">
        <x:v>No verified portrait was present in the repository or canonical evidence ledger at audit time.</x:v>
      </x:c>
    </x:row>
    <x:row r="10">
      <x:c r="A10" s="97" t="str">
        <x:v>person</x:v>
      </x:c>
      <x:c r="B10" s="97" t="str">
        <x:v>I009</x:v>
      </x:c>
      <x:c r="C10" s="97" t="str">
        <x:v>Christian August Vollrath Muller</x:v>
      </x:c>
      <x:c r="D10" s="97" t="str">
        <x:v>no_verified_photo_archived</x:v>
      </x:c>
      <x:c r="E10" s="97" t="str"/>
      <x:c r="F10" s="97" t="str"/>
      <x:c r="G10" s="97" t="str">
        <x:v>I009</x:v>
      </x:c>
      <x:c r="H10" s="97" t="str"/>
      <x:c r="I10" s="97" t="str"/>
      <x:c r="J10" s="97" t="str"/>
      <x:c r="K10" s="97" t="str"/>
      <x:c r="L10" s="97" t="str">
        <x:v>No verified portrait was present in the repository or canonical evidence ledger at audit time.</x:v>
      </x:c>
    </x:row>
    <x:row r="11">
      <x:c r="A11" s="97" t="str">
        <x:v>person</x:v>
      </x:c>
      <x:c r="B11" s="97" t="str">
        <x:v>I010</x:v>
      </x:c>
      <x:c r="C11" s="97" t="str">
        <x:v>Henrietta Kleitz</x:v>
      </x:c>
      <x:c r="D11" s="97" t="str">
        <x:v>no_verified_photo_archived</x:v>
      </x:c>
      <x:c r="E11" s="97" t="str"/>
      <x:c r="F11" s="97" t="str"/>
      <x:c r="G11" s="97" t="str">
        <x:v>I010</x:v>
      </x:c>
      <x:c r="H11" s="97" t="str"/>
      <x:c r="I11" s="97" t="str"/>
      <x:c r="J11" s="97" t="str"/>
      <x:c r="K11" s="97" t="str"/>
      <x:c r="L11" s="97" t="str">
        <x:v>No verified portrait was present in the repository or canonical evidence ledger at audit time.</x:v>
      </x:c>
    </x:row>
    <x:row r="12">
      <x:c r="A12" s="97" t="str">
        <x:v>person</x:v>
      </x:c>
      <x:c r="B12" s="97" t="str">
        <x:v>I013</x:v>
      </x:c>
      <x:c r="C12" s="97" t="str">
        <x:v>Elmer Ellsworth Lee</x:v>
      </x:c>
      <x:c r="D12" s="97" t="str">
        <x:v>no_verified_photo_archived</x:v>
      </x:c>
      <x:c r="E12" s="97" t="str"/>
      <x:c r="F12" s="97" t="str"/>
      <x:c r="G12" s="97" t="str">
        <x:v>I013</x:v>
      </x:c>
      <x:c r="H12" s="97" t="str"/>
      <x:c r="I12" s="97" t="str"/>
      <x:c r="J12" s="97" t="str"/>
      <x:c r="K12" s="97" t="str"/>
      <x:c r="L12" s="97" t="str">
        <x:v>No verified portrait was present in the repository or canonical evidence ledger at audit time.</x:v>
      </x:c>
    </x:row>
    <x:row r="13">
      <x:c r="A13" s="97" t="str">
        <x:v>person</x:v>
      </x:c>
      <x:c r="B13" s="97" t="str">
        <x:v>I014</x:v>
      </x:c>
      <x:c r="C13" s="97" t="str">
        <x:v>Mary Wilhelmina Ohmer</x:v>
      </x:c>
      <x:c r="D13" s="97" t="str">
        <x:v>no_verified_photo_archived</x:v>
      </x:c>
      <x:c r="E13" s="97" t="str"/>
      <x:c r="F13" s="97" t="str"/>
      <x:c r="G13" s="97" t="str">
        <x:v>I014</x:v>
      </x:c>
      <x:c r="H13" s="97" t="str"/>
      <x:c r="I13" s="97" t="str"/>
      <x:c r="J13" s="97" t="str"/>
      <x:c r="K13" s="97" t="str"/>
      <x:c r="L13" s="97" t="str">
        <x:v>No verified portrait was present in the repository or canonical evidence ledger at audit time.</x:v>
      </x:c>
    </x:row>
    <x:row r="14">
      <x:c r="A14" s="97" t="str">
        <x:v>person</x:v>
      </x:c>
      <x:c r="B14" s="97" t="str">
        <x:v>I017</x:v>
      </x:c>
      <x:c r="C14" s="97" t="str">
        <x:v>Lorenz Muller</x:v>
      </x:c>
      <x:c r="D14" s="97" t="str">
        <x:v>no_verified_photo_archived</x:v>
      </x:c>
      <x:c r="E14" s="97" t="str"/>
      <x:c r="F14" s="97" t="str"/>
      <x:c r="G14" s="97" t="str">
        <x:v>I017</x:v>
      </x:c>
      <x:c r="H14" s="97" t="str"/>
      <x:c r="I14" s="97" t="str"/>
      <x:c r="J14" s="97" t="str"/>
      <x:c r="K14" s="97" t="str"/>
      <x:c r="L14" s="97" t="str">
        <x:v>No verified portrait was present in the repository or canonical evidence ledger at audit time.</x:v>
      </x:c>
    </x:row>
    <x:row r="15">
      <x:c r="A15" s="97" t="str">
        <x:v>person</x:v>
      </x:c>
      <x:c r="B15" s="97" t="str">
        <x:v>I018</x:v>
      </x:c>
      <x:c r="C15" s="97" t="str">
        <x:v>Pauline Vollrath</x:v>
      </x:c>
      <x:c r="D15" s="97" t="str">
        <x:v>no_verified_photo_archived</x:v>
      </x:c>
      <x:c r="E15" s="97" t="str"/>
      <x:c r="F15" s="97" t="str"/>
      <x:c r="G15" s="97" t="str">
        <x:v>I018</x:v>
      </x:c>
      <x:c r="H15" s="97" t="str"/>
      <x:c r="I15" s="97" t="str"/>
      <x:c r="J15" s="97" t="str"/>
      <x:c r="K15" s="97" t="str"/>
      <x:c r="L15" s="97" t="str">
        <x:v>No verified portrait was present in the repository or canonical evidence ledger at audit time.</x:v>
      </x:c>
    </x:row>
    <x:row r="16">
      <x:c r="A16" s="97" t="str">
        <x:v>person</x:v>
      </x:c>
      <x:c r="B16" s="97" t="str">
        <x:v>I019</x:v>
      </x:c>
      <x:c r="C16" s="97" t="str">
        <x:v>Lambert Kleitz</x:v>
      </x:c>
      <x:c r="D16" s="97" t="str">
        <x:v>no_verified_photo_archived</x:v>
      </x:c>
      <x:c r="E16" s="97" t="str"/>
      <x:c r="F16" s="97" t="str"/>
      <x:c r="G16" s="97" t="str">
        <x:v>I019</x:v>
      </x:c>
      <x:c r="H16" s="97" t="str"/>
      <x:c r="I16" s="97" t="str"/>
      <x:c r="J16" s="97" t="str"/>
      <x:c r="K16" s="97" t="str"/>
      <x:c r="L16" s="97" t="str">
        <x:v>No verified portrait was present in the repository or canonical evidence ledger at audit time.</x:v>
      </x:c>
    </x:row>
    <x:row r="17">
      <x:c r="A17" s="97" t="str">
        <x:v>person</x:v>
      </x:c>
      <x:c r="B17" s="97" t="str">
        <x:v>I020</x:v>
      </x:c>
      <x:c r="C17" s="97" t="str">
        <x:v>Elizabeth Wüst</x:v>
      </x:c>
      <x:c r="D17" s="97" t="str">
        <x:v>no_verified_photo_archived</x:v>
      </x:c>
      <x:c r="E17" s="97" t="str"/>
      <x:c r="F17" s="97" t="str"/>
      <x:c r="G17" s="97" t="str">
        <x:v>I020</x:v>
      </x:c>
      <x:c r="H17" s="97" t="str"/>
      <x:c r="I17" s="97" t="str"/>
      <x:c r="J17" s="97" t="str"/>
      <x:c r="K17" s="97" t="str"/>
      <x:c r="L17" s="97" t="str">
        <x:v>No verified portrait was present in the repository or canonical evidence ledger at audit time.</x:v>
      </x:c>
    </x:row>
    <x:row r="18">
      <x:c r="A18" s="97" t="str">
        <x:v>person</x:v>
      </x:c>
      <x:c r="B18" s="97" t="str">
        <x:v>I021</x:v>
      </x:c>
      <x:c r="C18" s="97" t="str">
        <x:v>Jacob Wüst</x:v>
      </x:c>
      <x:c r="D18" s="97" t="str">
        <x:v>no_verified_photo_archived</x:v>
      </x:c>
      <x:c r="E18" s="97" t="str"/>
      <x:c r="F18" s="97" t="str"/>
      <x:c r="G18" s="97" t="str">
        <x:v>I021</x:v>
      </x:c>
      <x:c r="H18" s="97" t="str"/>
      <x:c r="I18" s="97" t="str"/>
      <x:c r="J18" s="97" t="str"/>
      <x:c r="K18" s="97" t="str"/>
      <x:c r="L18" s="97" t="str">
        <x:v>No verified portrait was present in the repository or canonical evidence ledger at audit time.</x:v>
      </x:c>
    </x:row>
    <x:row r="19">
      <x:c r="A19" s="97" t="str">
        <x:v>person</x:v>
      </x:c>
      <x:c r="B19" s="97" t="str">
        <x:v>I022</x:v>
      </x:c>
      <x:c r="C19" s="97" t="str">
        <x:v>Hubbard Stone Lee</x:v>
      </x:c>
      <x:c r="D19" s="97" t="str">
        <x:v>no_verified_photo_archived</x:v>
      </x:c>
      <x:c r="E19" s="97" t="str"/>
      <x:c r="F19" s="97" t="str"/>
      <x:c r="G19" s="97" t="str">
        <x:v>I022</x:v>
      </x:c>
      <x:c r="H19" s="97" t="str"/>
      <x:c r="I19" s="97" t="str"/>
      <x:c r="J19" s="97" t="str"/>
      <x:c r="K19" s="97" t="str"/>
      <x:c r="L19" s="97" t="str">
        <x:v>No verified portrait was present in the repository or canonical evidence ledger at audit time.</x:v>
      </x:c>
    </x:row>
    <x:row r="20">
      <x:c r="A20" s="97" t="str">
        <x:v>person</x:v>
      </x:c>
      <x:c r="B20" s="97" t="str">
        <x:v>I023</x:v>
      </x:c>
      <x:c r="C20" s="97" t="str">
        <x:v>Sarah M. Willitts</x:v>
      </x:c>
      <x:c r="D20" s="97" t="str">
        <x:v>no_verified_photo_archived</x:v>
      </x:c>
      <x:c r="E20" s="97" t="str"/>
      <x:c r="F20" s="97" t="str"/>
      <x:c r="G20" s="97" t="str">
        <x:v>I023</x:v>
      </x:c>
      <x:c r="H20" s="97" t="str"/>
      <x:c r="I20" s="97" t="str"/>
      <x:c r="J20" s="97" t="str"/>
      <x:c r="K20" s="97" t="str"/>
      <x:c r="L20" s="97" t="str">
        <x:v>No verified portrait was present in the repository or canonical evidence ledger at audit time.</x:v>
      </x:c>
    </x:row>
    <x:row r="21">
      <x:c r="A21" s="97" t="str">
        <x:v>person</x:v>
      </x:c>
      <x:c r="B21" s="97" t="str">
        <x:v>I024</x:v>
      </x:c>
      <x:c r="C21" s="97" t="str">
        <x:v>Elon Lee</x:v>
      </x:c>
      <x:c r="D21" s="97" t="str">
        <x:v>no_verified_photo_archived</x:v>
      </x:c>
      <x:c r="E21" s="97" t="str"/>
      <x:c r="F21" s="97" t="str"/>
      <x:c r="G21" s="97" t="str">
        <x:v>I024</x:v>
      </x:c>
      <x:c r="H21" s="97" t="str"/>
      <x:c r="I21" s="97" t="str"/>
      <x:c r="J21" s="97" t="str"/>
      <x:c r="K21" s="97" t="str"/>
      <x:c r="L21" s="97" t="str">
        <x:v>No verified portrait was present in the repository or canonical evidence ledger at audit time.</x:v>
      </x:c>
    </x:row>
    <x:row r="22">
      <x:c r="A22" s="97" t="str">
        <x:v>person</x:v>
      </x:c>
      <x:c r="B22" s="97" t="str">
        <x:v>I025</x:v>
      </x:c>
      <x:c r="C22" s="97" t="str">
        <x:v>Grace Stone</x:v>
      </x:c>
      <x:c r="D22" s="97" t="str">
        <x:v>no_verified_photo_archived</x:v>
      </x:c>
      <x:c r="E22" s="97" t="str"/>
      <x:c r="F22" s="97" t="str"/>
      <x:c r="G22" s="97" t="str">
        <x:v>I025</x:v>
      </x:c>
      <x:c r="H22" s="97" t="str"/>
      <x:c r="I22" s="97" t="str"/>
      <x:c r="J22" s="97" t="str"/>
      <x:c r="K22" s="97" t="str"/>
      <x:c r="L22" s="97" t="str">
        <x:v>No verified portrait was present in the repository or canonical evidence ledger at audit time.</x:v>
      </x:c>
    </x:row>
    <x:row r="23">
      <x:c r="A23" s="97" t="str">
        <x:v>person</x:v>
      </x:c>
      <x:c r="B23" s="97" t="str">
        <x:v>I026</x:v>
      </x:c>
      <x:c r="C23" s="97" t="str">
        <x:v>William Lee</x:v>
      </x:c>
      <x:c r="D23" s="97" t="str">
        <x:v>no_verified_photo_archived</x:v>
      </x:c>
      <x:c r="E23" s="97" t="str"/>
      <x:c r="F23" s="97" t="str"/>
      <x:c r="G23" s="97" t="str">
        <x:v>I026</x:v>
      </x:c>
      <x:c r="H23" s="97" t="str"/>
      <x:c r="I23" s="97" t="str"/>
      <x:c r="J23" s="97" t="str"/>
      <x:c r="K23" s="97" t="str"/>
      <x:c r="L23" s="97" t="str">
        <x:v>No verified portrait was present in the repository or canonical evidence ledger at audit time.</x:v>
      </x:c>
    </x:row>
    <x:row r="24">
      <x:c r="A24" s="97" t="str">
        <x:v>person</x:v>
      </x:c>
      <x:c r="B24" s="97" t="str">
        <x:v>I027</x:v>
      </x:c>
      <x:c r="C24" s="97" t="str">
        <x:v>Eunice Hotchkiss</x:v>
      </x:c>
      <x:c r="D24" s="97" t="str">
        <x:v>no_verified_photo_archived</x:v>
      </x:c>
      <x:c r="E24" s="97" t="str"/>
      <x:c r="F24" s="97" t="str"/>
      <x:c r="G24" s="97" t="str">
        <x:v>I027</x:v>
      </x:c>
      <x:c r="H24" s="97" t="str"/>
      <x:c r="I24" s="97" t="str"/>
      <x:c r="J24" s="97" t="str"/>
      <x:c r="K24" s="97" t="str"/>
      <x:c r="L24" s="97" t="str">
        <x:v>No verified portrait was present in the repository or canonical evidence ledger at audit time.</x:v>
      </x:c>
    </x:row>
    <x:row r="25">
      <x:c r="A25" s="97" t="str">
        <x:v>person</x:v>
      </x:c>
      <x:c r="B25" s="97" t="str">
        <x:v>I028</x:v>
      </x:c>
      <x:c r="C25" s="97" t="str">
        <x:v>John Evarts Stone</x:v>
      </x:c>
      <x:c r="D25" s="97" t="str">
        <x:v>no_verified_photo_archived</x:v>
      </x:c>
      <x:c r="E25" s="97" t="str"/>
      <x:c r="F25" s="97" t="str"/>
      <x:c r="G25" s="97" t="str">
        <x:v>I028</x:v>
      </x:c>
      <x:c r="H25" s="97" t="str"/>
      <x:c r="I25" s="97" t="str"/>
      <x:c r="J25" s="97" t="str"/>
      <x:c r="K25" s="97" t="str"/>
      <x:c r="L25" s="97" t="str">
        <x:v>No verified portrait was present in the repository or canonical evidence ledger at audit time.</x:v>
      </x:c>
    </x:row>
    <x:row r="26">
      <x:c r="A26" s="97" t="str">
        <x:v>person</x:v>
      </x:c>
      <x:c r="B26" s="97" t="str">
        <x:v>I029</x:v>
      </x:c>
      <x:c r="C26" s="97" t="str">
        <x:v>Eunice Goldsmith</x:v>
      </x:c>
      <x:c r="D26" s="97" t="str">
        <x:v>no_verified_photo_archived</x:v>
      </x:c>
      <x:c r="E26" s="97" t="str"/>
      <x:c r="F26" s="97" t="str"/>
      <x:c r="G26" s="97" t="str">
        <x:v>I029</x:v>
      </x:c>
      <x:c r="H26" s="97" t="str"/>
      <x:c r="I26" s="97" t="str"/>
      <x:c r="J26" s="97" t="str"/>
      <x:c r="K26" s="97" t="str"/>
      <x:c r="L26" s="97" t="str">
        <x:v>No verified portrait was present in the repository or canonical evidence ledger at audit time.</x:v>
      </x:c>
    </x:row>
    <x:row r="27">
      <x:c r="A27" s="97" t="str">
        <x:v>person</x:v>
      </x:c>
      <x:c r="B27" s="97" t="str">
        <x:v>I030</x:v>
      </x:c>
      <x:c r="C27" s="97" t="str">
        <x:v>Ebenezer Lee</x:v>
      </x:c>
      <x:c r="D27" s="97" t="str">
        <x:v>no_verified_photo_archived</x:v>
      </x:c>
      <x:c r="E27" s="97" t="str"/>
      <x:c r="F27" s="97" t="str"/>
      <x:c r="G27" s="97" t="str">
        <x:v>I030</x:v>
      </x:c>
      <x:c r="H27" s="97" t="str"/>
      <x:c r="I27" s="97" t="str"/>
      <x:c r="J27" s="97" t="str"/>
      <x:c r="K27" s="97" t="str"/>
      <x:c r="L27" s="97" t="str">
        <x:v>No verified portrait was present in the repository or canonical evidence ledger at audit time.</x:v>
      </x:c>
    </x:row>
    <x:row r="28">
      <x:c r="A28" s="97" t="str">
        <x:v>person</x:v>
      </x:c>
      <x:c r="B28" s="97" t="str">
        <x:v>I031</x:v>
      </x:c>
      <x:c r="C28" s="97" t="str">
        <x:v>Sarah Chidsey</x:v>
      </x:c>
      <x:c r="D28" s="97" t="str">
        <x:v>no_verified_photo_archived</x:v>
      </x:c>
      <x:c r="E28" s="97" t="str"/>
      <x:c r="F28" s="97" t="str"/>
      <x:c r="G28" s="97" t="str">
        <x:v>I031</x:v>
      </x:c>
      <x:c r="H28" s="97" t="str"/>
      <x:c r="I28" s="97" t="str"/>
      <x:c r="J28" s="97" t="str"/>
      <x:c r="K28" s="97" t="str"/>
      <x:c r="L28" s="97" t="str">
        <x:v>No verified portrait was present in the repository or canonical evidence ledger at audit time.</x:v>
      </x:c>
    </x:row>
    <x:row r="29">
      <x:c r="A29" s="97" t="str">
        <x:v>person</x:v>
      </x:c>
      <x:c r="B29" s="97" t="str">
        <x:v>I032</x:v>
      </x:c>
      <x:c r="C29" s="97" t="str">
        <x:v>Mark Hotchkiss</x:v>
      </x:c>
      <x:c r="D29" s="97" t="str">
        <x:v>no_verified_photo_archived</x:v>
      </x:c>
      <x:c r="E29" s="97" t="str"/>
      <x:c r="F29" s="97" t="str"/>
      <x:c r="G29" s="97" t="str">
        <x:v>I032</x:v>
      </x:c>
      <x:c r="H29" s="97" t="str"/>
      <x:c r="I29" s="97" t="str"/>
      <x:c r="J29" s="97" t="str"/>
      <x:c r="K29" s="97" t="str"/>
      <x:c r="L29" s="97" t="str">
        <x:v>No verified portrait was present in the repository or canonical evidence ledger at audit time.</x:v>
      </x:c>
    </x:row>
    <x:row r="30">
      <x:c r="A30" s="97" t="str">
        <x:v>person</x:v>
      </x:c>
      <x:c r="B30" s="97" t="str">
        <x:v>I033</x:v>
      </x:c>
      <x:c r="C30" s="97" t="str">
        <x:v>Miriam Lee</x:v>
      </x:c>
      <x:c r="D30" s="97" t="str">
        <x:v>no_verified_photo_archived</x:v>
      </x:c>
      <x:c r="E30" s="97" t="str"/>
      <x:c r="F30" s="97" t="str"/>
      <x:c r="G30" s="97" t="str">
        <x:v>I033</x:v>
      </x:c>
      <x:c r="H30" s="97" t="str"/>
      <x:c r="I30" s="97" t="str"/>
      <x:c r="J30" s="97" t="str"/>
      <x:c r="K30" s="97" t="str"/>
      <x:c r="L30" s="97" t="str">
        <x:v>No verified portrait was present in the repository or canonical evidence ledger at audit time.</x:v>
      </x:c>
    </x:row>
    <x:row r="31">
      <x:c r="A31" s="97" t="str">
        <x:v>person</x:v>
      </x:c>
      <x:c r="B31" s="97" t="str">
        <x:v>I034</x:v>
      </x:c>
      <x:c r="C31" s="97" t="str">
        <x:v>Asher Stone</x:v>
      </x:c>
      <x:c r="D31" s="97" t="str">
        <x:v>no_verified_photo_archived</x:v>
      </x:c>
      <x:c r="E31" s="97" t="str"/>
      <x:c r="F31" s="97" t="str"/>
      <x:c r="G31" s="97" t="str">
        <x:v>I034</x:v>
      </x:c>
      <x:c r="H31" s="97" t="str"/>
      <x:c r="I31" s="97" t="str"/>
      <x:c r="J31" s="97" t="str"/>
      <x:c r="K31" s="97" t="str"/>
      <x:c r="L31" s="97" t="str">
        <x:v>No verified portrait was present in the repository or canonical evidence ledger at audit time.</x:v>
      </x:c>
    </x:row>
    <x:row r="32">
      <x:c r="A32" s="97" t="str">
        <x:v>person</x:v>
      </x:c>
      <x:c r="B32" s="97" t="str">
        <x:v>I035</x:v>
      </x:c>
      <x:c r="C32" s="97" t="str">
        <x:v>Carine Ward</x:v>
      </x:c>
      <x:c r="D32" s="97" t="str">
        <x:v>no_verified_photo_archived</x:v>
      </x:c>
      <x:c r="E32" s="97" t="str"/>
      <x:c r="F32" s="97" t="str"/>
      <x:c r="G32" s="97" t="str">
        <x:v>I035</x:v>
      </x:c>
      <x:c r="H32" s="97" t="str"/>
      <x:c r="I32" s="97" t="str"/>
      <x:c r="J32" s="97" t="str"/>
      <x:c r="K32" s="97" t="str"/>
      <x:c r="L32" s="97" t="str">
        <x:v>No verified portrait was present in the repository or canonical evidence ledger at audit time.</x:v>
      </x:c>
    </x:row>
    <x:row r="33">
      <x:c r="A33" s="97" t="str">
        <x:v>person</x:v>
      </x:c>
      <x:c r="B33" s="97" t="str">
        <x:v>I036</x:v>
      </x:c>
      <x:c r="C33" s="97" t="str">
        <x:v>Edward Lee</x:v>
      </x:c>
      <x:c r="D33" s="97" t="str">
        <x:v>no_verified_photo_archived</x:v>
      </x:c>
      <x:c r="E33" s="97" t="str"/>
      <x:c r="F33" s="97" t="str"/>
      <x:c r="G33" s="97" t="str">
        <x:v>I036</x:v>
      </x:c>
      <x:c r="H33" s="97" t="str"/>
      <x:c r="I33" s="97" t="str"/>
      <x:c r="J33" s="97" t="str"/>
      <x:c r="K33" s="97" t="str"/>
      <x:c r="L33" s="97" t="str">
        <x:v>No verified portrait was present in the repository or canonical evidence ledger at audit time.</x:v>
      </x:c>
    </x:row>
    <x:row r="34">
      <x:c r="A34" s="97" t="str">
        <x:v>person</x:v>
      </x:c>
      <x:c r="B34" s="97" t="str">
        <x:v>I037</x:v>
      </x:c>
      <x:c r="C34" s="97" t="str">
        <x:v>Abigail Stevens</x:v>
      </x:c>
      <x:c r="D34" s="97" t="str">
        <x:v>no_verified_photo_archived</x:v>
      </x:c>
      <x:c r="E34" s="97" t="str"/>
      <x:c r="F34" s="97" t="str"/>
      <x:c r="G34" s="97" t="str">
        <x:v>I037</x:v>
      </x:c>
      <x:c r="H34" s="97" t="str"/>
      <x:c r="I34" s="97" t="str"/>
      <x:c r="J34" s="97" t="str"/>
      <x:c r="K34" s="97" t="str"/>
      <x:c r="L34" s="97" t="str">
        <x:v>No verified portrait was present in the repository or canonical evidence ledger at audit time.</x:v>
      </x:c>
    </x:row>
    <x:row r="35">
      <x:c r="A35" s="97" t="str">
        <x:v>person</x:v>
      </x:c>
      <x:c r="B35" s="97" t="str">
        <x:v>I038</x:v>
      </x:c>
      <x:c r="C35" s="97" t="str">
        <x:v>Joseph Chidsey</x:v>
      </x:c>
      <x:c r="D35" s="97" t="str">
        <x:v>no_verified_photo_archived</x:v>
      </x:c>
      <x:c r="E35" s="97" t="str"/>
      <x:c r="F35" s="97" t="str"/>
      <x:c r="G35" s="97" t="str">
        <x:v>I038</x:v>
      </x:c>
      <x:c r="H35" s="97" t="str"/>
      <x:c r="I35" s="97" t="str"/>
      <x:c r="J35" s="97" t="str"/>
      <x:c r="K35" s="97" t="str"/>
      <x:c r="L35" s="97" t="str">
        <x:v>No verified portrait was present in the repository or canonical evidence ledger at audit time.</x:v>
      </x:c>
    </x:row>
    <x:row r="36">
      <x:c r="A36" s="97" t="str">
        <x:v>person</x:v>
      </x:c>
      <x:c r="B36" s="97" t="str">
        <x:v>I039</x:v>
      </x:c>
      <x:c r="C36" s="97" t="str">
        <x:v>Joseph Hotchkiss</x:v>
      </x:c>
      <x:c r="D36" s="97" t="str">
        <x:v>no_verified_photo_archived</x:v>
      </x:c>
      <x:c r="E36" s="97" t="str"/>
      <x:c r="F36" s="97" t="str"/>
      <x:c r="G36" s="97" t="str">
        <x:v>I039</x:v>
      </x:c>
      <x:c r="H36" s="97" t="str"/>
      <x:c r="I36" s="97" t="str"/>
      <x:c r="J36" s="97" t="str"/>
      <x:c r="K36" s="97" t="str"/>
      <x:c r="L36" s="97" t="str">
        <x:v>No verified portrait was present in the repository or canonical evidence ledger at audit time.</x:v>
      </x:c>
    </x:row>
    <x:row r="37">
      <x:c r="A37" s="97" t="str">
        <x:v>person</x:v>
      </x:c>
      <x:c r="B37" s="97" t="str">
        <x:v>I040</x:v>
      </x:c>
      <x:c r="C37" s="97" t="str">
        <x:v>Hannah Cruttenden</x:v>
      </x:c>
      <x:c r="D37" s="97" t="str">
        <x:v>no_verified_photo_archived</x:v>
      </x:c>
      <x:c r="E37" s="97" t="str"/>
      <x:c r="F37" s="97" t="str"/>
      <x:c r="G37" s="97" t="str">
        <x:v>I040</x:v>
      </x:c>
      <x:c r="H37" s="97" t="str"/>
      <x:c r="I37" s="97" t="str"/>
      <x:c r="J37" s="97" t="str"/>
      <x:c r="K37" s="97" t="str"/>
      <x:c r="L37" s="97" t="str">
        <x:v>No verified portrait was present in the repository or canonical evidence ledger at audit time.</x:v>
      </x:c>
    </x:row>
    <x:row r="38">
      <x:c r="A38" s="97" t="str">
        <x:v>person</x:v>
      </x:c>
      <x:c r="B38" s="97" t="str">
        <x:v>I041</x:v>
      </x:c>
      <x:c r="C38" s="97" t="str">
        <x:v>Caleb Stone Jr.</x:v>
      </x:c>
      <x:c r="D38" s="97" t="str">
        <x:v>no_verified_photo_archived</x:v>
      </x:c>
      <x:c r="E38" s="97" t="str"/>
      <x:c r="F38" s="97" t="str"/>
      <x:c r="G38" s="97" t="str">
        <x:v>I041</x:v>
      </x:c>
      <x:c r="H38" s="97" t="str"/>
      <x:c r="I38" s="97" t="str"/>
      <x:c r="J38" s="97" t="str"/>
      <x:c r="K38" s="97" t="str"/>
      <x:c r="L38" s="97" t="str">
        <x:v>No verified portrait was present in the repository or canonical evidence ledger at audit time.</x:v>
      </x:c>
    </x:row>
    <x:row r="39">
      <x:c r="A39" s="97" t="str">
        <x:v>person</x:v>
      </x:c>
      <x:c r="B39" s="97" t="str">
        <x:v>I042</x:v>
      </x:c>
      <x:c r="C39" s="97" t="str">
        <x:v>Rebecca Evarts</x:v>
      </x:c>
      <x:c r="D39" s="97" t="str">
        <x:v>no_verified_photo_archived</x:v>
      </x:c>
      <x:c r="E39" s="97" t="str"/>
      <x:c r="F39" s="97" t="str"/>
      <x:c r="G39" s="97" t="str">
        <x:v>I042</x:v>
      </x:c>
      <x:c r="H39" s="97" t="str"/>
      <x:c r="I39" s="97" t="str"/>
      <x:c r="J39" s="97" t="str"/>
      <x:c r="K39" s="97" t="str"/>
      <x:c r="L39" s="97" t="str">
        <x:v>No verified portrait was present in the repository or canonical evidence ledger at audit time.</x:v>
      </x:c>
    </x:row>
    <x:row r="40">
      <x:c r="A40" s="97" t="str">
        <x:v>person</x:v>
      </x:c>
      <x:c r="B40" s="97" t="str">
        <x:v>I043</x:v>
      </x:c>
      <x:c r="C40" s="97" t="str">
        <x:v>William Ward</x:v>
      </x:c>
      <x:c r="D40" s="97" t="str">
        <x:v>no_verified_photo_archived</x:v>
      </x:c>
      <x:c r="E40" s="97" t="str"/>
      <x:c r="F40" s="97" t="str"/>
      <x:c r="G40" s="97" t="str">
        <x:v>I043</x:v>
      </x:c>
      <x:c r="H40" s="97" t="str"/>
      <x:c r="I40" s="97" t="str"/>
      <x:c r="J40" s="97" t="str"/>
      <x:c r="K40" s="97" t="str"/>
      <x:c r="L40" s="97" t="str">
        <x:v>No verified portrait was present in the repository or canonical evidence ledger at audit time.</x:v>
      </x:c>
    </x:row>
    <x:row r="41">
      <x:c r="A41" s="97" t="str">
        <x:v>person</x:v>
      </x:c>
      <x:c r="B41" s="97" t="str">
        <x:v>I044</x:v>
      </x:c>
      <x:c r="C41" s="97" t="str">
        <x:v>Abigail Crampton</x:v>
      </x:c>
      <x:c r="D41" s="97" t="str">
        <x:v>no_verified_photo_archived</x:v>
      </x:c>
      <x:c r="E41" s="97" t="str"/>
      <x:c r="F41" s="97" t="str"/>
      <x:c r="G41" s="97" t="str">
        <x:v>I044</x:v>
      </x:c>
      <x:c r="H41" s="97" t="str"/>
      <x:c r="I41" s="97" t="str"/>
      <x:c r="J41" s="97" t="str"/>
      <x:c r="K41" s="97" t="str"/>
      <x:c r="L41" s="97" t="str">
        <x:v>No verified portrait was present in the repository or canonical evidence ledger at audit time.</x:v>
      </x:c>
    </x:row>
    <x:row r="42">
      <x:c r="A42" s="97" t="str">
        <x:v>person</x:v>
      </x:c>
      <x:c r="B42" s="97" t="str">
        <x:v>I045</x:v>
      </x:c>
      <x:c r="C42" s="97" t="str">
        <x:v>Thomas Stevens</x:v>
      </x:c>
      <x:c r="D42" s="97" t="str">
        <x:v>no_verified_photo_archived</x:v>
      </x:c>
      <x:c r="E42" s="97" t="str"/>
      <x:c r="F42" s="97" t="str"/>
      <x:c r="G42" s="97" t="str">
        <x:v>I045</x:v>
      </x:c>
      <x:c r="H42" s="97" t="str"/>
      <x:c r="I42" s="97" t="str"/>
      <x:c r="J42" s="97" t="str"/>
      <x:c r="K42" s="97" t="str"/>
      <x:c r="L42" s="97" t="str">
        <x:v>No verified portrait was present in the repository or canonical evidence ledger at audit time.</x:v>
      </x:c>
    </x:row>
    <x:row r="43">
      <x:c r="A43" s="97" t="str">
        <x:v>person</x:v>
      </x:c>
      <x:c r="B43" s="97" t="str">
        <x:v>I046</x:v>
      </x:c>
      <x:c r="C43" s="97" t="str">
        <x:v>John Hotchkiss</x:v>
      </x:c>
      <x:c r="D43" s="97" t="str">
        <x:v>no_verified_photo_archived</x:v>
      </x:c>
      <x:c r="E43" s="97" t="str"/>
      <x:c r="F43" s="97" t="str"/>
      <x:c r="G43" s="97" t="str">
        <x:v>I046</x:v>
      </x:c>
      <x:c r="H43" s="97" t="str"/>
      <x:c r="I43" s="97" t="str"/>
      <x:c r="J43" s="97" t="str"/>
      <x:c r="K43" s="97" t="str"/>
      <x:c r="L43" s="97" t="str">
        <x:v>No verified portrait was present in the repository or canonical evidence ledger at audit time.</x:v>
      </x:c>
    </x:row>
    <x:row r="44">
      <x:c r="A44" s="97" t="str">
        <x:v>person</x:v>
      </x:c>
      <x:c r="B44" s="97" t="str">
        <x:v>I047</x:v>
      </x:c>
      <x:c r="C44" s="97" t="str">
        <x:v>Elizabeth Peck</x:v>
      </x:c>
      <x:c r="D44" s="97" t="str">
        <x:v>no_verified_photo_archived</x:v>
      </x:c>
      <x:c r="E44" s="97" t="str"/>
      <x:c r="F44" s="97" t="str"/>
      <x:c r="G44" s="97" t="str">
        <x:v>I047</x:v>
      </x:c>
      <x:c r="H44" s="97" t="str"/>
      <x:c r="I44" s="97" t="str"/>
      <x:c r="J44" s="97" t="str"/>
      <x:c r="K44" s="97" t="str"/>
      <x:c r="L44" s="97" t="str">
        <x:v>No verified portrait was present in the repository or canonical evidence ledger at audit time.</x:v>
      </x:c>
    </x:row>
    <x:row r="45">
      <x:c r="A45" s="97" t="str">
        <x:v>person</x:v>
      </x:c>
      <x:c r="B45" s="97" t="str">
        <x:v>I048</x:v>
      </x:c>
      <x:c r="C45" s="97" t="str">
        <x:v>Isaac Cruttenden</x:v>
      </x:c>
      <x:c r="D45" s="97" t="str">
        <x:v>no_verified_photo_archived</x:v>
      </x:c>
      <x:c r="E45" s="97" t="str"/>
      <x:c r="F45" s="97" t="str"/>
      <x:c r="G45" s="97" t="str">
        <x:v>I048</x:v>
      </x:c>
      <x:c r="H45" s="97" t="str"/>
      <x:c r="I45" s="97" t="str"/>
      <x:c r="J45" s="97" t="str"/>
      <x:c r="K45" s="97" t="str"/>
      <x:c r="L45" s="97" t="str">
        <x:v>No verified portrait was present in the repository or canonical evidence ledger at audit time.</x:v>
      </x:c>
    </x:row>
    <x:row r="46">
      <x:c r="A46" s="97" t="str">
        <x:v>person</x:v>
      </x:c>
      <x:c r="B46" s="97" t="str">
        <x:v>I049</x:v>
      </x:c>
      <x:c r="C46" s="97" t="str">
        <x:v>Lydia Thompson</x:v>
      </x:c>
      <x:c r="D46" s="97" t="str">
        <x:v>no_verified_photo_archived</x:v>
      </x:c>
      <x:c r="E46" s="97" t="str"/>
      <x:c r="F46" s="97" t="str"/>
      <x:c r="G46" s="97" t="str">
        <x:v>I049</x:v>
      </x:c>
      <x:c r="H46" s="97" t="str"/>
      <x:c r="I46" s="97" t="str"/>
      <x:c r="J46" s="97" t="str"/>
      <x:c r="K46" s="97" t="str"/>
      <x:c r="L46" s="97" t="str">
        <x:v>No verified portrait was present in the repository or canonical evidence ledger at audit time.</x:v>
      </x:c>
    </x:row>
    <x:row r="47">
      <x:c r="A47" s="97" t="str">
        <x:v>person</x:v>
      </x:c>
      <x:c r="B47" s="97" t="str">
        <x:v>I050</x:v>
      </x:c>
      <x:c r="C47" s="97" t="str">
        <x:v>Caleb Stone</x:v>
      </x:c>
      <x:c r="D47" s="97" t="str">
        <x:v>no_verified_photo_archived</x:v>
      </x:c>
      <x:c r="E47" s="97" t="str"/>
      <x:c r="F47" s="97" t="str"/>
      <x:c r="G47" s="97" t="str">
        <x:v>I050</x:v>
      </x:c>
      <x:c r="H47" s="97" t="str"/>
      <x:c r="I47" s="97" t="str"/>
      <x:c r="J47" s="97" t="str"/>
      <x:c r="K47" s="97" t="str"/>
      <x:c r="L47" s="97" t="str">
        <x:v>No verified portrait was present in the repository or canonical evidence ledger at audit time.</x:v>
      </x:c>
    </x:row>
    <x:row r="48">
      <x:c r="A48" s="97" t="str">
        <x:v>person</x:v>
      </x:c>
      <x:c r="B48" s="97" t="str">
        <x:v>I051</x:v>
      </x:c>
      <x:c r="C48" s="97" t="str">
        <x:v>Sarah Meigs</x:v>
      </x:c>
      <x:c r="D48" s="97" t="str">
        <x:v>no_verified_photo_archived</x:v>
      </x:c>
      <x:c r="E48" s="97" t="str"/>
      <x:c r="F48" s="97" t="str"/>
      <x:c r="G48" s="97" t="str">
        <x:v>I051</x:v>
      </x:c>
      <x:c r="H48" s="97" t="str"/>
      <x:c r="I48" s="97" t="str"/>
      <x:c r="J48" s="97" t="str"/>
      <x:c r="K48" s="97" t="str"/>
      <x:c r="L48" s="97" t="str">
        <x:v>No verified portrait was present in the repository or canonical evidence ledger at audit time.</x:v>
      </x:c>
    </x:row>
    <x:row r="49">
      <x:c r="A49" s="97" t="str">
        <x:v>person</x:v>
      </x:c>
      <x:c r="B49" s="97" t="str">
        <x:v>I052</x:v>
      </x:c>
      <x:c r="C49" s="97" t="str">
        <x:v>James Evarts</x:v>
      </x:c>
      <x:c r="D49" s="97" t="str">
        <x:v>no_verified_photo_archived</x:v>
      </x:c>
      <x:c r="E49" s="97" t="str"/>
      <x:c r="F49" s="97" t="str"/>
      <x:c r="G49" s="97" t="str">
        <x:v>I052</x:v>
      </x:c>
      <x:c r="H49" s="97" t="str"/>
      <x:c r="I49" s="97" t="str"/>
      <x:c r="J49" s="97" t="str"/>
      <x:c r="K49" s="97" t="str"/>
      <x:c r="L49" s="97" t="str">
        <x:v>No verified portrait was present in the repository or canonical evidence ledger at audit time.</x:v>
      </x:c>
    </x:row>
    <x:row r="50">
      <x:c r="A50" s="97" t="str">
        <x:v>person</x:v>
      </x:c>
      <x:c r="B50" s="97" t="str">
        <x:v>I053</x:v>
      </x:c>
      <x:c r="C50" s="97" t="str">
        <x:v>William Ward</x:v>
      </x:c>
      <x:c r="D50" s="97" t="str">
        <x:v>no_verified_photo_archived</x:v>
      </x:c>
      <x:c r="E50" s="97" t="str"/>
      <x:c r="F50" s="97" t="str"/>
      <x:c r="G50" s="97" t="str">
        <x:v>I053</x:v>
      </x:c>
      <x:c r="H50" s="97" t="str"/>
      <x:c r="I50" s="97" t="str"/>
      <x:c r="J50" s="97" t="str"/>
      <x:c r="K50" s="97" t="str"/>
      <x:c r="L50" s="97" t="str">
        <x:v>No verified portrait was present in the repository or canonical evidence ledger at audit time.</x:v>
      </x:c>
    </x:row>
    <x:row r="51">
      <x:c r="A51" s="97" t="str">
        <x:v>person</x:v>
      </x:c>
      <x:c r="B51" s="97" t="str">
        <x:v>I054</x:v>
      </x:c>
      <x:c r="C51" s="97" t="str">
        <x:v>Lettice Beach</x:v>
      </x:c>
      <x:c r="D51" s="97" t="str">
        <x:v>no_verified_photo_archived</x:v>
      </x:c>
      <x:c r="E51" s="97" t="str"/>
      <x:c r="F51" s="97" t="str"/>
      <x:c r="G51" s="97" t="str">
        <x:v>I054</x:v>
      </x:c>
      <x:c r="H51" s="97" t="str"/>
      <x:c r="I51" s="97" t="str"/>
      <x:c r="J51" s="97" t="str"/>
      <x:c r="K51" s="97" t="str"/>
      <x:c r="L51" s="97" t="str">
        <x:v>No verified portrait was present in the repository or canonical evidence ledger at audit time.</x:v>
      </x:c>
    </x:row>
    <x:row r="52">
      <x:c r="A52" s="97" t="str">
        <x:v>person</x:v>
      </x:c>
      <x:c r="B52" s="97" t="str">
        <x:v>I055</x:v>
      </x:c>
      <x:c r="C52" s="97" t="str">
        <x:v>John Crampton</x:v>
      </x:c>
      <x:c r="D52" s="97" t="str">
        <x:v>no_verified_photo_archived</x:v>
      </x:c>
      <x:c r="E52" s="97" t="str"/>
      <x:c r="F52" s="97" t="str"/>
      <x:c r="G52" s="97" t="str">
        <x:v>I055</x:v>
      </x:c>
      <x:c r="H52" s="97" t="str"/>
      <x:c r="I52" s="97" t="str"/>
      <x:c r="J52" s="97" t="str"/>
      <x:c r="K52" s="97" t="str"/>
      <x:c r="L52" s="97" t="str">
        <x:v>No verified portrait was present in the repository or canonical evidence ledger at audit time.</x:v>
      </x:c>
    </x:row>
    <x:row r="53">
      <x:c r="A53" s="97" t="str">
        <x:v>person</x:v>
      </x:c>
      <x:c r="B53" s="97" t="str">
        <x:v>I056</x:v>
      </x:c>
      <x:c r="C53" s="97" t="str">
        <x:v>Hannah Evarts</x:v>
      </x:c>
      <x:c r="D53" s="97" t="str">
        <x:v>no_verified_photo_archived</x:v>
      </x:c>
      <x:c r="E53" s="97" t="str"/>
      <x:c r="F53" s="97" t="str"/>
      <x:c r="G53" s="97" t="str">
        <x:v>I056</x:v>
      </x:c>
      <x:c r="H53" s="97" t="str"/>
      <x:c r="I53" s="97" t="str"/>
      <x:c r="J53" s="97" t="str"/>
      <x:c r="K53" s="97" t="str"/>
      <x:c r="L53" s="97" t="str">
        <x:v>No verified portrait was present in the repository or canonical evidence ledger at audit time.</x:v>
      </x:c>
    </x:row>
    <x:row r="54">
      <x:c r="A54" s="97" t="str">
        <x:v>person</x:v>
      </x:c>
      <x:c r="B54" s="97" t="str">
        <x:v>I057</x:v>
      </x:c>
      <x:c r="C54" s="97" t="str">
        <x:v>Samuel Hotchkiss</x:v>
      </x:c>
      <x:c r="D54" s="97" t="str">
        <x:v>no_verified_photo_archived</x:v>
      </x:c>
      <x:c r="E54" s="97" t="str"/>
      <x:c r="F54" s="97" t="str"/>
      <x:c r="G54" s="97" t="str">
        <x:v>I057</x:v>
      </x:c>
      <x:c r="H54" s="97" t="str"/>
      <x:c r="I54" s="97" t="str"/>
      <x:c r="J54" s="97" t="str"/>
      <x:c r="K54" s="97" t="str"/>
      <x:c r="L54" s="97" t="str">
        <x:v>No verified portrait was present in the repository or canonical evidence ledger at audit time.</x:v>
      </x:c>
    </x:row>
    <x:row r="55">
      <x:c r="A55" s="97" t="str">
        <x:v>person</x:v>
      </x:c>
      <x:c r="B55" s="97" t="str">
        <x:v>I058</x:v>
      </x:c>
      <x:c r="C55" s="97" t="str">
        <x:v>Elizabeth Cleverly</x:v>
      </x:c>
      <x:c r="D55" s="97" t="str">
        <x:v>no_verified_photo_archived</x:v>
      </x:c>
      <x:c r="E55" s="97" t="str"/>
      <x:c r="F55" s="97" t="str"/>
      <x:c r="G55" s="97" t="str">
        <x:v>I058</x:v>
      </x:c>
      <x:c r="H55" s="97" t="str"/>
      <x:c r="I55" s="97" t="str"/>
      <x:c r="J55" s="97" t="str"/>
      <x:c r="K55" s="97" t="str"/>
      <x:c r="L55" s="97" t="str">
        <x:v>No verified portrait was present in the repository or canonical evidence ledger at audit time.</x:v>
      </x:c>
    </x:row>
    <x:row r="56">
      <x:c r="A56" s="97" t="str">
        <x:v>person</x:v>
      </x:c>
      <x:c r="B56" s="97" t="str">
        <x:v>I059</x:v>
      </x:c>
      <x:c r="C56" s="97" t="str">
        <x:v>Abraham Cruttenden</x:v>
      </x:c>
      <x:c r="D56" s="97" t="str">
        <x:v>no_verified_photo_archived</x:v>
      </x:c>
      <x:c r="E56" s="97" t="str"/>
      <x:c r="F56" s="97" t="str"/>
      <x:c r="G56" s="97" t="str">
        <x:v>I059</x:v>
      </x:c>
      <x:c r="H56" s="97" t="str"/>
      <x:c r="I56" s="97" t="str"/>
      <x:c r="J56" s="97" t="str"/>
      <x:c r="K56" s="97" t="str"/>
      <x:c r="L56" s="97" t="str">
        <x:v>No verified portrait was present in the repository or canonical evidence ledger at audit time.</x:v>
      </x:c>
    </x:row>
    <x:row r="57">
      <x:c r="A57" s="97" t="str">
        <x:v>person</x:v>
      </x:c>
      <x:c r="B57" s="97" t="str">
        <x:v>I060</x:v>
      </x:c>
      <x:c r="C57" s="97" t="str">
        <x:v>Mary</x:v>
      </x:c>
      <x:c r="D57" s="97" t="str">
        <x:v>no_verified_photo_archived</x:v>
      </x:c>
      <x:c r="E57" s="97" t="str"/>
      <x:c r="F57" s="97" t="str"/>
      <x:c r="G57" s="97" t="str">
        <x:v>I060</x:v>
      </x:c>
      <x:c r="H57" s="97" t="str"/>
      <x:c r="I57" s="97" t="str"/>
      <x:c r="J57" s="97" t="str"/>
      <x:c r="K57" s="97" t="str"/>
      <x:c r="L57" s="97" t="str">
        <x:v>No verified portrait was present in the repository or canonical evidence ledger at audit time.</x:v>
      </x:c>
    </x:row>
    <x:row r="58">
      <x:c r="A58" s="97" t="str">
        <x:v>person</x:v>
      </x:c>
      <x:c r="B58" s="97" t="str">
        <x:v>I061</x:v>
      </x:c>
      <x:c r="C58" s="97" t="str">
        <x:v>Anthony Thompson</x:v>
      </x:c>
      <x:c r="D58" s="97" t="str">
        <x:v>no_verified_photo_archived</x:v>
      </x:c>
      <x:c r="E58" s="97" t="str"/>
      <x:c r="F58" s="97" t="str"/>
      <x:c r="G58" s="97" t="str">
        <x:v>I061</x:v>
      </x:c>
      <x:c r="H58" s="97" t="str"/>
      <x:c r="I58" s="97" t="str"/>
      <x:c r="J58" s="97" t="str"/>
      <x:c r="K58" s="97" t="str"/>
      <x:c r="L58" s="97" t="str">
        <x:v>No verified portrait was present in the repository or canonical evidence ledger at audit time.</x:v>
      </x:c>
    </x:row>
    <x:row r="59">
      <x:c r="A59" s="97" t="str">
        <x:v>person</x:v>
      </x:c>
      <x:c r="B59" s="97" t="str">
        <x:v>I062</x:v>
      </x:c>
      <x:c r="C59" s="97" t="str">
        <x:v>Katherine</x:v>
      </x:c>
      <x:c r="D59" s="97" t="str">
        <x:v>no_verified_photo_archived</x:v>
      </x:c>
      <x:c r="E59" s="97" t="str"/>
      <x:c r="F59" s="97" t="str"/>
      <x:c r="G59" s="97" t="str">
        <x:v>I062</x:v>
      </x:c>
      <x:c r="H59" s="97" t="str"/>
      <x:c r="I59" s="97" t="str"/>
      <x:c r="J59" s="97" t="str"/>
      <x:c r="K59" s="97" t="str"/>
      <x:c r="L59" s="97" t="str">
        <x:v>No verified portrait was present in the repository or canonical evidence ledger at audit time.</x:v>
      </x:c>
    </x:row>
    <x:row r="60">
      <x:c r="A60" s="97" t="str">
        <x:v>person</x:v>
      </x:c>
      <x:c r="B60" s="97" t="str">
        <x:v>I063</x:v>
      </x:c>
      <x:c r="C60" s="97" t="str">
        <x:v>Nathaniel Stone</x:v>
      </x:c>
      <x:c r="D60" s="97" t="str">
        <x:v>no_verified_photo_archived</x:v>
      </x:c>
      <x:c r="E60" s="97" t="str"/>
      <x:c r="F60" s="97" t="str"/>
      <x:c r="G60" s="97" t="str">
        <x:v>I063</x:v>
      </x:c>
      <x:c r="H60" s="97" t="str"/>
      <x:c r="I60" s="97" t="str"/>
      <x:c r="J60" s="97" t="str"/>
      <x:c r="K60" s="97" t="str"/>
      <x:c r="L60" s="97" t="str">
        <x:v>No verified portrait was present in the repository or canonical evidence ledger at audit time.</x:v>
      </x:c>
    </x:row>
    <x:row r="61">
      <x:c r="A61" s="97" t="str">
        <x:v>person</x:v>
      </x:c>
      <x:c r="B61" s="97" t="str">
        <x:v>I064</x:v>
      </x:c>
      <x:c r="C61" s="97" t="str">
        <x:v>Mary Bartlett</x:v>
      </x:c>
      <x:c r="D61" s="97" t="str">
        <x:v>no_verified_photo_archived</x:v>
      </x:c>
      <x:c r="E61" s="97" t="str"/>
      <x:c r="F61" s="97" t="str"/>
      <x:c r="G61" s="97" t="str">
        <x:v>I064</x:v>
      </x:c>
      <x:c r="H61" s="97" t="str"/>
      <x:c r="I61" s="97" t="str"/>
      <x:c r="J61" s="97" t="str"/>
      <x:c r="K61" s="97" t="str"/>
      <x:c r="L61" s="97" t="str">
        <x:v>No verified portrait was present in the repository or canonical evidence ledger at audit time.</x:v>
      </x:c>
    </x:row>
    <x:row r="62">
      <x:c r="A62" s="97" t="str">
        <x:v>person</x:v>
      </x:c>
      <x:c r="B62" s="97" t="str">
        <x:v>I065</x:v>
      </x:c>
      <x:c r="C62" s="97" t="str">
        <x:v>John Meigs</x:v>
      </x:c>
      <x:c r="D62" s="97" t="str">
        <x:v>no_verified_photo_archived</x:v>
      </x:c>
      <x:c r="E62" s="97" t="str"/>
      <x:c r="F62" s="97" t="str"/>
      <x:c r="G62" s="97" t="str">
        <x:v>I065</x:v>
      </x:c>
      <x:c r="H62" s="97" t="str"/>
      <x:c r="I62" s="97" t="str"/>
      <x:c r="J62" s="97" t="str"/>
      <x:c r="K62" s="97" t="str"/>
      <x:c r="L62" s="97" t="str">
        <x:v>No verified portrait was present in the repository or canonical evidence ledger at audit time.</x:v>
      </x:c>
    </x:row>
    <x:row r="63">
      <x:c r="A63" s="97" t="str">
        <x:v>person</x:v>
      </x:c>
      <x:c r="B63" s="97" t="str">
        <x:v>I066</x:v>
      </x:c>
      <x:c r="C63" s="97" t="str">
        <x:v>Sarah Wilcockson</x:v>
      </x:c>
      <x:c r="D63" s="97" t="str">
        <x:v>no_verified_photo_archived</x:v>
      </x:c>
      <x:c r="E63" s="97" t="str"/>
      <x:c r="F63" s="97" t="str"/>
      <x:c r="G63" s="97" t="str">
        <x:v>I066</x:v>
      </x:c>
      <x:c r="H63" s="97" t="str"/>
      <x:c r="I63" s="97" t="str"/>
      <x:c r="J63" s="97" t="str"/>
      <x:c r="K63" s="97" t="str"/>
      <x:c r="L63" s="97" t="str">
        <x:v>No verified portrait was present in the repository or canonical evidence ledger at audit time.</x:v>
      </x:c>
    </x:row>
    <x:row r="64">
      <x:c r="A64" s="97" t="str">
        <x:v>person</x:v>
      </x:c>
      <x:c r="B64" s="97" t="str">
        <x:v>I067</x:v>
      </x:c>
      <x:c r="C64" s="97" t="str">
        <x:v>Daniel Evarts</x:v>
      </x:c>
      <x:c r="D64" s="97" t="str">
        <x:v>no_verified_photo_archived</x:v>
      </x:c>
      <x:c r="E64" s="97" t="str"/>
      <x:c r="F64" s="97" t="str"/>
      <x:c r="G64" s="97" t="str">
        <x:v>I067</x:v>
      </x:c>
      <x:c r="H64" s="97" t="str"/>
      <x:c r="I64" s="97" t="str"/>
      <x:c r="J64" s="97" t="str"/>
      <x:c r="K64" s="97" t="str"/>
      <x:c r="L64" s="97" t="str">
        <x:v>No verified portrait was present in the repository or canonical evidence ledger at audit time.</x:v>
      </x:c>
    </x:row>
    <x:row r="65">
      <x:c r="A65" s="97" t="str">
        <x:v>person</x:v>
      </x:c>
      <x:c r="B65" s="97" t="str">
        <x:v>I068</x:v>
      </x:c>
      <x:c r="C65" s="97" t="str">
        <x:v>Rebecca Dowd</x:v>
      </x:c>
      <x:c r="D65" s="97" t="str">
        <x:v>no_verified_photo_archived</x:v>
      </x:c>
      <x:c r="E65" s="97" t="str"/>
      <x:c r="F65" s="97" t="str"/>
      <x:c r="G65" s="97" t="str">
        <x:v>I068</x:v>
      </x:c>
      <x:c r="H65" s="97" t="str"/>
      <x:c r="I65" s="97" t="str"/>
      <x:c r="J65" s="97" t="str"/>
      <x:c r="K65" s="97" t="str"/>
      <x:c r="L65" s="97" t="str">
        <x:v>No verified portrait was present in the repository or canonical evidence ledger at audit time.</x:v>
      </x:c>
    </x:row>
    <x:row r="66">
      <x:c r="A66" s="97" t="str">
        <x:v>person</x:v>
      </x:c>
      <x:c r="B66" s="97" t="str">
        <x:v>I069</x:v>
      </x:c>
      <x:c r="C66" s="97" t="str">
        <x:v>Andrew Ward Jr.</x:v>
      </x:c>
      <x:c r="D66" s="97" t="str">
        <x:v>no_verified_photo_archived</x:v>
      </x:c>
      <x:c r="E66" s="97" t="str"/>
      <x:c r="F66" s="97" t="str"/>
      <x:c r="G66" s="97" t="str">
        <x:v>I069</x:v>
      </x:c>
      <x:c r="H66" s="97" t="str"/>
      <x:c r="I66" s="97" t="str"/>
      <x:c r="J66" s="97" t="str"/>
      <x:c r="K66" s="97" t="str"/>
      <x:c r="L66" s="97" t="str">
        <x:v>No verified portrait was present in the repository or canonical evidence ledger at audit time.</x:v>
      </x:c>
    </x:row>
    <x:row r="67">
      <x:c r="A67" s="97" t="str">
        <x:v>person</x:v>
      </x:c>
      <x:c r="B67" s="97" t="str">
        <x:v>I070</x:v>
      </x:c>
      <x:c r="C67" s="97" t="str">
        <x:v>Trial Meigs</x:v>
      </x:c>
      <x:c r="D67" s="97" t="str">
        <x:v>no_verified_photo_archived</x:v>
      </x:c>
      <x:c r="E67" s="97" t="str"/>
      <x:c r="F67" s="97" t="str"/>
      <x:c r="G67" s="97" t="str">
        <x:v>I070</x:v>
      </x:c>
      <x:c r="H67" s="97" t="str"/>
      <x:c r="I67" s="97" t="str"/>
      <x:c r="J67" s="97" t="str"/>
      <x:c r="K67" s="97" t="str"/>
      <x:c r="L67" s="97" t="str">
        <x:v>No verified portrait was present in the repository or canonical evidence ledger at audit time.</x:v>
      </x:c>
    </x:row>
    <x:row r="68">
      <x:c r="A68" s="97" t="str">
        <x:v>person</x:v>
      </x:c>
      <x:c r="B68" s="97" t="str">
        <x:v>I071</x:v>
      </x:c>
      <x:c r="C68" s="97" t="str">
        <x:v>John Beach</x:v>
      </x:c>
      <x:c r="D68" s="97" t="str">
        <x:v>no_verified_photo_archived</x:v>
      </x:c>
      <x:c r="E68" s="97" t="str"/>
      <x:c r="F68" s="97" t="str"/>
      <x:c r="G68" s="97" t="str">
        <x:v>I071</x:v>
      </x:c>
      <x:c r="H68" s="97" t="str"/>
      <x:c r="I68" s="97" t="str"/>
      <x:c r="J68" s="97" t="str"/>
      <x:c r="K68" s="97" t="str"/>
      <x:c r="L68" s="97" t="str">
        <x:v>No verified portrait was present in the repository or canonical evidence ledger at audit time.</x:v>
      </x:c>
    </x:row>
    <x:row r="69">
      <x:c r="A69" s="97" t="str">
        <x:v>person</x:v>
      </x:c>
      <x:c r="B69" s="97" t="str">
        <x:v>I072</x:v>
      </x:c>
      <x:c r="C69" s="97" t="str">
        <x:v>Mary Royce</x:v>
      </x:c>
      <x:c r="D69" s="97" t="str">
        <x:v>no_verified_photo_archived</x:v>
      </x:c>
      <x:c r="E69" s="97" t="str"/>
      <x:c r="F69" s="97" t="str"/>
      <x:c r="G69" s="97" t="str">
        <x:v>I072</x:v>
      </x:c>
      <x:c r="H69" s="97" t="str"/>
      <x:c r="I69" s="97" t="str"/>
      <x:c r="J69" s="97" t="str"/>
      <x:c r="K69" s="97" t="str"/>
      <x:c r="L69" s="97" t="str">
        <x:v>No verified portrait was present in the repository or canonical evidence ledger at audit time.</x:v>
      </x:c>
    </x:row>
    <x:row r="70">
      <x:c r="A70" s="97" t="str">
        <x:v>person</x:v>
      </x:c>
      <x:c r="B70" s="97" t="str">
        <x:v>I073</x:v>
      </x:c>
      <x:c r="C70" s="97" t="str">
        <x:v>John Stone</x:v>
      </x:c>
      <x:c r="D70" s="97" t="str">
        <x:v>no_verified_photo_archived</x:v>
      </x:c>
      <x:c r="E70" s="97" t="str"/>
      <x:c r="F70" s="97" t="str"/>
      <x:c r="G70" s="97" t="str">
        <x:v>I073</x:v>
      </x:c>
      <x:c r="H70" s="97" t="str"/>
      <x:c r="I70" s="97" t="str"/>
      <x:c r="J70" s="97" t="str"/>
      <x:c r="K70" s="97" t="str"/>
      <x:c r="L70" s="97" t="str">
        <x:v>No verified portrait was present in the repository or canonical evidence ledger at audit time.</x:v>
      </x:c>
    </x:row>
    <x:row r="71">
      <x:c r="A71" s="97" t="str">
        <x:v>person</x:v>
      </x:c>
      <x:c r="B71" s="97" t="str">
        <x:v>I074</x:v>
      </x:c>
      <x:c r="C71" s="97" t="str">
        <x:v>Mary</x:v>
      </x:c>
      <x:c r="D71" s="97" t="str">
        <x:v>no_verified_photo_archived</x:v>
      </x:c>
      <x:c r="E71" s="97" t="str"/>
      <x:c r="F71" s="97" t="str"/>
      <x:c r="G71" s="97" t="str">
        <x:v>I074</x:v>
      </x:c>
      <x:c r="H71" s="97" t="str"/>
      <x:c r="I71" s="97" t="str"/>
      <x:c r="J71" s="97" t="str"/>
      <x:c r="K71" s="97" t="str"/>
      <x:c r="L71" s="97" t="str">
        <x:v>No verified portrait was present in the repository or canonical evidence ledger at audit time.</x:v>
      </x:c>
    </x:row>
    <x:row r="72">
      <x:c r="A72" s="97" t="str">
        <x:v>person</x:v>
      </x:c>
      <x:c r="B72" s="97" t="str">
        <x:v>I075</x:v>
      </x:c>
      <x:c r="C72" s="97" t="str">
        <x:v>Vincent Meigs</x:v>
      </x:c>
      <x:c r="D72" s="97" t="str">
        <x:v>no_verified_photo_archived</x:v>
      </x:c>
      <x:c r="E72" s="97" t="str"/>
      <x:c r="F72" s="97" t="str"/>
      <x:c r="G72" s="97" t="str">
        <x:v>I075</x:v>
      </x:c>
      <x:c r="H72" s="97" t="str"/>
      <x:c r="I72" s="97" t="str"/>
      <x:c r="J72" s="97" t="str"/>
      <x:c r="K72" s="97" t="str"/>
      <x:c r="L72" s="97" t="str">
        <x:v>No verified portrait was present in the repository or canonical evidence ledger at audit time.</x:v>
      </x:c>
    </x:row>
    <x:row r="73">
      <x:c r="A73" s="97" t="str">
        <x:v>person</x:v>
      </x:c>
      <x:c r="B73" s="97" t="str">
        <x:v>I076</x:v>
      </x:c>
      <x:c r="C73" s="97" t="str">
        <x:v>Tamasin Fry</x:v>
      </x:c>
      <x:c r="D73" s="97" t="str">
        <x:v>no_verified_photo_archived</x:v>
      </x:c>
      <x:c r="E73" s="97" t="str"/>
      <x:c r="F73" s="97" t="str"/>
      <x:c r="G73" s="97" t="str">
        <x:v>I076</x:v>
      </x:c>
      <x:c r="H73" s="97" t="str"/>
      <x:c r="I73" s="97" t="str"/>
      <x:c r="J73" s="97" t="str"/>
      <x:c r="K73" s="97" t="str"/>
      <x:c r="L73" s="97" t="str">
        <x:v>No verified portrait was present in the repository or canonical evidence ledger at audit time.</x:v>
      </x:c>
    </x:row>
    <x:row r="74">
      <x:c r="A74" s="97" t="str">
        <x:v>person</x:v>
      </x:c>
      <x:c r="B74" s="97" t="str">
        <x:v>I077</x:v>
      </x:c>
      <x:c r="C74" s="97" t="str">
        <x:v>William Wilcockson</x:v>
      </x:c>
      <x:c r="D74" s="97" t="str">
        <x:v>no_verified_photo_archived</x:v>
      </x:c>
      <x:c r="E74" s="97" t="str"/>
      <x:c r="F74" s="97" t="str"/>
      <x:c r="G74" s="97" t="str">
        <x:v>I077</x:v>
      </x:c>
      <x:c r="H74" s="97" t="str"/>
      <x:c r="I74" s="97" t="str"/>
      <x:c r="J74" s="97" t="str"/>
      <x:c r="K74" s="97" t="str"/>
      <x:c r="L74" s="97" t="str">
        <x:v>No verified portrait was present in the repository or canonical evidence ledger at audit time.</x:v>
      </x:c>
    </x:row>
    <x:row r="75">
      <x:c r="A75" s="97" t="str">
        <x:v>person</x:v>
      </x:c>
      <x:c r="B75" s="97" t="str">
        <x:v>I078</x:v>
      </x:c>
      <x:c r="C75" s="97" t="str">
        <x:v>Margaret Harvey</x:v>
      </x:c>
      <x:c r="D75" s="97" t="str">
        <x:v>no_verified_photo_archived</x:v>
      </x:c>
      <x:c r="E75" s="97" t="str"/>
      <x:c r="F75" s="97" t="str"/>
      <x:c r="G75" s="97" t="str">
        <x:v>I078</x:v>
      </x:c>
      <x:c r="H75" s="97" t="str"/>
      <x:c r="I75" s="97" t="str"/>
      <x:c r="J75" s="97" t="str"/>
      <x:c r="K75" s="97" t="str"/>
      <x:c r="L75" s="97" t="str">
        <x:v>No verified portrait was present in the repository or canonical evidence ledger at audit time.</x:v>
      </x:c>
    </x:row>
    <x:row r="76">
      <x:c r="A76" s="97" t="str">
        <x:v>person</x:v>
      </x:c>
      <x:c r="B76" s="97" t="str">
        <x:v>I079</x:v>
      </x:c>
      <x:c r="C76" s="97" t="str">
        <x:v>John Evarts</x:v>
      </x:c>
      <x:c r="D76" s="97" t="str">
        <x:v>no_verified_photo_archived</x:v>
      </x:c>
      <x:c r="E76" s="97" t="str"/>
      <x:c r="F76" s="97" t="str"/>
      <x:c r="G76" s="97" t="str">
        <x:v>I079</x:v>
      </x:c>
      <x:c r="H76" s="97" t="str"/>
      <x:c r="I76" s="97" t="str"/>
      <x:c r="J76" s="97" t="str"/>
      <x:c r="K76" s="97" t="str"/>
      <x:c r="L76" s="97" t="str">
        <x:v>No verified portrait was present in the repository or canonical evidence ledger at audit time.</x:v>
      </x:c>
    </x:row>
    <x:row r="77">
      <x:c r="A77" s="97" t="str">
        <x:v>person</x:v>
      </x:c>
      <x:c r="B77" s="97" t="str">
        <x:v>I080</x:v>
      </x:c>
      <x:c r="C77" s="97" t="str">
        <x:v>Elizabeth</x:v>
      </x:c>
      <x:c r="D77" s="97" t="str">
        <x:v>no_verified_photo_archived</x:v>
      </x:c>
      <x:c r="E77" s="97" t="str"/>
      <x:c r="F77" s="97" t="str"/>
      <x:c r="G77" s="97" t="str">
        <x:v>I080</x:v>
      </x:c>
      <x:c r="H77" s="97" t="str"/>
      <x:c r="I77" s="97" t="str"/>
      <x:c r="J77" s="97" t="str"/>
      <x:c r="K77" s="97" t="str"/>
      <x:c r="L77" s="97" t="str">
        <x:v>No verified portrait was present in the repository or canonical evidence ledger at audit time.</x:v>
      </x:c>
    </x:row>
    <x:row r="78">
      <x:c r="A78" s="97" t="str">
        <x:v>person</x:v>
      </x:c>
      <x:c r="B78" s="97" t="str">
        <x:v>I081</x:v>
      </x:c>
      <x:c r="C78" s="97" t="str">
        <x:v>Henry Dowd</x:v>
      </x:c>
      <x:c r="D78" s="97" t="str">
        <x:v>no_verified_photo_archived</x:v>
      </x:c>
      <x:c r="E78" s="97" t="str"/>
      <x:c r="F78" s="97" t="str"/>
      <x:c r="G78" s="97" t="str">
        <x:v>I081</x:v>
      </x:c>
      <x:c r="H78" s="97" t="str"/>
      <x:c r="I78" s="97" t="str"/>
      <x:c r="J78" s="97" t="str"/>
      <x:c r="K78" s="97" t="str"/>
      <x:c r="L78" s="97" t="str">
        <x:v>No verified portrait was present in the repository or canonical evidence ledger at audit time.</x:v>
      </x:c>
    </x:row>
    <x:row r="79">
      <x:c r="A79" s="97" t="str">
        <x:v>person</x:v>
      </x:c>
      <x:c r="B79" s="97" t="str">
        <x:v>I082</x:v>
      </x:c>
      <x:c r="C79" s="97" t="str">
        <x:v>Andrew Ward</x:v>
      </x:c>
      <x:c r="D79" s="97" t="str">
        <x:v>no_verified_photo_archived</x:v>
      </x:c>
      <x:c r="E79" s="97" t="str"/>
      <x:c r="F79" s="97" t="str"/>
      <x:c r="G79" s="97" t="str">
        <x:v>I082</x:v>
      </x:c>
      <x:c r="H79" s="97" t="str"/>
      <x:c r="I79" s="97" t="str"/>
      <x:c r="J79" s="97" t="str"/>
      <x:c r="K79" s="97" t="str"/>
      <x:c r="L79" s="97" t="str">
        <x:v>No verified portrait was present in the repository or canonical evidence ledger at audit time.</x:v>
      </x:c>
    </x:row>
    <x:row r="80">
      <x:c r="A80" s="97" t="str">
        <x:v>person</x:v>
      </x:c>
      <x:c r="B80" s="97" t="str">
        <x:v>I083</x:v>
      </x:c>
      <x:c r="C80" s="97" t="str">
        <x:v>Hester Sherman</x:v>
      </x:c>
      <x:c r="D80" s="97" t="str">
        <x:v>no_verified_photo_archived</x:v>
      </x:c>
      <x:c r="E80" s="97" t="str"/>
      <x:c r="F80" s="97" t="str"/>
      <x:c r="G80" s="97" t="str">
        <x:v>I083</x:v>
      </x:c>
      <x:c r="H80" s="97" t="str"/>
      <x:c r="I80" s="97" t="str"/>
      <x:c r="J80" s="97" t="str"/>
      <x:c r="K80" s="97" t="str"/>
      <x:c r="L80" s="97" t="str">
        <x:v>No verified portrait was present in the repository or canonical evidence ledger at audit time.</x:v>
      </x:c>
    </x:row>
    <x:row r="81">
      <x:c r="A81" s="97" t="str">
        <x:v>person</x:v>
      </x:c>
      <x:c r="B81" s="97" t="str">
        <x:v>I084</x:v>
      </x:c>
      <x:c r="C81" s="97" t="str">
        <x:v>Thomas Beach</x:v>
      </x:c>
      <x:c r="D81" s="97" t="str">
        <x:v>no_verified_photo_archived</x:v>
      </x:c>
      <x:c r="E81" s="97" t="str"/>
      <x:c r="F81" s="97" t="str"/>
      <x:c r="G81" s="97" t="str">
        <x:v>I084</x:v>
      </x:c>
      <x:c r="H81" s="97" t="str"/>
      <x:c r="I81" s="97" t="str"/>
      <x:c r="J81" s="97" t="str"/>
      <x:c r="K81" s="97" t="str"/>
      <x:c r="L81" s="97" t="str">
        <x:v>No verified portrait was present in the repository or canonical evidence ledger at audit time.</x:v>
      </x:c>
    </x:row>
    <x:row r="82">
      <x:c r="A82" s="97" t="str">
        <x:v>person</x:v>
      </x:c>
      <x:c r="B82" s="97" t="str">
        <x:v>I085</x:v>
      </x:c>
      <x:c r="C82" s="97" t="str">
        <x:v>Sarah Platt</x:v>
      </x:c>
      <x:c r="D82" s="97" t="str">
        <x:v>no_verified_photo_archived</x:v>
      </x:c>
      <x:c r="E82" s="97" t="str"/>
      <x:c r="F82" s="97" t="str"/>
      <x:c r="G82" s="97" t="str">
        <x:v>I085</x:v>
      </x:c>
      <x:c r="H82" s="97" t="str"/>
      <x:c r="I82" s="97" t="str"/>
      <x:c r="J82" s="97" t="str"/>
      <x:c r="K82" s="97" t="str"/>
      <x:c r="L82" s="97" t="str">
        <x:v>No verified portrait was present in the repository or canonical evidence ledger at audit time.</x:v>
      </x:c>
    </x:row>
    <x:row r="83">
      <x:c r="A83" s="97" t="str">
        <x:v>person</x:v>
      </x:c>
      <x:c r="B83" s="97" t="str">
        <x:v>I086</x:v>
      </x:c>
      <x:c r="C83" s="97" t="str">
        <x:v>Jonathan Royce</x:v>
      </x:c>
      <x:c r="D83" s="97" t="str">
        <x:v>no_verified_photo_archived</x:v>
      </x:c>
      <x:c r="E83" s="97" t="str"/>
      <x:c r="F83" s="97" t="str"/>
      <x:c r="G83" s="97" t="str">
        <x:v>I086</x:v>
      </x:c>
      <x:c r="H83" s="97" t="str"/>
      <x:c r="I83" s="97" t="str"/>
      <x:c r="J83" s="97" t="str"/>
      <x:c r="K83" s="97" t="str"/>
      <x:c r="L83" s="97" t="str">
        <x:v>No verified portrait was present in the repository or canonical evidence ledger at audit time.</x:v>
      </x:c>
    </x:row>
    <x:row r="84">
      <x:c r="A84" s="97" t="str">
        <x:v>person</x:v>
      </x:c>
      <x:c r="B84" s="97" t="str">
        <x:v>I087</x:v>
      </x:c>
      <x:c r="C84" s="97" t="str">
        <x:v>Ann Spinning</x:v>
      </x:c>
      <x:c r="D84" s="97" t="str">
        <x:v>no_verified_photo_archived</x:v>
      </x:c>
      <x:c r="E84" s="97" t="str"/>
      <x:c r="F84" s="97" t="str"/>
      <x:c r="G84" s="97" t="str">
        <x:v>I087</x:v>
      </x:c>
      <x:c r="H84" s="97" t="str"/>
      <x:c r="I84" s="97" t="str"/>
      <x:c r="J84" s="97" t="str"/>
      <x:c r="K84" s="97" t="str"/>
      <x:c r="L84" s="97" t="str">
        <x:v>No verified portrait was present in the repository or canonical evidence ledger at audit time.</x:v>
      </x:c>
    </x:row>
    <x:row r="85">
      <x:c r="A85" s="97" t="str">
        <x:v>person</x:v>
      </x:c>
      <x:c r="B85" s="97" t="str">
        <x:v>I088</x:v>
      </x:c>
      <x:c r="C85" s="97" t="str">
        <x:v>James Harvey</x:v>
      </x:c>
      <x:c r="D85" s="97" t="str">
        <x:v>no_verified_photo_archived</x:v>
      </x:c>
      <x:c r="E85" s="97" t="str"/>
      <x:c r="F85" s="97" t="str"/>
      <x:c r="G85" s="97" t="str">
        <x:v>I088</x:v>
      </x:c>
      <x:c r="H85" s="97" t="str"/>
      <x:c r="I85" s="97" t="str"/>
      <x:c r="J85" s="97" t="str"/>
      <x:c r="K85" s="97" t="str"/>
      <x:c r="L85" s="97" t="str">
        <x:v>No verified portrait was present in the repository or canonical evidence ledger at audit time.</x:v>
      </x:c>
    </x:row>
    <x:row r="86">
      <x:c r="A86" s="97" t="str">
        <x:v>person</x:v>
      </x:c>
      <x:c r="B86" s="97" t="str">
        <x:v>I089</x:v>
      </x:c>
      <x:c r="C86" s="97" t="str">
        <x:v>Edmund Sherman</x:v>
      </x:c>
      <x:c r="D86" s="97" t="str">
        <x:v>no_verified_photo_archived</x:v>
      </x:c>
      <x:c r="E86" s="97" t="str"/>
      <x:c r="F86" s="97" t="str"/>
      <x:c r="G86" s="97" t="str">
        <x:v>I089</x:v>
      </x:c>
      <x:c r="H86" s="97" t="str"/>
      <x:c r="I86" s="97" t="str"/>
      <x:c r="J86" s="97" t="str"/>
      <x:c r="K86" s="97" t="str"/>
      <x:c r="L86" s="97" t="str">
        <x:v>No verified portrait was present in the repository or canonical evidence ledger at audit time.</x:v>
      </x:c>
    </x:row>
    <x:row r="87">
      <x:c r="A87" s="97" t="str">
        <x:v>person</x:v>
      </x:c>
      <x:c r="B87" s="97" t="str">
        <x:v>I090</x:v>
      </x:c>
      <x:c r="C87" s="97" t="str">
        <x:v>Grace Makin</x:v>
      </x:c>
      <x:c r="D87" s="97" t="str">
        <x:v>no_verified_photo_archived</x:v>
      </x:c>
      <x:c r="E87" s="97" t="str"/>
      <x:c r="F87" s="97" t="str"/>
      <x:c r="G87" s="97" t="str">
        <x:v>I090</x:v>
      </x:c>
      <x:c r="H87" s="97" t="str"/>
      <x:c r="I87" s="97" t="str"/>
      <x:c r="J87" s="97" t="str"/>
      <x:c r="K87" s="97" t="str"/>
      <x:c r="L87" s="97" t="str">
        <x:v>No verified portrait was present in the repository or canonical evidence ledger at audit time.</x:v>
      </x:c>
    </x:row>
    <x:row r="88">
      <x:c r="A88" s="97" t="str">
        <x:v>person</x:v>
      </x:c>
      <x:c r="B88" s="97" t="str">
        <x:v>I091</x:v>
      </x:c>
      <x:c r="C88" s="97" t="str">
        <x:v>Unknown Beach</x:v>
      </x:c>
      <x:c r="D88" s="97" t="str">
        <x:v>no_verified_photo_archived</x:v>
      </x:c>
      <x:c r="E88" s="97" t="str"/>
      <x:c r="F88" s="97" t="str"/>
      <x:c r="G88" s="97" t="str">
        <x:v>I091</x:v>
      </x:c>
      <x:c r="H88" s="97" t="str"/>
      <x:c r="I88" s="97" t="str"/>
      <x:c r="J88" s="97" t="str"/>
      <x:c r="K88" s="97" t="str"/>
      <x:c r="L88" s="97" t="str">
        <x:v>No verified portrait was present in the repository or canonical evidence ledger at audit time.</x:v>
      </x:c>
    </x:row>
    <x:row r="89">
      <x:c r="A89" s="97" t="str">
        <x:v>person</x:v>
      </x:c>
      <x:c r="B89" s="97" t="str">
        <x:v>I092</x:v>
      </x:c>
      <x:c r="C89" s="97" t="str">
        <x:v>Richard Platt</x:v>
      </x:c>
      <x:c r="D89" s="97" t="str">
        <x:v>no_verified_photo_archived</x:v>
      </x:c>
      <x:c r="E89" s="97" t="str"/>
      <x:c r="F89" s="97" t="str"/>
      <x:c r="G89" s="97" t="str">
        <x:v>I092</x:v>
      </x:c>
      <x:c r="H89" s="97" t="str"/>
      <x:c r="I89" s="97" t="str"/>
      <x:c r="J89" s="97" t="str"/>
      <x:c r="K89" s="97" t="str"/>
      <x:c r="L89" s="97" t="str">
        <x:v>No verified portrait was present in the repository or canonical evidence ledger at audit time.</x:v>
      </x:c>
    </x:row>
    <x:row r="90">
      <x:c r="A90" s="97" t="str">
        <x:v>person</x:v>
      </x:c>
      <x:c r="B90" s="97" t="str">
        <x:v>I093</x:v>
      </x:c>
      <x:c r="C90" s="97" t="str">
        <x:v>Mary Wood</x:v>
      </x:c>
      <x:c r="D90" s="97" t="str">
        <x:v>no_verified_photo_archived</x:v>
      </x:c>
      <x:c r="E90" s="97" t="str"/>
      <x:c r="F90" s="97" t="str"/>
      <x:c r="G90" s="97" t="str">
        <x:v>I093</x:v>
      </x:c>
      <x:c r="H90" s="97" t="str"/>
      <x:c r="I90" s="97" t="str"/>
      <x:c r="J90" s="97" t="str"/>
      <x:c r="K90" s="97" t="str"/>
      <x:c r="L90" s="97" t="str">
        <x:v>No verified portrait was present in the repository or canonical evidence ledger at audit time.</x:v>
      </x:c>
    </x:row>
    <x:row r="91">
      <x:c r="A91" s="97" t="str">
        <x:v>person</x:v>
      </x:c>
      <x:c r="B91" s="97" t="str">
        <x:v>I094</x:v>
      </x:c>
      <x:c r="C91" s="97" t="str">
        <x:v>Robert Royce</x:v>
      </x:c>
      <x:c r="D91" s="97" t="str">
        <x:v>no_verified_photo_archived</x:v>
      </x:c>
      <x:c r="E91" s="97" t="str"/>
      <x:c r="F91" s="97" t="str"/>
      <x:c r="G91" s="97" t="str">
        <x:v>I094</x:v>
      </x:c>
      <x:c r="H91" s="97" t="str"/>
      <x:c r="I91" s="97" t="str"/>
      <x:c r="J91" s="97" t="str"/>
      <x:c r="K91" s="97" t="str"/>
      <x:c r="L91" s="97" t="str">
        <x:v>No verified portrait was present in the repository or canonical evidence ledger at audit time.</x:v>
      </x:c>
    </x:row>
    <x:row r="92">
      <x:c r="A92" s="97" t="str">
        <x:v>person</x:v>
      </x:c>
      <x:c r="B92" s="97" t="str">
        <x:v>I095</x:v>
      </x:c>
      <x:c r="C92" s="97" t="str">
        <x:v>Mary</x:v>
      </x:c>
      <x:c r="D92" s="97" t="str">
        <x:v>no_verified_photo_archived</x:v>
      </x:c>
      <x:c r="E92" s="97" t="str"/>
      <x:c r="F92" s="97" t="str"/>
      <x:c r="G92" s="97" t="str">
        <x:v>I095</x:v>
      </x:c>
      <x:c r="H92" s="97" t="str"/>
      <x:c r="I92" s="97" t="str"/>
      <x:c r="J92" s="97" t="str"/>
      <x:c r="K92" s="97" t="str"/>
      <x:c r="L92" s="97" t="str">
        <x:v>No verified portrait was present in the repository or canonical evidence ledger at audit time.</x:v>
      </x:c>
    </x:row>
    <x:row r="93">
      <x:c r="A93" s="97" t="str">
        <x:v>person</x:v>
      </x:c>
      <x:c r="B93" s="97" t="str">
        <x:v>I096</x:v>
      </x:c>
      <x:c r="C93" s="97" t="str">
        <x:v>Humphrey Spinning</x:v>
      </x:c>
      <x:c r="D93" s="97" t="str">
        <x:v>no_verified_photo_archived</x:v>
      </x:c>
      <x:c r="E93" s="97" t="str"/>
      <x:c r="F93" s="97" t="str"/>
      <x:c r="G93" s="97" t="str">
        <x:v>I096</x:v>
      </x:c>
      <x:c r="H93" s="97" t="str"/>
      <x:c r="I93" s="97" t="str"/>
      <x:c r="J93" s="97" t="str"/>
      <x:c r="K93" s="97" t="str"/>
      <x:c r="L93" s="97" t="str">
        <x:v>No verified portrait was present in the repository or canonical evidence ledger at audit time.</x:v>
      </x:c>
    </x:row>
    <x:row r="94">
      <x:c r="A94" s="97" t="str">
        <x:v>person</x:v>
      </x:c>
      <x:c r="B94" s="97" t="str">
        <x:v>I097</x:v>
      </x:c>
      <x:c r="C94" s="97" t="str">
        <x:v>Edmund Sherman</x:v>
      </x:c>
      <x:c r="D94" s="97" t="str">
        <x:v>no_verified_photo_archived</x:v>
      </x:c>
      <x:c r="E94" s="97" t="str"/>
      <x:c r="F94" s="97" t="str"/>
      <x:c r="G94" s="97" t="str">
        <x:v>I097</x:v>
      </x:c>
      <x:c r="H94" s="97" t="str"/>
      <x:c r="I94" s="97" t="str"/>
      <x:c r="J94" s="97" t="str"/>
      <x:c r="K94" s="97" t="str"/>
      <x:c r="L94" s="97" t="str">
        <x:v>No verified portrait was present in the repository or canonical evidence ledger at audit time.</x:v>
      </x:c>
    </x:row>
    <x:row r="95">
      <x:c r="A95" s="97" t="str">
        <x:v>person</x:v>
      </x:c>
      <x:c r="B95" s="97" t="str">
        <x:v>I098</x:v>
      </x:c>
      <x:c r="C95" s="97" t="str">
        <x:v>Anne Pellett</x:v>
      </x:c>
      <x:c r="D95" s="97" t="str">
        <x:v>no_verified_photo_archived</x:v>
      </x:c>
      <x:c r="E95" s="97" t="str"/>
      <x:c r="F95" s="97" t="str"/>
      <x:c r="G95" s="97" t="str">
        <x:v>I098</x:v>
      </x:c>
      <x:c r="H95" s="97" t="str"/>
      <x:c r="I95" s="97" t="str"/>
      <x:c r="J95" s="97" t="str"/>
      <x:c r="K95" s="97" t="str"/>
      <x:c r="L95" s="97" t="str">
        <x:v>No verified portrait was present in the repository or canonical evidence ledger at audit time.</x:v>
      </x:c>
    </x:row>
    <x:row r="96">
      <x:c r="A96" s="97" t="str">
        <x:v>person</x:v>
      </x:c>
      <x:c r="B96" s="97" t="str">
        <x:v>I099</x:v>
      </x:c>
      <x:c r="C96" s="97" t="str">
        <x:v>Tobias Makin</x:v>
      </x:c>
      <x:c r="D96" s="97" t="str">
        <x:v>no_verified_photo_archived</x:v>
      </x:c>
      <x:c r="E96" s="97" t="str"/>
      <x:c r="F96" s="97" t="str"/>
      <x:c r="G96" s="97" t="str">
        <x:v>I099</x:v>
      </x:c>
      <x:c r="H96" s="97" t="str"/>
      <x:c r="I96" s="97" t="str"/>
      <x:c r="J96" s="97" t="str"/>
      <x:c r="K96" s="97" t="str"/>
      <x:c r="L96" s="97" t="str">
        <x:v>No verified portrait was present in the repository or canonical evidence ledger at audit time.</x:v>
      </x:c>
    </x:row>
    <x:row r="97">
      <x:c r="A97" s="97" t="str">
        <x:v>person</x:v>
      </x:c>
      <x:c r="B97" s="97" t="str">
        <x:v>I100</x:v>
      </x:c>
      <x:c r="C97" s="97" t="str">
        <x:v>Katherine Westbrome</x:v>
      </x:c>
      <x:c r="D97" s="97" t="str">
        <x:v>no_verified_photo_archived</x:v>
      </x:c>
      <x:c r="E97" s="97" t="str"/>
      <x:c r="F97" s="97" t="str"/>
      <x:c r="G97" s="97" t="str">
        <x:v>I100</x:v>
      </x:c>
      <x:c r="H97" s="97" t="str"/>
      <x:c r="I97" s="97" t="str"/>
      <x:c r="J97" s="97" t="str"/>
      <x:c r="K97" s="97" t="str"/>
      <x:c r="L97" s="97" t="str">
        <x:v>No verified portrait was present in the repository or canonical evidence ledger at audit time.</x:v>
      </x:c>
    </x:row>
    <x:row r="98">
      <x:c r="A98" s="97" t="str">
        <x:v>person</x:v>
      </x:c>
      <x:c r="B98" s="97" t="str">
        <x:v>I101</x:v>
      </x:c>
      <x:c r="C98" s="97" t="str">
        <x:v>George Platt</x:v>
      </x:c>
      <x:c r="D98" s="97" t="str">
        <x:v>no_verified_photo_archived</x:v>
      </x:c>
      <x:c r="E98" s="97" t="str"/>
      <x:c r="F98" s="97" t="str"/>
      <x:c r="G98" s="97" t="str">
        <x:v>I101</x:v>
      </x:c>
      <x:c r="H98" s="97" t="str"/>
      <x:c r="I98" s="97" t="str"/>
      <x:c r="J98" s="97" t="str"/>
      <x:c r="K98" s="97" t="str"/>
      <x:c r="L98" s="97" t="str">
        <x:v>No verified portrait was present in the repository or canonical evidence ledger at audit time.</x:v>
      </x:c>
    </x:row>
    <x:row r="99">
      <x:c r="A99" s="97" t="str">
        <x:v>person</x:v>
      </x:c>
      <x:c r="B99" s="97" t="str">
        <x:v>I102</x:v>
      </x:c>
      <x:c r="C99" s="97" t="str">
        <x:v>Mary</x:v>
      </x:c>
      <x:c r="D99" s="97" t="str">
        <x:v>no_verified_photo_archived</x:v>
      </x:c>
      <x:c r="E99" s="97" t="str"/>
      <x:c r="F99" s="97" t="str"/>
      <x:c r="G99" s="97" t="str">
        <x:v>I102</x:v>
      </x:c>
      <x:c r="H99" s="97" t="str"/>
      <x:c r="I99" s="97" t="str"/>
      <x:c r="J99" s="97" t="str"/>
      <x:c r="K99" s="97" t="str"/>
      <x:c r="L99" s="97" t="str">
        <x:v>No verified portrait was present in the repository or canonical evidence ledger at audit time.</x:v>
      </x:c>
    </x:row>
    <x:row r="100">
      <x:c r="A100" s="97" t="str">
        <x:v>person</x:v>
      </x:c>
      <x:c r="B100" s="97" t="str">
        <x:v>I103</x:v>
      </x:c>
      <x:c r="C100" s="97" t="str">
        <x:v>John Wood</x:v>
      </x:c>
      <x:c r="D100" s="97" t="str">
        <x:v>no_verified_photo_archived</x:v>
      </x:c>
      <x:c r="E100" s="97" t="str"/>
      <x:c r="F100" s="97" t="str"/>
      <x:c r="G100" s="97" t="str">
        <x:v>I103</x:v>
      </x:c>
      <x:c r="H100" s="97" t="str"/>
      <x:c r="I100" s="97" t="str"/>
      <x:c r="J100" s="97" t="str"/>
      <x:c r="K100" s="97" t="str"/>
      <x:c r="L100" s="97" t="str">
        <x:v>No verified portrait was present in the repository or canonical evidence ledger at audit time.</x:v>
      </x:c>
    </x:row>
    <x:row r="101">
      <x:c r="A101" s="97" t="str">
        <x:v>person</x:v>
      </x:c>
      <x:c r="B101" s="97" t="str">
        <x:v>I104</x:v>
      </x:c>
      <x:c r="C101" s="97" t="str">
        <x:v>Jane</x:v>
      </x:c>
      <x:c r="D101" s="97" t="str">
        <x:v>no_verified_photo_archived</x:v>
      </x:c>
      <x:c r="E101" s="97" t="str"/>
      <x:c r="F101" s="97" t="str"/>
      <x:c r="G101" s="97" t="str">
        <x:v>I104</x:v>
      </x:c>
      <x:c r="H101" s="97" t="str"/>
      <x:c r="I101" s="97" t="str"/>
      <x:c r="J101" s="97" t="str"/>
      <x:c r="K101" s="97" t="str"/>
      <x:c r="L101" s="97" t="str">
        <x:v>No verified portrait was present in the repository or canonical evidence ledger at audit time.</x:v>
      </x:c>
    </x:row>
    <x:row r="102">
      <x:c r="A102" s="97" t="str">
        <x:v>person</x:v>
      </x:c>
      <x:c r="B102" s="97" t="str">
        <x:v>I105</x:v>
      </x:c>
      <x:c r="C102" s="97" t="str">
        <x:v>Henry Sherman</x:v>
      </x:c>
      <x:c r="D102" s="97" t="str">
        <x:v>no_verified_photo_archived</x:v>
      </x:c>
      <x:c r="E102" s="97" t="str"/>
      <x:c r="F102" s="97" t="str"/>
      <x:c r="G102" s="97" t="str">
        <x:v>I105</x:v>
      </x:c>
      <x:c r="H102" s="97" t="str"/>
      <x:c r="I102" s="97" t="str"/>
      <x:c r="J102" s="97" t="str"/>
      <x:c r="K102" s="97" t="str"/>
      <x:c r="L102" s="97" t="str">
        <x:v>No verified portrait was present in the repository or canonical evidence ledger at audit time.</x:v>
      </x:c>
    </x:row>
    <x:row r="103">
      <x:c r="A103" s="97" t="str">
        <x:v>person</x:v>
      </x:c>
      <x:c r="B103" s="97" t="str">
        <x:v>I106</x:v>
      </x:c>
      <x:c r="C103" s="97" t="str">
        <x:v>Agnes</x:v>
      </x:c>
      <x:c r="D103" s="97" t="str">
        <x:v>no_verified_photo_archived</x:v>
      </x:c>
      <x:c r="E103" s="97" t="str"/>
      <x:c r="F103" s="97" t="str"/>
      <x:c r="G103" s="97" t="str">
        <x:v>I106</x:v>
      </x:c>
      <x:c r="H103" s="97" t="str"/>
      <x:c r="I103" s="97" t="str"/>
      <x:c r="J103" s="97" t="str"/>
      <x:c r="K103" s="97" t="str"/>
      <x:c r="L103" s="97" t="str">
        <x:v>No verified portrait was present in the repository or canonical evidence ledger at audit time.</x:v>
      </x:c>
    </x:row>
    <x:row r="104">
      <x:c r="A104" s="97" t="str">
        <x:v>person</x:v>
      </x:c>
      <x:c r="B104" s="97" t="str">
        <x:v>I107</x:v>
      </x:c>
      <x:c r="C104" s="97" t="str">
        <x:v>William Pellett</x:v>
      </x:c>
      <x:c r="D104" s="97" t="str">
        <x:v>no_verified_photo_archived</x:v>
      </x:c>
      <x:c r="E104" s="97" t="str"/>
      <x:c r="F104" s="97" t="str"/>
      <x:c r="G104" s="97" t="str">
        <x:v>I107</x:v>
      </x:c>
      <x:c r="H104" s="97" t="str"/>
      <x:c r="I104" s="97" t="str"/>
      <x:c r="J104" s="97" t="str"/>
      <x:c r="K104" s="97" t="str"/>
      <x:c r="L104" s="97" t="str">
        <x:v>No verified portrait was present in the repository or canonical evidence ledger at audit time.</x:v>
      </x:c>
    </x:row>
    <x:row r="105">
      <x:c r="A105" s="97" t="str">
        <x:v>person</x:v>
      </x:c>
      <x:c r="B105" s="97" t="str">
        <x:v>I108</x:v>
      </x:c>
      <x:c r="C105" s="97" t="str">
        <x:v>John Makin</x:v>
      </x:c>
      <x:c r="D105" s="97" t="str">
        <x:v>no_verified_photo_archived</x:v>
      </x:c>
      <x:c r="E105" s="97" t="str"/>
      <x:c r="F105" s="97" t="str"/>
      <x:c r="G105" s="97" t="str">
        <x:v>I108</x:v>
      </x:c>
      <x:c r="H105" s="97" t="str"/>
      <x:c r="I105" s="97" t="str"/>
      <x:c r="J105" s="97" t="str"/>
      <x:c r="K105" s="97" t="str"/>
      <x:c r="L105" s="97" t="str">
        <x:v>No verified portrait was present in the repository or canonical evidence ledger at audit time.</x:v>
      </x:c>
    </x:row>
    <x:row r="106">
      <x:c r="A106" s="97" t="str">
        <x:v>person</x:v>
      </x:c>
      <x:c r="B106" s="97" t="str">
        <x:v>I109</x:v>
      </x:c>
      <x:c r="C106" s="97" t="str">
        <x:v>Agnes</x:v>
      </x:c>
      <x:c r="D106" s="97" t="str">
        <x:v>no_verified_photo_archived</x:v>
      </x:c>
      <x:c r="E106" s="97" t="str"/>
      <x:c r="F106" s="97" t="str"/>
      <x:c r="G106" s="97" t="str">
        <x:v>I109</x:v>
      </x:c>
      <x:c r="H106" s="97" t="str"/>
      <x:c r="I106" s="97" t="str"/>
      <x:c r="J106" s="97" t="str"/>
      <x:c r="K106" s="97" t="str"/>
      <x:c r="L106" s="97" t="str">
        <x:v>No verified portrait was present in the repository or canonical evidence ledger at audit time.</x:v>
      </x:c>
    </x:row>
    <x:row r="107">
      <x:c r="A107" s="97" t="str">
        <x:v>person</x:v>
      </x:c>
      <x:c r="B107" s="97" t="str">
        <x:v>I110</x:v>
      </x:c>
      <x:c r="C107" s="97" t="str">
        <x:v>Thomas Westbrome</x:v>
      </x:c>
      <x:c r="D107" s="97" t="str">
        <x:v>no_verified_photo_archived</x:v>
      </x:c>
      <x:c r="E107" s="97" t="str"/>
      <x:c r="F107" s="97" t="str"/>
      <x:c r="G107" s="97" t="str">
        <x:v>I110</x:v>
      </x:c>
      <x:c r="H107" s="97" t="str"/>
      <x:c r="I107" s="97" t="str"/>
      <x:c r="J107" s="97" t="str"/>
      <x:c r="K107" s="97" t="str"/>
      <x:c r="L107" s="97" t="str">
        <x:v>No verified portrait was present in the repository or canonical evidence ledger at audit time.</x:v>
      </x:c>
    </x:row>
    <x:row r="108">
      <x:c r="A108" s="97" t="str">
        <x:v>person</x:v>
      </x:c>
      <x:c r="B108" s="97" t="str">
        <x:v>I111</x:v>
      </x:c>
      <x:c r="C108" s="97" t="str">
        <x:v>Elizabeth</x:v>
      </x:c>
      <x:c r="D108" s="97" t="str">
        <x:v>no_verified_photo_archived</x:v>
      </x:c>
      <x:c r="E108" s="97" t="str"/>
      <x:c r="F108" s="97" t="str"/>
      <x:c r="G108" s="97" t="str">
        <x:v>I111</x:v>
      </x:c>
      <x:c r="H108" s="97" t="str"/>
      <x:c r="I108" s="97" t="str"/>
      <x:c r="J108" s="97" t="str"/>
      <x:c r="K108" s="97" t="str"/>
      <x:c r="L108" s="97" t="str">
        <x:v>No verified portrait was present in the repository or canonical evidence ledger at audit time.</x:v>
      </x:c>
    </x:row>
    <x:row r="109">
      <x:c r="A109" s="97" t="str">
        <x:v>person</x:v>
      </x:c>
      <x:c r="B109" s="97" t="str">
        <x:v>I112</x:v>
      </x:c>
      <x:c r="C109" s="97" t="str">
        <x:v>Simon Platt</x:v>
      </x:c>
      <x:c r="D109" s="97" t="str">
        <x:v>no_verified_photo_archived</x:v>
      </x:c>
      <x:c r="E109" s="97" t="str"/>
      <x:c r="F109" s="97" t="str"/>
      <x:c r="G109" s="97" t="str">
        <x:v>I112</x:v>
      </x:c>
      <x:c r="H109" s="97" t="str"/>
      <x:c r="I109" s="97" t="str"/>
      <x:c r="J109" s="97" t="str"/>
      <x:c r="K109" s="97" t="str"/>
      <x:c r="L109" s="97" t="str">
        <x:v>No verified portrait was present in the repository or canonical evidence ledger at audit time.</x:v>
      </x:c>
    </x:row>
    <x:row r="110">
      <x:c r="A110" s="97" t="str">
        <x:v>person</x:v>
      </x:c>
      <x:c r="B110" s="97" t="str">
        <x:v>I113</x:v>
      </x:c>
      <x:c r="C110" s="97" t="str">
        <x:v>Elizabeth</x:v>
      </x:c>
      <x:c r="D110" s="97" t="str">
        <x:v>no_verified_photo_archived</x:v>
      </x:c>
      <x:c r="E110" s="97" t="str"/>
      <x:c r="F110" s="97" t="str"/>
      <x:c r="G110" s="97" t="str">
        <x:v>I113</x:v>
      </x:c>
      <x:c r="H110" s="97" t="str"/>
      <x:c r="I110" s="97" t="str"/>
      <x:c r="J110" s="97" t="str"/>
      <x:c r="K110" s="97" t="str"/>
      <x:c r="L110" s="97" t="str">
        <x:v>No verified portrait was present in the repository or canonical evidence ledger at audit time.</x:v>
      </x:c>
    </x:row>
    <x:row r="111">
      <x:c r="A111" s="97" t="str">
        <x:v>person</x:v>
      </x:c>
      <x:c r="B111" s="97" t="str">
        <x:v>I114</x:v>
      </x:c>
      <x:c r="C111" s="97" t="str">
        <x:v>Charles Ellsworth McCormick I</x:v>
      </x:c>
      <x:c r="D111" s="97" t="str">
        <x:v>no_verified_photo_archived</x:v>
      </x:c>
      <x:c r="E111" s="97" t="str"/>
      <x:c r="F111" s="97" t="str"/>
      <x:c r="G111" s="97" t="str">
        <x:v>I114</x:v>
      </x:c>
      <x:c r="H111" s="97" t="str"/>
      <x:c r="I111" s="97" t="str"/>
      <x:c r="J111" s="97" t="str"/>
      <x:c r="K111" s="97" t="str"/>
      <x:c r="L111" s="97" t="str">
        <x:v>No verified portrait was present in the repository or canonical evidence ledger at audit time.</x:v>
      </x:c>
    </x:row>
    <x:row r="112">
      <x:c r="A112" s="97" t="str">
        <x:v>person</x:v>
      </x:c>
      <x:c r="B112" s="97" t="str">
        <x:v>I115</x:v>
      </x:c>
      <x:c r="C112" s="97" t="str">
        <x:v>Mary Moore Brooks</x:v>
      </x:c>
      <x:c r="D112" s="97" t="str">
        <x:v>no_verified_photo_archived</x:v>
      </x:c>
      <x:c r="E112" s="97" t="str"/>
      <x:c r="F112" s="97" t="str"/>
      <x:c r="G112" s="97" t="str">
        <x:v>I115</x:v>
      </x:c>
      <x:c r="H112" s="97" t="str"/>
      <x:c r="I112" s="97" t="str"/>
      <x:c r="J112" s="97" t="str"/>
      <x:c r="K112" s="97" t="str"/>
      <x:c r="L112" s="97" t="str">
        <x:v>No verified portrait was present in the repository or canonical evidence ledger at audit time.</x:v>
      </x:c>
    </x:row>
    <x:row r="113">
      <x:c r="A113" s="97" t="str">
        <x:v>person</x:v>
      </x:c>
      <x:c r="B113" s="97" t="str">
        <x:v>I116</x:v>
      </x:c>
      <x:c r="C113" s="97" t="str">
        <x:v>Edward H. McCormick</x:v>
      </x:c>
      <x:c r="D113" s="97" t="str">
        <x:v>no_verified_photo_archived</x:v>
      </x:c>
      <x:c r="E113" s="97" t="str"/>
      <x:c r="F113" s="97" t="str"/>
      <x:c r="G113" s="97" t="str">
        <x:v>I116</x:v>
      </x:c>
      <x:c r="H113" s="97" t="str"/>
      <x:c r="I113" s="97" t="str"/>
      <x:c r="J113" s="97" t="str"/>
      <x:c r="K113" s="97" t="str"/>
      <x:c r="L113" s="97" t="str">
        <x:v>No verified portrait was present in the repository or canonical evidence ledger at audit time.</x:v>
      </x:c>
    </x:row>
    <x:row r="114">
      <x:c r="A114" s="97" t="str">
        <x:v>person</x:v>
      </x:c>
      <x:c r="B114" s="97" t="str">
        <x:v>I117</x:v>
      </x:c>
      <x:c r="C114" s="97" t="str">
        <x:v>Martha Ann Annie O’Brien</x:v>
      </x:c>
      <x:c r="D114" s="97" t="str">
        <x:v>no_verified_photo_archived</x:v>
      </x:c>
      <x:c r="E114" s="97" t="str"/>
      <x:c r="F114" s="97" t="str"/>
      <x:c r="G114" s="97" t="str">
        <x:v>I117</x:v>
      </x:c>
      <x:c r="H114" s="97" t="str"/>
      <x:c r="I114" s="97" t="str"/>
      <x:c r="J114" s="97" t="str"/>
      <x:c r="K114" s="97" t="str"/>
      <x:c r="L114" s="97" t="str">
        <x:v>No verified portrait was present in the repository or canonical evidence ledger at audit time.</x:v>
      </x:c>
    </x:row>
    <x:row r="115">
      <x:c r="A115" s="97" t="str">
        <x:v>person</x:v>
      </x:c>
      <x:c r="B115" s="97" t="str">
        <x:v>I118</x:v>
      </x:c>
      <x:c r="C115" s="97" t="str">
        <x:v>Charles McCormick</x:v>
      </x:c>
      <x:c r="D115" s="97" t="str">
        <x:v>no_verified_photo_archived</x:v>
      </x:c>
      <x:c r="E115" s="97" t="str"/>
      <x:c r="F115" s="97" t="str"/>
      <x:c r="G115" s="97" t="str">
        <x:v>I118</x:v>
      </x:c>
      <x:c r="H115" s="97" t="str"/>
      <x:c r="I115" s="97" t="str"/>
      <x:c r="J115" s="97" t="str"/>
      <x:c r="K115" s="97" t="str"/>
      <x:c r="L115" s="97" t="str">
        <x:v>No verified portrait was present in the repository or canonical evidence ledger at audit time.</x:v>
      </x:c>
    </x:row>
    <x:row r="116">
      <x:c r="A116" s="97" t="str">
        <x:v>person</x:v>
      </x:c>
      <x:c r="B116" s="97" t="str">
        <x:v>I119</x:v>
      </x:c>
      <x:c r="C116" s="97" t="str">
        <x:v>Elizabeth McCormick</x:v>
      </x:c>
      <x:c r="D116" s="97" t="str">
        <x:v>no_verified_photo_archived</x:v>
      </x:c>
      <x:c r="E116" s="97" t="str"/>
      <x:c r="F116" s="97" t="str"/>
      <x:c r="G116" s="97" t="str">
        <x:v>I119</x:v>
      </x:c>
      <x:c r="H116" s="97" t="str"/>
      <x:c r="I116" s="97" t="str"/>
      <x:c r="J116" s="97" t="str"/>
      <x:c r="K116" s="97" t="str"/>
      <x:c r="L116" s="97" t="str">
        <x:v>No verified portrait was present in the repository or canonical evidence ledger at audit time.</x:v>
      </x:c>
    </x:row>
    <x:row r="117">
      <x:c r="A117" s="97" t="str">
        <x:v>person</x:v>
      </x:c>
      <x:c r="B117" s="97" t="str">
        <x:v>I120</x:v>
      </x:c>
      <x:c r="C117" s="97" t="str">
        <x:v>Abram Field Brooks</x:v>
      </x:c>
      <x:c r="D117" s="97" t="str">
        <x:v>no_verified_photo_archived</x:v>
      </x:c>
      <x:c r="E117" s="97" t="str"/>
      <x:c r="F117" s="97" t="str"/>
      <x:c r="G117" s="97" t="str">
        <x:v>I120</x:v>
      </x:c>
      <x:c r="H117" s="97" t="str"/>
      <x:c r="I117" s="97" t="str"/>
      <x:c r="J117" s="97" t="str"/>
      <x:c r="K117" s="97" t="str"/>
      <x:c r="L117" s="97" t="str">
        <x:v>No verified portrait was present in the repository or canonical evidence ledger at audit time.</x:v>
      </x:c>
    </x:row>
    <x:row r="118">
      <x:c r="A118" s="97" t="str">
        <x:v>person</x:v>
      </x:c>
      <x:c r="B118" s="97" t="str">
        <x:v>I121</x:v>
      </x:c>
      <x:c r="C118" s="97" t="str">
        <x:v>Mary P. Mollie Moore</x:v>
      </x:c>
      <x:c r="D118" s="97" t="str">
        <x:v>no_verified_photo_archived</x:v>
      </x:c>
      <x:c r="E118" s="97" t="str"/>
      <x:c r="F118" s="97" t="str"/>
      <x:c r="G118" s="97" t="str">
        <x:v>I121</x:v>
      </x:c>
      <x:c r="H118" s="97" t="str"/>
      <x:c r="I118" s="97" t="str"/>
      <x:c r="J118" s="97" t="str"/>
      <x:c r="K118" s="97" t="str"/>
      <x:c r="L118" s="97" t="str">
        <x:v>No verified portrait was present in the repository or canonical evidence ledger at audit time.</x:v>
      </x:c>
    </x:row>
    <x:row r="119">
      <x:c r="A119" s="97" t="str">
        <x:v>person</x:v>
      </x:c>
      <x:c r="B119" s="97" t="str">
        <x:v>I122</x:v>
      </x:c>
      <x:c r="C119" s="97" t="str">
        <x:v>Solomon Neal Brooks</x:v>
      </x:c>
      <x:c r="D119" s="97" t="str">
        <x:v>no_verified_photo_archived</x:v>
      </x:c>
      <x:c r="E119" s="97" t="str"/>
      <x:c r="F119" s="97" t="str"/>
      <x:c r="G119" s="97" t="str">
        <x:v>I122</x:v>
      </x:c>
      <x:c r="H119" s="97" t="str"/>
      <x:c r="I119" s="97" t="str"/>
      <x:c r="J119" s="97" t="str"/>
      <x:c r="K119" s="97" t="str"/>
      <x:c r="L119" s="97" t="str">
        <x:v>No verified portrait was present in the repository or canonical evidence ledger at audit time.</x:v>
      </x:c>
    </x:row>
    <x:row r="120">
      <x:c r="A120" s="97" t="str">
        <x:v>person</x:v>
      </x:c>
      <x:c r="B120" s="97" t="str">
        <x:v>I123</x:v>
      </x:c>
      <x:c r="C120" s="97" t="str">
        <x:v>Elizabeth Field</x:v>
      </x:c>
      <x:c r="D120" s="97" t="str">
        <x:v>no_verified_photo_archived</x:v>
      </x:c>
      <x:c r="E120" s="97" t="str"/>
      <x:c r="F120" s="97" t="str"/>
      <x:c r="G120" s="97" t="str">
        <x:v>I123</x:v>
      </x:c>
      <x:c r="H120" s="97" t="str"/>
      <x:c r="I120" s="97" t="str"/>
      <x:c r="J120" s="97" t="str"/>
      <x:c r="K120" s="97" t="str"/>
      <x:c r="L120" s="97" t="str">
        <x:v>No verified portrait was present in the repository or canonical evidence ledger at audit time.</x:v>
      </x:c>
    </x:row>
    <x:row r="121">
      <x:c r="A121" s="97" t="str">
        <x:v>person</x:v>
      </x:c>
      <x:c r="B121" s="97" t="str">
        <x:v>I124</x:v>
      </x:c>
      <x:c r="C121" s="97" t="str">
        <x:v>Christopher O’Brien</x:v>
      </x:c>
      <x:c r="D121" s="97" t="str">
        <x:v>no_verified_photo_archived</x:v>
      </x:c>
      <x:c r="E121" s="97" t="str"/>
      <x:c r="F121" s="97" t="str"/>
      <x:c r="G121" s="97" t="str">
        <x:v>I124</x:v>
      </x:c>
      <x:c r="H121" s="97" t="str"/>
      <x:c r="I121" s="97" t="str"/>
      <x:c r="J121" s="97" t="str"/>
      <x:c r="K121" s="97" t="str"/>
      <x:c r="L121" s="97" t="str">
        <x:v>No verified portrait was present in the repository or canonical evidence ledger at audit time.</x:v>
      </x:c>
    </x:row>
    <x:row r="122">
      <x:c r="A122" s="97" t="str">
        <x:v>person</x:v>
      </x:c>
      <x:c r="B122" s="97" t="str">
        <x:v>I125</x:v>
      </x:c>
      <x:c r="C122" s="97" t="str">
        <x:v>Sophronia Simmons</x:v>
      </x:c>
      <x:c r="D122" s="97" t="str">
        <x:v>no_verified_photo_archived</x:v>
      </x:c>
      <x:c r="E122" s="97" t="str"/>
      <x:c r="F122" s="97" t="str"/>
      <x:c r="G122" s="97" t="str">
        <x:v>I125</x:v>
      </x:c>
      <x:c r="H122" s="97" t="str"/>
      <x:c r="I122" s="97" t="str"/>
      <x:c r="J122" s="97" t="str"/>
      <x:c r="K122" s="97" t="str"/>
      <x:c r="L122" s="97" t="str">
        <x:v>No verified portrait was present in the repository or canonical evidence ledger at audit time.</x:v>
      </x:c>
    </x:row>
    <x:row r="123">
      <x:c r="A123" s="97" t="str">
        <x:v>person</x:v>
      </x:c>
      <x:c r="B123" s="97" t="str">
        <x:v>I126</x:v>
      </x:c>
      <x:c r="C123" s="97" t="str">
        <x:v>Joseph Anderson Brooks</x:v>
      </x:c>
      <x:c r="D123" s="97" t="str">
        <x:v>no_verified_photo_archived</x:v>
      </x:c>
      <x:c r="E123" s="97" t="str"/>
      <x:c r="F123" s="97" t="str"/>
      <x:c r="G123" s="97" t="str">
        <x:v>I126</x:v>
      </x:c>
      <x:c r="H123" s="97" t="str"/>
      <x:c r="I123" s="97" t="str"/>
      <x:c r="J123" s="97" t="str"/>
      <x:c r="K123" s="97" t="str"/>
      <x:c r="L123" s="97" t="str">
        <x:v>No verified portrait was present in the repository or canonical evidence ledger at audit time.</x:v>
      </x:c>
    </x:row>
    <x:row r="124">
      <x:c r="A124" s="97" t="str">
        <x:v>person</x:v>
      </x:c>
      <x:c r="B124" s="97" t="str">
        <x:v>I127</x:v>
      </x:c>
      <x:c r="C124" s="97" t="str">
        <x:v>Joseph Brooks</x:v>
      </x:c>
      <x:c r="D124" s="97" t="str">
        <x:v>no_verified_photo_archived</x:v>
      </x:c>
      <x:c r="E124" s="97" t="str"/>
      <x:c r="F124" s="97" t="str"/>
      <x:c r="G124" s="97" t="str">
        <x:v>I127</x:v>
      </x:c>
      <x:c r="H124" s="97" t="str"/>
      <x:c r="I124" s="97" t="str"/>
      <x:c r="J124" s="97" t="str"/>
      <x:c r="K124" s="97" t="str"/>
      <x:c r="L124" s="97" t="str">
        <x:v>No verified portrait was present in the repository or canonical evidence ledger at audit time.</x:v>
      </x:c>
    </x:row>
    <x:row r="125">
      <x:c r="A125" s="97" t="str">
        <x:v>person</x:v>
      </x:c>
      <x:c r="B125" s="97" t="str">
        <x:v>I128</x:v>
      </x:c>
      <x:c r="C125" s="97" t="str">
        <x:v>Abram Field</x:v>
      </x:c>
      <x:c r="D125" s="97" t="str">
        <x:v>no_verified_photo_archived</x:v>
      </x:c>
      <x:c r="E125" s="97" t="str"/>
      <x:c r="F125" s="97" t="str"/>
      <x:c r="G125" s="97" t="str">
        <x:v>I128</x:v>
      </x:c>
      <x:c r="H125" s="97" t="str"/>
      <x:c r="I125" s="97" t="str"/>
      <x:c r="J125" s="97" t="str"/>
      <x:c r="K125" s="97" t="str"/>
      <x:c r="L125" s="97" t="str">
        <x:v>No verified portrait was present in the repository or canonical evidence ledger at audit time.</x:v>
      </x:c>
    </x:row>
    <x:row r="126">
      <x:c r="A126" s="97" t="str">
        <x:v>person</x:v>
      </x:c>
      <x:c r="B126" s="97" t="str">
        <x:v>I129</x:v>
      </x:c>
      <x:c r="C126" s="97" t="str">
        <x:v>Elizabeth Simmons</x:v>
      </x:c>
      <x:c r="D126" s="97" t="str">
        <x:v>no_verified_photo_archived</x:v>
      </x:c>
      <x:c r="E126" s="97" t="str"/>
      <x:c r="F126" s="97" t="str"/>
      <x:c r="G126" s="97" t="str">
        <x:v>I129</x:v>
      </x:c>
      <x:c r="H126" s="97" t="str"/>
      <x:c r="I126" s="97" t="str"/>
      <x:c r="J126" s="97" t="str"/>
      <x:c r="K126" s="97" t="str"/>
      <x:c r="L126" s="97" t="str">
        <x:v>No verified portrait was present in the repository or canonical evidence ledger at audit time.</x:v>
      </x:c>
    </x:row>
    <x:row r="127">
      <x:c r="A127" s="97" t="str">
        <x:v>person</x:v>
      </x:c>
      <x:c r="B127" s="97" t="str">
        <x:v>I130</x:v>
      </x:c>
      <x:c r="C127" s="97" t="str">
        <x:v>Isaac Bush Slaughter Sr.</x:v>
      </x:c>
      <x:c r="D127" s="97" t="str">
        <x:v>no_verified_photo_archived</x:v>
      </x:c>
      <x:c r="E127" s="97" t="str"/>
      <x:c r="F127" s="97" t="str"/>
      <x:c r="G127" s="97" t="str">
        <x:v>I130</x:v>
      </x:c>
      <x:c r="H127" s="97" t="str"/>
      <x:c r="I127" s="97" t="str"/>
      <x:c r="J127" s="97" t="str"/>
      <x:c r="K127" s="97" t="str"/>
      <x:c r="L127" s="97" t="str">
        <x:v>No verified portrait was present in the repository or canonical evidence ledger at audit time.</x:v>
      </x:c>
    </x:row>
    <x:row r="128">
      <x:c r="A128" s="97" t="str">
        <x:v>person</x:v>
      </x:c>
      <x:c r="B128" s="97" t="str">
        <x:v>I131</x:v>
      </x:c>
      <x:c r="C128" s="97" t="str">
        <x:v>Lula Arnelia Rives</x:v>
      </x:c>
      <x:c r="D128" s="97" t="str">
        <x:v>no_verified_photo_archived</x:v>
      </x:c>
      <x:c r="E128" s="97" t="str"/>
      <x:c r="F128" s="97" t="str"/>
      <x:c r="G128" s="97" t="str">
        <x:v>I131</x:v>
      </x:c>
      <x:c r="H128" s="97" t="str"/>
      <x:c r="I128" s="97" t="str"/>
      <x:c r="J128" s="97" t="str"/>
      <x:c r="K128" s="97" t="str"/>
      <x:c r="L128" s="97" t="str">
        <x:v>No verified portrait was present in the repository or canonical evidence ledger at audit time.</x:v>
      </x:c>
    </x:row>
    <x:row r="129">
      <x:c r="A129" s="97" t="str">
        <x:v>person</x:v>
      </x:c>
      <x:c r="B129" s="97" t="str">
        <x:v>I132</x:v>
      </x:c>
      <x:c r="C129" s="97" t="str">
        <x:v>Nancy Brooks</x:v>
      </x:c>
      <x:c r="D129" s="97" t="str">
        <x:v>no_verified_photo_archived</x:v>
      </x:c>
      <x:c r="E129" s="97" t="str"/>
      <x:c r="F129" s="97" t="str"/>
      <x:c r="G129" s="97" t="str">
        <x:v>I132</x:v>
      </x:c>
      <x:c r="H129" s="97" t="str"/>
      <x:c r="I129" s="97" t="str"/>
      <x:c r="J129" s="97" t="str"/>
      <x:c r="K129" s="97" t="str"/>
      <x:c r="L129" s="97" t="str">
        <x:v>No verified portrait was present in the repository or canonical evidence ledger at audit time.</x:v>
      </x:c>
    </x:row>
    <x:row r="130">
      <x:c r="A130" s="97" t="str">
        <x:v>person</x:v>
      </x:c>
      <x:c r="B130" s="97" t="str">
        <x:v>I133</x:v>
      </x:c>
      <x:c r="C130" s="97" t="str">
        <x:v>John Wesley Slaughter</x:v>
      </x:c>
      <x:c r="D130" s="97" t="str">
        <x:v>no_verified_photo_archived</x:v>
      </x:c>
      <x:c r="E130" s="97" t="str"/>
      <x:c r="F130" s="97" t="str"/>
      <x:c r="G130" s="97" t="str">
        <x:v>I133</x:v>
      </x:c>
      <x:c r="H130" s="97" t="str"/>
      <x:c r="I130" s="97" t="str"/>
      <x:c r="J130" s="97" t="str"/>
      <x:c r="K130" s="97" t="str"/>
      <x:c r="L130" s="97" t="str">
        <x:v>No verified portrait was present in the repository or canonical evidence ledger at audit time.</x:v>
      </x:c>
    </x:row>
    <x:row r="131">
      <x:c r="A131" s="97" t="str">
        <x:v>person</x:v>
      </x:c>
      <x:c r="B131" s="97" t="str">
        <x:v>I134</x:v>
      </x:c>
      <x:c r="C131" s="97" t="str">
        <x:v>Sarah C. Bush</x:v>
      </x:c>
      <x:c r="D131" s="97" t="str">
        <x:v>no_verified_photo_archived</x:v>
      </x:c>
      <x:c r="E131" s="97" t="str"/>
      <x:c r="F131" s="97" t="str"/>
      <x:c r="G131" s="97" t="str">
        <x:v>I134</x:v>
      </x:c>
      <x:c r="H131" s="97" t="str"/>
      <x:c r="I131" s="97" t="str"/>
      <x:c r="J131" s="97" t="str"/>
      <x:c r="K131" s="97" t="str"/>
      <x:c r="L131" s="97" t="str">
        <x:v>No verified portrait was present in the repository or canonical evidence ledger at audit time.</x:v>
      </x:c>
    </x:row>
    <x:row r="132">
      <x:c r="A132" s="97" t="str">
        <x:v>person</x:v>
      </x:c>
      <x:c r="B132" s="97" t="str">
        <x:v>I135</x:v>
      </x:c>
      <x:c r="C132" s="97" t="str">
        <x:v>Robert Calhoun Rives</x:v>
      </x:c>
      <x:c r="D132" s="97" t="str">
        <x:v>no_verified_photo_archived</x:v>
      </x:c>
      <x:c r="E132" s="97" t="str"/>
      <x:c r="F132" s="97" t="str"/>
      <x:c r="G132" s="97" t="str">
        <x:v>I135</x:v>
      </x:c>
      <x:c r="H132" s="97" t="str"/>
      <x:c r="I132" s="97" t="str"/>
      <x:c r="J132" s="97" t="str"/>
      <x:c r="K132" s="97" t="str"/>
      <x:c r="L132" s="97" t="str">
        <x:v>No verified portrait was present in the repository or canonical evidence ledger at audit time.</x:v>
      </x:c>
    </x:row>
    <x:row r="133">
      <x:c r="A133" s="97" t="str">
        <x:v>person</x:v>
      </x:c>
      <x:c r="B133" s="97" t="str">
        <x:v>I136</x:v>
      </x:c>
      <x:c r="C133" s="97" t="str">
        <x:v>Florence Estelle Agee</x:v>
      </x:c>
      <x:c r="D133" s="97" t="str">
        <x:v>no_verified_photo_archived</x:v>
      </x:c>
      <x:c r="E133" s="97" t="str"/>
      <x:c r="F133" s="97" t="str"/>
      <x:c r="G133" s="97" t="str">
        <x:v>I136</x:v>
      </x:c>
      <x:c r="H133" s="97" t="str"/>
      <x:c r="I133" s="97" t="str"/>
      <x:c r="J133" s="97" t="str"/>
      <x:c r="K133" s="97" t="str"/>
      <x:c r="L133" s="97" t="str">
        <x:v>No verified portrait was present in the repository or canonical evidence ledger at audit time.</x:v>
      </x:c>
    </x:row>
    <x:row r="134">
      <x:c r="A134" s="97" t="str">
        <x:v>person</x:v>
      </x:c>
      <x:c r="B134" s="97" t="str">
        <x:v>I137</x:v>
      </x:c>
      <x:c r="C134" s="97" t="str">
        <x:v>Robert Rives</x:v>
      </x:c>
      <x:c r="D134" s="97" t="str">
        <x:v>no_verified_photo_archived</x:v>
      </x:c>
      <x:c r="E134" s="97" t="str"/>
      <x:c r="F134" s="97" t="str"/>
      <x:c r="G134" s="97" t="str">
        <x:v>I137</x:v>
      </x:c>
      <x:c r="H134" s="97" t="str"/>
      <x:c r="I134" s="97" t="str"/>
      <x:c r="J134" s="97" t="str"/>
      <x:c r="K134" s="97" t="str"/>
      <x:c r="L134" s="97" t="str">
        <x:v>No verified portrait was present in the repository or canonical evidence ledger at audit time.</x:v>
      </x:c>
    </x:row>
    <x:row r="135">
      <x:c r="A135" s="97" t="str">
        <x:v>person</x:v>
      </x:c>
      <x:c r="B135" s="97" t="str">
        <x:v>I138</x:v>
      </x:c>
      <x:c r="C135" s="97" t="str">
        <x:v>Amelia Harrison</x:v>
      </x:c>
      <x:c r="D135" s="97" t="str">
        <x:v>no_verified_photo_archived</x:v>
      </x:c>
      <x:c r="E135" s="97" t="str"/>
      <x:c r="F135" s="97" t="str"/>
      <x:c r="G135" s="97" t="str">
        <x:v>I138</x:v>
      </x:c>
      <x:c r="H135" s="97" t="str"/>
      <x:c r="I135" s="97" t="str"/>
      <x:c r="J135" s="97" t="str"/>
      <x:c r="K135" s="97" t="str"/>
      <x:c r="L135" s="97" t="str">
        <x:v>No verified portrait was present in the repository or canonical evidence ledger at audit time.</x:v>
      </x:c>
    </x:row>
    <x:row r="136">
      <x:c r="A136" s="97" t="str">
        <x:v>person</x:v>
      </x:c>
      <x:c r="B136" s="97" t="str">
        <x:v>I139</x:v>
      </x:c>
      <x:c r="C136" s="97" t="str">
        <x:v>Green Rives</x:v>
      </x:c>
      <x:c r="D136" s="97" t="str">
        <x:v>no_verified_photo_archived</x:v>
      </x:c>
      <x:c r="E136" s="97" t="str"/>
      <x:c r="F136" s="97" t="str"/>
      <x:c r="G136" s="97" t="str">
        <x:v>I139</x:v>
      </x:c>
      <x:c r="H136" s="97" t="str"/>
      <x:c r="I136" s="97" t="str"/>
      <x:c r="J136" s="97" t="str"/>
      <x:c r="K136" s="97" t="str"/>
      <x:c r="L136" s="97" t="str">
        <x:v>No verified portrait was present in the repository or canonical evidence ledger at audit time.</x:v>
      </x:c>
    </x:row>
    <x:row r="137">
      <x:c r="A137" s="97" t="str">
        <x:v>person</x:v>
      </x:c>
      <x:c r="B137" s="97" t="str">
        <x:v>I140</x:v>
      </x:c>
      <x:c r="C137" s="97" t="str">
        <x:v>Mary Ridley Jones</x:v>
      </x:c>
      <x:c r="D137" s="97" t="str">
        <x:v>no_verified_photo_archived</x:v>
      </x:c>
      <x:c r="E137" s="97" t="str"/>
      <x:c r="F137" s="97" t="str"/>
      <x:c r="G137" s="97" t="str">
        <x:v>I140</x:v>
      </x:c>
      <x:c r="H137" s="97" t="str"/>
      <x:c r="I137" s="97" t="str"/>
      <x:c r="J137" s="97" t="str"/>
      <x:c r="K137" s="97" t="str"/>
      <x:c r="L137" s="97" t="str">
        <x:v>No verified portrait was present in the repository or canonical evidence ledger at audit time.</x:v>
      </x:c>
    </x:row>
    <x:row r="138">
      <x:c r="A138" s="97" t="str">
        <x:v>person</x:v>
      </x:c>
      <x:c r="B138" s="97" t="str">
        <x:v>I141</x:v>
      </x:c>
      <x:c r="C138" s="97" t="str">
        <x:v>William Rives</x:v>
      </x:c>
      <x:c r="D138" s="97" t="str">
        <x:v>no_verified_photo_archived</x:v>
      </x:c>
      <x:c r="E138" s="97" t="str"/>
      <x:c r="F138" s="97" t="str"/>
      <x:c r="G138" s="97" t="str">
        <x:v>I141</x:v>
      </x:c>
      <x:c r="H138" s="97" t="str"/>
      <x:c r="I138" s="97" t="str"/>
      <x:c r="J138" s="97" t="str"/>
      <x:c r="K138" s="97" t="str"/>
      <x:c r="L138" s="97" t="str">
        <x:v>No verified portrait was present in the repository or canonical evidence ledger at audit time.</x:v>
      </x:c>
    </x:row>
    <x:row r="139">
      <x:c r="A139" s="97" t="str">
        <x:v>person</x:v>
      </x:c>
      <x:c r="B139" s="97" t="str">
        <x:v>I142</x:v>
      </x:c>
      <x:c r="C139" s="97" t="str">
        <x:v>Lucy Wyche</x:v>
      </x:c>
      <x:c r="D139" s="97" t="str">
        <x:v>no_verified_photo_archived</x:v>
      </x:c>
      <x:c r="E139" s="97" t="str"/>
      <x:c r="F139" s="97" t="str"/>
      <x:c r="G139" s="97" t="str">
        <x:v>I142</x:v>
      </x:c>
      <x:c r="H139" s="97" t="str"/>
      <x:c r="I139" s="97" t="str"/>
      <x:c r="J139" s="97" t="str"/>
      <x:c r="K139" s="97" t="str"/>
      <x:c r="L139" s="97" t="str">
        <x:v>No verified portrait was present in the repository or canonical evidence ledger at audit time.</x:v>
      </x:c>
    </x:row>
    <x:row r="140">
      <x:c r="A140" s="97" t="str">
        <x:v>person</x:v>
      </x:c>
      <x:c r="B140" s="97" t="str">
        <x:v>I143</x:v>
      </x:c>
      <x:c r="C140" s="97" t="str">
        <x:v>Timothy Rives</x:v>
      </x:c>
      <x:c r="D140" s="97" t="str">
        <x:v>no_verified_photo_archived</x:v>
      </x:c>
      <x:c r="E140" s="97" t="str"/>
      <x:c r="F140" s="97" t="str"/>
      <x:c r="G140" s="97" t="str">
        <x:v>I143</x:v>
      </x:c>
      <x:c r="H140" s="97" t="str"/>
      <x:c r="I140" s="97" t="str"/>
      <x:c r="J140" s="97" t="str"/>
      <x:c r="K140" s="97" t="str"/>
      <x:c r="L140" s="97" t="str">
        <x:v>No verified portrait was present in the repository or canonical evidence ledger at audit time.</x:v>
      </x:c>
    </x:row>
    <x:row r="141">
      <x:c r="A141" s="97" t="str">
        <x:v>person</x:v>
      </x:c>
      <x:c r="B141" s="97" t="str">
        <x:v>I144</x:v>
      </x:c>
      <x:c r="C141" s="97" t="str">
        <x:v>Hester Rives</x:v>
      </x:c>
      <x:c r="D141" s="97" t="str">
        <x:v>no_verified_photo_archived</x:v>
      </x:c>
      <x:c r="E141" s="97" t="str"/>
      <x:c r="F141" s="97" t="str"/>
      <x:c r="G141" s="97" t="str">
        <x:v>I144</x:v>
      </x:c>
      <x:c r="H141" s="97" t="str"/>
      <x:c r="I141" s="97" t="str"/>
      <x:c r="J141" s="97" t="str"/>
      <x:c r="K141" s="97" t="str"/>
      <x:c r="L141" s="97" t="str">
        <x:v>No verified portrait was present in the repository or canonical evidence ledger at audit time.</x:v>
      </x:c>
    </x:row>
    <x:row r="142">
      <x:c r="A142" s="97" t="str">
        <x:v>person</x:v>
      </x:c>
      <x:c r="B142" s="97" t="str">
        <x:v>I145</x:v>
      </x:c>
      <x:c r="C142" s="97" t="str">
        <x:v>Darling Jones</x:v>
      </x:c>
      <x:c r="D142" s="97" t="str">
        <x:v>no_verified_photo_archived</x:v>
      </x:c>
      <x:c r="E142" s="97" t="str"/>
      <x:c r="F142" s="97" t="str"/>
      <x:c r="G142" s="97" t="str">
        <x:v>I145</x:v>
      </x:c>
      <x:c r="H142" s="97" t="str"/>
      <x:c r="I142" s="97" t="str"/>
      <x:c r="J142" s="97" t="str"/>
      <x:c r="K142" s="97" t="str"/>
      <x:c r="L142" s="97" t="str">
        <x:v>No verified portrait was present in the repository or canonical evidence ledger at audit time.</x:v>
      </x:c>
    </x:row>
    <x:row r="143">
      <x:c r="A143" s="97" t="str">
        <x:v>person</x:v>
      </x:c>
      <x:c r="B143" s="97" t="str">
        <x:v>I146</x:v>
      </x:c>
      <x:c r="C143" s="97" t="str">
        <x:v>Susannah Jones</x:v>
      </x:c>
      <x:c r="D143" s="97" t="str">
        <x:v>no_verified_photo_archived</x:v>
      </x:c>
      <x:c r="E143" s="97" t="str"/>
      <x:c r="F143" s="97" t="str"/>
      <x:c r="G143" s="97" t="str">
        <x:v>I146</x:v>
      </x:c>
      <x:c r="H143" s="97" t="str"/>
      <x:c r="I143" s="97" t="str"/>
      <x:c r="J143" s="97" t="str"/>
      <x:c r="K143" s="97" t="str"/>
      <x:c r="L143" s="97" t="str">
        <x:v>No verified portrait was present in the repository or canonical evidence ledger at audit time.</x:v>
      </x:c>
    </x:row>
    <x:row r="144">
      <x:c r="A144" s="97" t="str">
        <x:v>person</x:v>
      </x:c>
      <x:c r="B144" s="97" t="str">
        <x:v>I147</x:v>
      </x:c>
      <x:c r="C144" s="97" t="str">
        <x:v>William Harrison</x:v>
      </x:c>
      <x:c r="D144" s="97" t="str">
        <x:v>no_verified_photo_archived</x:v>
      </x:c>
      <x:c r="E144" s="97" t="str"/>
      <x:c r="F144" s="97" t="str"/>
      <x:c r="G144" s="97" t="str">
        <x:v>I147</x:v>
      </x:c>
      <x:c r="H144" s="97" t="str"/>
      <x:c r="I144" s="97" t="str"/>
      <x:c r="J144" s="97" t="str"/>
      <x:c r="K144" s="97" t="str"/>
      <x:c r="L144" s="97" t="str">
        <x:v>No verified portrait was present in the repository or canonical evidence ledger at audit time.</x:v>
      </x:c>
    </x:row>
    <x:row r="145">
      <x:c r="A145" s="97" t="str">
        <x:v>person</x:v>
      </x:c>
      <x:c r="B145" s="97" t="str">
        <x:v>I148</x:v>
      </x:c>
      <x:c r="C145" s="97" t="str">
        <x:v>Ann Perry</x:v>
      </x:c>
      <x:c r="D145" s="97" t="str">
        <x:v>no_verified_photo_archived</x:v>
      </x:c>
      <x:c r="E145" s="97" t="str"/>
      <x:c r="F145" s="97" t="str"/>
      <x:c r="G145" s="97" t="str">
        <x:v>I148</x:v>
      </x:c>
      <x:c r="H145" s="97" t="str"/>
      <x:c r="I145" s="97" t="str"/>
      <x:c r="J145" s="97" t="str"/>
      <x:c r="K145" s="97" t="str"/>
      <x:c r="L145" s="97" t="str">
        <x:v>No verified portrait was present in the repository or canonical evidence ledger at audit time.</x:v>
      </x:c>
    </x:row>
    <x:row r="146">
      <x:c r="A146" s="97" t="str">
        <x:v>person</x:v>
      </x:c>
      <x:c r="B146" s="97" t="str">
        <x:v>I149</x:v>
      </x:c>
      <x:c r="C146" s="97" t="str">
        <x:v>Col. William Rives</x:v>
      </x:c>
      <x:c r="D146" s="97" t="str">
        <x:v>no_verified_photo_archived</x:v>
      </x:c>
      <x:c r="E146" s="97" t="str"/>
      <x:c r="F146" s="97" t="str"/>
      <x:c r="G146" s="97" t="str">
        <x:v>I149</x:v>
      </x:c>
      <x:c r="H146" s="97" t="str"/>
      <x:c r="I146" s="97" t="str"/>
      <x:c r="J146" s="97" t="str"/>
      <x:c r="K146" s="97" t="str"/>
      <x:c r="L146" s="97" t="str">
        <x:v>No verified portrait was present in the repository or canonical evidence ledger at audit time.</x:v>
      </x:c>
    </x:row>
    <x:row r="147">
      <x:c r="A147" s="97" t="str">
        <x:v>person</x:v>
      </x:c>
      <x:c r="B147" s="97" t="str">
        <x:v>I150</x:v>
      </x:c>
      <x:c r="C147" s="97" t="str">
        <x:v>Elizabeth Rives</x:v>
      </x:c>
      <x:c r="D147" s="97" t="str">
        <x:v>no_verified_photo_archived</x:v>
      </x:c>
      <x:c r="E147" s="97" t="str"/>
      <x:c r="F147" s="97" t="str"/>
      <x:c r="G147" s="97" t="str">
        <x:v>I150</x:v>
      </x:c>
      <x:c r="H147" s="97" t="str"/>
      <x:c r="I147" s="97" t="str"/>
      <x:c r="J147" s="97" t="str"/>
      <x:c r="K147" s="97" t="str"/>
      <x:c r="L147" s="97" t="str">
        <x:v>No verified portrait was present in the repository or canonical evidence ledger at audit time.</x:v>
      </x:c>
    </x:row>
    <x:row r="148">
      <x:c r="A148" s="97" t="str">
        <x:v>person</x:v>
      </x:c>
      <x:c r="B148" s="97" t="str">
        <x:v>I151</x:v>
      </x:c>
      <x:c r="C148" s="97" t="str">
        <x:v>George Rives</x:v>
      </x:c>
      <x:c r="D148" s="97" t="str">
        <x:v>no_verified_photo_archived</x:v>
      </x:c>
      <x:c r="E148" s="97" t="str"/>
      <x:c r="F148" s="97" t="str"/>
      <x:c r="G148" s="97" t="str">
        <x:v>I151</x:v>
      </x:c>
      <x:c r="H148" s="97" t="str"/>
      <x:c r="I148" s="97" t="str"/>
      <x:c r="J148" s="97" t="str"/>
      <x:c r="K148" s="97" t="str"/>
      <x:c r="L148" s="97" t="str">
        <x:v>No verified portrait was present in the repository or canonical evidence ledger at audit time.</x:v>
      </x:c>
    </x:row>
    <x:row r="149">
      <x:c r="A149" s="97" t="str">
        <x:v>person</x:v>
      </x:c>
      <x:c r="B149" s="97" t="str">
        <x:v>I152</x:v>
      </x:c>
      <x:c r="C149" s="97" t="str">
        <x:v>Peter Wyche</x:v>
      </x:c>
      <x:c r="D149" s="97" t="str">
        <x:v>no_verified_photo_archived</x:v>
      </x:c>
      <x:c r="E149" s="97" t="str"/>
      <x:c r="F149" s="97" t="str"/>
      <x:c r="G149" s="97" t="str">
        <x:v>I152</x:v>
      </x:c>
      <x:c r="H149" s="97" t="str"/>
      <x:c r="I149" s="97" t="str"/>
      <x:c r="J149" s="97" t="str"/>
      <x:c r="K149" s="97" t="str"/>
      <x:c r="L149" s="97" t="str">
        <x:v>No verified portrait was present in the repository or canonical evidence ledger at audit time.</x:v>
      </x:c>
    </x:row>
    <x:row r="150">
      <x:c r="A150" s="97" t="str">
        <x:v>person</x:v>
      </x:c>
      <x:c r="B150" s="97" t="str">
        <x:v>I153</x:v>
      </x:c>
      <x:c r="C150" s="97" t="str">
        <x:v>Alice Wyche</x:v>
      </x:c>
      <x:c r="D150" s="97" t="str">
        <x:v>no_verified_photo_archived</x:v>
      </x:c>
      <x:c r="E150" s="97" t="str"/>
      <x:c r="F150" s="97" t="str"/>
      <x:c r="G150" s="97" t="str">
        <x:v>I153</x:v>
      </x:c>
      <x:c r="H150" s="97" t="str"/>
      <x:c r="I150" s="97" t="str"/>
      <x:c r="J150" s="97" t="str"/>
      <x:c r="K150" s="97" t="str"/>
      <x:c r="L150" s="97" t="str">
        <x:v>No verified portrait was present in the repository or canonical evidence ledger at audit time.</x:v>
      </x:c>
    </x:row>
    <x:row r="151">
      <x:c r="A151" s="97" t="str">
        <x:v>person</x:v>
      </x:c>
      <x:c r="B151" s="97" t="str">
        <x:v>I154</x:v>
      </x:c>
      <x:c r="C151" s="97" t="str">
        <x:v>William Raiford Agee</x:v>
      </x:c>
      <x:c r="D151" s="97" t="str">
        <x:v>no_verified_photo_archived</x:v>
      </x:c>
      <x:c r="E151" s="97" t="str"/>
      <x:c r="F151" s="97" t="str"/>
      <x:c r="G151" s="97" t="str">
        <x:v>I154</x:v>
      </x:c>
      <x:c r="H151" s="97" t="str"/>
      <x:c r="I151" s="97" t="str"/>
      <x:c r="J151" s="97" t="str"/>
      <x:c r="K151" s="97" t="str"/>
      <x:c r="L151" s="97" t="str">
        <x:v>No verified portrait was present in the repository or canonical evidence ledger at audit time.</x:v>
      </x:c>
    </x:row>
    <x:row r="152">
      <x:c r="A152" s="97" t="str">
        <x:v>person</x:v>
      </x:c>
      <x:c r="B152" s="97" t="str">
        <x:v>I155</x:v>
      </x:c>
      <x:c r="C152" s="97" t="str">
        <x:v>Elvina Hill</x:v>
      </x:c>
      <x:c r="D152" s="97" t="str">
        <x:v>no_verified_photo_archived</x:v>
      </x:c>
      <x:c r="E152" s="97" t="str"/>
      <x:c r="F152" s="97" t="str"/>
      <x:c r="G152" s="97" t="str">
        <x:v>I155</x:v>
      </x:c>
      <x:c r="H152" s="97" t="str"/>
      <x:c r="I152" s="97" t="str"/>
      <x:c r="J152" s="97" t="str"/>
      <x:c r="K152" s="97" t="str"/>
      <x:c r="L152" s="97" t="str">
        <x:v>No verified portrait was present in the repository or canonical evidence ledger at audit time.</x:v>
      </x:c>
    </x:row>
    <x:row r="153">
      <x:c r="A153" s="97" t="str">
        <x:v>person</x:v>
      </x:c>
      <x:c r="B153" s="97" t="str">
        <x:v>I157</x:v>
      </x:c>
      <x:c r="C153" s="97" t="str">
        <x:v>William Rives</x:v>
      </x:c>
      <x:c r="D153" s="97" t="str">
        <x:v>no_verified_photo_archived</x:v>
      </x:c>
      <x:c r="E153" s="97" t="str"/>
      <x:c r="F153" s="97" t="str"/>
      <x:c r="G153" s="97" t="str">
        <x:v>I157</x:v>
      </x:c>
      <x:c r="H153" s="97" t="str"/>
      <x:c r="I153" s="97" t="str"/>
      <x:c r="J153" s="97" t="str"/>
      <x:c r="K153" s="97" t="str"/>
      <x:c r="L153" s="97" t="str">
        <x:v>No verified portrait was present in the repository or canonical evidence ledger at audit time.</x:v>
      </x:c>
    </x:row>
    <x:row r="154">
      <x:c r="A154" s="97" t="str">
        <x:v>person</x:v>
      </x:c>
      <x:c r="B154" s="97" t="str">
        <x:v>I158</x:v>
      </x:c>
      <x:c r="C154" s="97" t="str">
        <x:v>Reuben Harrison</x:v>
      </x:c>
      <x:c r="D154" s="97" t="str">
        <x:v>no_verified_photo_archived</x:v>
      </x:c>
      <x:c r="E154" s="97" t="str"/>
      <x:c r="F154" s="97" t="str"/>
      <x:c r="G154" s="97" t="str">
        <x:v>I158</x:v>
      </x:c>
      <x:c r="H154" s="97" t="str"/>
      <x:c r="I154" s="97" t="str"/>
      <x:c r="J154" s="97" t="str"/>
      <x:c r="K154" s="97" t="str"/>
      <x:c r="L154" s="97" t="str">
        <x:v>No verified portrait was present in the repository or canonical evidence ledger at audit time.</x:v>
      </x:c>
    </x:row>
    <x:row r="155">
      <x:c r="A155" s="97" t="str">
        <x:v>person</x:v>
      </x:c>
      <x:c r="B155" s="97" t="str">
        <x:v>I159</x:v>
      </x:c>
      <x:c r="C155" s="97" t="str">
        <x:v>Nancy Harrison</x:v>
      </x:c>
      <x:c r="D155" s="97" t="str">
        <x:v>no_verified_photo_archived</x:v>
      </x:c>
      <x:c r="E155" s="97" t="str"/>
      <x:c r="F155" s="97" t="str"/>
      <x:c r="G155" s="97" t="str">
        <x:v>I159</x:v>
      </x:c>
      <x:c r="H155" s="97" t="str"/>
      <x:c r="I155" s="97" t="str"/>
      <x:c r="J155" s="97" t="str"/>
      <x:c r="K155" s="97" t="str"/>
      <x:c r="L155" s="97" t="str">
        <x:v>No verified portrait was present in the repository or canonical evidence ledger at audit time.</x:v>
      </x:c>
    </x:row>
    <x:row r="156">
      <x:c r="A156" s="97" t="str">
        <x:v>person</x:v>
      </x:c>
      <x:c r="B156" s="97" t="str">
        <x:v>I160</x:v>
      </x:c>
      <x:c r="C156" s="97" t="str">
        <x:v>James Perry</x:v>
      </x:c>
      <x:c r="D156" s="97" t="str">
        <x:v>no_verified_photo_archived</x:v>
      </x:c>
      <x:c r="E156" s="97" t="str"/>
      <x:c r="F156" s="97" t="str"/>
      <x:c r="G156" s="97" t="str">
        <x:v>I160</x:v>
      </x:c>
      <x:c r="H156" s="97" t="str"/>
      <x:c r="I156" s="97" t="str"/>
      <x:c r="J156" s="97" t="str"/>
      <x:c r="K156" s="97" t="str"/>
      <x:c r="L156" s="97" t="str">
        <x:v>No verified portrait was present in the repository or canonical evidence ledger at audit time.</x:v>
      </x:c>
    </x:row>
    <x:row r="157">
      <x:c r="A157" s="97" t="str">
        <x:v>person</x:v>
      </x:c>
      <x:c r="B157" s="97" t="str">
        <x:v>I161</x:v>
      </x:c>
      <x:c r="C157" s="97" t="str">
        <x:v>Noah Agee</x:v>
      </x:c>
      <x:c r="D157" s="97" t="str">
        <x:v>no_verified_photo_archived</x:v>
      </x:c>
      <x:c r="E157" s="97" t="str"/>
      <x:c r="F157" s="97" t="str"/>
      <x:c r="G157" s="97" t="str">
        <x:v>I161</x:v>
      </x:c>
      <x:c r="H157" s="97" t="str"/>
      <x:c r="I157" s="97" t="str"/>
      <x:c r="J157" s="97" t="str"/>
      <x:c r="K157" s="97" t="str"/>
      <x:c r="L157" s="97" t="str">
        <x:v>No verified portrait was present in the repository or canonical evidence ledger at audit time.</x:v>
      </x:c>
    </x:row>
    <x:row r="158">
      <x:c r="A158" s="97" t="str">
        <x:v>person</x:v>
      </x:c>
      <x:c r="B158" s="97" t="str">
        <x:v>I162</x:v>
      </x:c>
      <x:c r="C158" s="97" t="str">
        <x:v>Martha Mask</x:v>
      </x:c>
      <x:c r="D158" s="97" t="str">
        <x:v>no_verified_photo_archived</x:v>
      </x:c>
      <x:c r="E158" s="97" t="str"/>
      <x:c r="F158" s="97" t="str"/>
      <x:c r="G158" s="97" t="str">
        <x:v>I162</x:v>
      </x:c>
      <x:c r="H158" s="97" t="str"/>
      <x:c r="I158" s="97" t="str"/>
      <x:c r="J158" s="97" t="str"/>
      <x:c r="K158" s="97" t="str"/>
      <x:c r="L158" s="97" t="str">
        <x:v>No verified portrait was present in the repository or canonical evidence ledger at audit time.</x:v>
      </x:c>
    </x:row>
    <x:row r="159">
      <x:c r="A159" s="97" t="str">
        <x:v>person</x:v>
      </x:c>
      <x:c r="B159" s="97" t="str">
        <x:v>I163</x:v>
      </x:c>
      <x:c r="C159" s="97" t="str">
        <x:v>William Hill</x:v>
      </x:c>
      <x:c r="D159" s="97" t="str">
        <x:v>no_verified_photo_archived</x:v>
      </x:c>
      <x:c r="E159" s="97" t="str"/>
      <x:c r="F159" s="97" t="str"/>
      <x:c r="G159" s="97" t="str">
        <x:v>I163</x:v>
      </x:c>
      <x:c r="H159" s="97" t="str"/>
      <x:c r="I159" s="97" t="str"/>
      <x:c r="J159" s="97" t="str"/>
      <x:c r="K159" s="97" t="str"/>
      <x:c r="L159" s="97" t="str">
        <x:v>No verified portrait was present in the repository or canonical evidence ledger at audit time.</x:v>
      </x:c>
    </x:row>
    <x:row r="160">
      <x:c r="A160" s="97" t="str">
        <x:v>person</x:v>
      </x:c>
      <x:c r="B160" s="97" t="str">
        <x:v>I164</x:v>
      </x:c>
      <x:c r="C160" s="97" t="str">
        <x:v>James Agee</x:v>
      </x:c>
      <x:c r="D160" s="97" t="str">
        <x:v>no_verified_photo_archived</x:v>
      </x:c>
      <x:c r="E160" s="97" t="str"/>
      <x:c r="F160" s="97" t="str"/>
      <x:c r="G160" s="97" t="str">
        <x:v>I164</x:v>
      </x:c>
      <x:c r="H160" s="97" t="str"/>
      <x:c r="I160" s="97" t="str"/>
      <x:c r="J160" s="97" t="str"/>
      <x:c r="K160" s="97" t="str"/>
      <x:c r="L160" s="97" t="str">
        <x:v>No verified portrait was present in the repository or canonical evidence ledger at audit time.</x:v>
      </x:c>
    </x:row>
    <x:row r="161">
      <x:c r="A161" s="97" t="str">
        <x:v>person</x:v>
      </x:c>
      <x:c r="B161" s="97" t="str">
        <x:v>I165</x:v>
      </x:c>
      <x:c r="C161" s="97" t="str">
        <x:v>Mary Ford</x:v>
      </x:c>
      <x:c r="D161" s="97" t="str">
        <x:v>no_verified_photo_archived</x:v>
      </x:c>
      <x:c r="E161" s="97" t="str"/>
      <x:c r="F161" s="97" t="str"/>
      <x:c r="G161" s="97" t="str">
        <x:v>I165</x:v>
      </x:c>
      <x:c r="H161" s="97" t="str"/>
      <x:c r="I161" s="97" t="str"/>
      <x:c r="J161" s="97" t="str"/>
      <x:c r="K161" s="97" t="str"/>
      <x:c r="L161" s="97" t="str">
        <x:v>No verified portrait was present in the repository or canonical evidence ledger at audit time.</x:v>
      </x:c>
    </x:row>
    <x:row r="162">
      <x:c r="A162" s="97" t="str">
        <x:v>person</x:v>
      </x:c>
      <x:c r="B162" s="97" t="str">
        <x:v>I166</x:v>
      </x:c>
      <x:c r="C162" s="97" t="str">
        <x:v>Mathieu Agee</x:v>
      </x:c>
      <x:c r="D162" s="97" t="str">
        <x:v>no_verified_photo_archived</x:v>
      </x:c>
      <x:c r="E162" s="97" t="str"/>
      <x:c r="F162" s="97" t="str"/>
      <x:c r="G162" s="97" t="str">
        <x:v>I166</x:v>
      </x:c>
      <x:c r="H162" s="97" t="str"/>
      <x:c r="I162" s="97" t="str"/>
      <x:c r="J162" s="97" t="str"/>
      <x:c r="K162" s="97" t="str"/>
      <x:c r="L162" s="97" t="str">
        <x:v>No verified portrait was present in the repository or canonical evidence ledger at audit time.</x:v>
      </x:c>
    </x:row>
    <x:row r="163">
      <x:c r="A163" s="97" t="str">
        <x:v>person</x:v>
      </x:c>
      <x:c r="B163" s="97" t="str">
        <x:v>I167</x:v>
      </x:c>
      <x:c r="C163" s="97" t="str">
        <x:v>Ann Godwin</x:v>
      </x:c>
      <x:c r="D163" s="97" t="str">
        <x:v>no_verified_photo_archived</x:v>
      </x:c>
      <x:c r="E163" s="97" t="str"/>
      <x:c r="F163" s="97" t="str"/>
      <x:c r="G163" s="97" t="str">
        <x:v>I167</x:v>
      </x:c>
      <x:c r="H163" s="97" t="str"/>
      <x:c r="I163" s="97" t="str"/>
      <x:c r="J163" s="97" t="str"/>
      <x:c r="K163" s="97" t="str"/>
      <x:c r="L163" s="97" t="str">
        <x:v>No verified portrait was present in the repository or canonical evidence ledger at audit time.</x:v>
      </x:c>
    </x:row>
    <x:row r="164">
      <x:c r="A164" s="97" t="str">
        <x:v>person</x:v>
      </x:c>
      <x:c r="B164" s="97" t="str">
        <x:v>I168</x:v>
      </x:c>
      <x:c r="C164" s="97" t="str">
        <x:v>James Ford</x:v>
      </x:c>
      <x:c r="D164" s="97" t="str">
        <x:v>no_verified_photo_archived</x:v>
      </x:c>
      <x:c r="E164" s="97" t="str"/>
      <x:c r="F164" s="97" t="str"/>
      <x:c r="G164" s="97" t="str">
        <x:v>I168</x:v>
      </x:c>
      <x:c r="H164" s="97" t="str"/>
      <x:c r="I164" s="97" t="str"/>
      <x:c r="J164" s="97" t="str"/>
      <x:c r="K164" s="97" t="str"/>
      <x:c r="L164" s="97" t="str">
        <x:v>No verified portrait was present in the repository or canonical evidence ledger at audit time.</x:v>
      </x:c>
    </x:row>
    <x:row r="165">
      <x:c r="A165" s="97" t="str">
        <x:v>person</x:v>
      </x:c>
      <x:c r="B165" s="97" t="str">
        <x:v>I169</x:v>
      </x:c>
      <x:c r="C165" s="97" t="str">
        <x:v>Ann Bondurant</x:v>
      </x:c>
      <x:c r="D165" s="97" t="str">
        <x:v>no_verified_photo_archived</x:v>
      </x:c>
      <x:c r="E165" s="97" t="str"/>
      <x:c r="F165" s="97" t="str"/>
      <x:c r="G165" s="97" t="str">
        <x:v>I169</x:v>
      </x:c>
      <x:c r="H165" s="97" t="str"/>
      <x:c r="I165" s="97" t="str"/>
      <x:c r="J165" s="97" t="str"/>
      <x:c r="K165" s="97" t="str"/>
      <x:c r="L165" s="97" t="str">
        <x:v>No verified portrait was present in the repository or canonical evidence ledger at audit time.</x:v>
      </x:c>
    </x:row>
    <x:row r="166">
      <x:c r="A166" s="97" t="str">
        <x:v>person</x:v>
      </x:c>
      <x:c r="B166" s="97" t="str">
        <x:v>I170</x:v>
      </x:c>
      <x:c r="C166" s="97" t="str">
        <x:v>Isaac Godwin</x:v>
      </x:c>
      <x:c r="D166" s="97" t="str">
        <x:v>no_verified_photo_archived</x:v>
      </x:c>
      <x:c r="E166" s="97" t="str"/>
      <x:c r="F166" s="97" t="str"/>
      <x:c r="G166" s="97" t="str">
        <x:v>I170</x:v>
      </x:c>
      <x:c r="H166" s="97" t="str"/>
      <x:c r="I166" s="97" t="str"/>
      <x:c r="J166" s="97" t="str"/>
      <x:c r="K166" s="97" t="str"/>
      <x:c r="L166" s="97" t="str">
        <x:v>No verified portrait was present in the repository or canonical evidence ledger at audit time.</x:v>
      </x:c>
    </x:row>
    <x:row r="167">
      <x:c r="A167" s="97" t="str">
        <x:v>person</x:v>
      </x:c>
      <x:c r="B167" s="97" t="str">
        <x:v>I171</x:v>
      </x:c>
      <x:c r="C167" s="97" t="str">
        <x:v>Ann Godwin</x:v>
      </x:c>
      <x:c r="D167" s="97" t="str">
        <x:v>no_verified_photo_archived</x:v>
      </x:c>
      <x:c r="E167" s="97" t="str"/>
      <x:c r="F167" s="97" t="str"/>
      <x:c r="G167" s="97" t="str">
        <x:v>I171</x:v>
      </x:c>
      <x:c r="H167" s="97" t="str"/>
      <x:c r="I167" s="97" t="str"/>
      <x:c r="J167" s="97" t="str"/>
      <x:c r="K167" s="97" t="str"/>
      <x:c r="L167" s="97" t="str">
        <x:v>No verified portrait was present in the repository or canonical evidence ledger at audit time.</x:v>
      </x:c>
    </x:row>
    <x:row r="168">
      <x:c r="A168" s="97" t="str">
        <x:v>person</x:v>
      </x:c>
      <x:c r="B168" s="97" t="str">
        <x:v>I172</x:v>
      </x:c>
      <x:c r="C168" s="97" t="str">
        <x:v>Anthony Agee</x:v>
      </x:c>
      <x:c r="D168" s="97" t="str">
        <x:v>no_verified_photo_archived</x:v>
      </x:c>
      <x:c r="E168" s="97" t="str"/>
      <x:c r="F168" s="97" t="str"/>
      <x:c r="G168" s="97" t="str">
        <x:v>I172</x:v>
      </x:c>
      <x:c r="H168" s="97" t="str"/>
      <x:c r="I168" s="97" t="str"/>
      <x:c r="J168" s="97" t="str"/>
      <x:c r="K168" s="97" t="str"/>
      <x:c r="L168" s="97" t="str">
        <x:v>No verified portrait was present in the repository or canonical evidence ledger at audit time.</x:v>
      </x:c>
    </x:row>
    <x:row r="169">
      <x:c r="A169" s="97" t="str">
        <x:v>person</x:v>
      </x:c>
      <x:c r="B169" s="97" t="str">
        <x:v>I173</x:v>
      </x:c>
      <x:c r="C169" s="97" t="str">
        <x:v>Judith Chastain</x:v>
      </x:c>
      <x:c r="D169" s="97" t="str">
        <x:v>no_verified_photo_archived</x:v>
      </x:c>
      <x:c r="E169" s="97" t="str"/>
      <x:c r="F169" s="97" t="str"/>
      <x:c r="G169" s="97" t="str">
        <x:v>I173</x:v>
      </x:c>
      <x:c r="H169" s="97" t="str"/>
      <x:c r="I169" s="97" t="str"/>
      <x:c r="J169" s="97" t="str"/>
      <x:c r="K169" s="97" t="str"/>
      <x:c r="L169" s="97" t="str">
        <x:v>No verified portrait was present in the repository or canonical evidence ledger at audit time.</x:v>
      </x:c>
    </x:row>
    <x:row r="170">
      <x:c r="A170" s="97" t="str">
        <x:v>person</x:v>
      </x:c>
      <x:c r="B170" s="97" t="str">
        <x:v>I174</x:v>
      </x:c>
      <x:c r="C170" s="97" t="str">
        <x:v>Jean Pierre John Peter Bondurant</x:v>
      </x:c>
      <x:c r="D170" s="97" t="str">
        <x:v>no_verified_photo_archived</x:v>
      </x:c>
      <x:c r="E170" s="97" t="str"/>
      <x:c r="F170" s="97" t="str"/>
      <x:c r="G170" s="97" t="str">
        <x:v>I174</x:v>
      </x:c>
      <x:c r="H170" s="97" t="str"/>
      <x:c r="I170" s="97" t="str"/>
      <x:c r="J170" s="97" t="str"/>
      <x:c r="K170" s="97" t="str"/>
      <x:c r="L170" s="97" t="str">
        <x:v>No verified portrait was present in the repository or canonical evidence ledger at audit time.</x:v>
      </x:c>
    </x:row>
    <x:row r="171">
      <x:c r="A171" s="97" t="str">
        <x:v>person</x:v>
      </x:c>
      <x:c r="B171" s="97" t="str">
        <x:v>I175</x:v>
      </x:c>
      <x:c r="C171" s="97" t="str">
        <x:v>Arianna Lynn Annie Vollmer</x:v>
      </x:c>
      <x:c r="D171" s="97" t="str">
        <x:v>no_verified_photo_archived</x:v>
      </x:c>
      <x:c r="E171" s="97" t="str"/>
      <x:c r="F171" s="97" t="str"/>
      <x:c r="G171" s="97" t="str">
        <x:v>I175</x:v>
      </x:c>
      <x:c r="H171" s="97" t="str"/>
      <x:c r="I171" s="97" t="str"/>
      <x:c r="J171" s="97" t="str"/>
      <x:c r="K171" s="97" t="str"/>
      <x:c r="L171" s="97" t="str">
        <x:v>No verified portrait was present in the repository or canonical evidence ledger at audit time.</x:v>
      </x:c>
    </x:row>
    <x:row r="172">
      <x:c r="A172" s="97" t="str">
        <x:v>person</x:v>
      </x:c>
      <x:c r="B172" s="97" t="str">
        <x:v>I176</x:v>
      </x:c>
      <x:c r="C172" s="97" t="str">
        <x:v>Henry Richard Vollmer</x:v>
      </x:c>
      <x:c r="D172" s="97" t="str">
        <x:v>no_verified_photo_archived</x:v>
      </x:c>
      <x:c r="E172" s="97" t="str"/>
      <x:c r="F172" s="97" t="str"/>
      <x:c r="G172" s="97" t="str">
        <x:v>I176</x:v>
      </x:c>
      <x:c r="H172" s="97" t="str">
        <x:v>E039</x:v>
      </x:c>
      <x:c r="I172" s="97" t="str"/>
      <x:c r="J172" s="97" t="str"/>
      <x:c r="K172" s="97" t="str"/>
      <x:c r="L172" s="97" t="str">
        <x:v>No verified portrait was present in the repository or canonical evidence ledger at audit time.</x:v>
      </x:c>
    </x:row>
    <x:row r="173">
      <x:c r="A173" s="97" t="str">
        <x:v>person</x:v>
      </x:c>
      <x:c r="B173" s="97" t="str">
        <x:v>I177</x:v>
      </x:c>
      <x:c r="C173" s="97" t="str">
        <x:v>Bruce Eric Muller</x:v>
      </x:c>
      <x:c r="D173" s="97" t="str">
        <x:v>no_verified_photo_archived</x:v>
      </x:c>
      <x:c r="E173" s="97" t="str"/>
      <x:c r="F173" s="97" t="str"/>
      <x:c r="G173" s="97" t="str">
        <x:v>I177</x:v>
      </x:c>
      <x:c r="H173" s="97" t="str"/>
      <x:c r="I173" s="97" t="str"/>
      <x:c r="J173" s="97" t="str"/>
      <x:c r="K173" s="97" t="str"/>
      <x:c r="L173" s="97" t="str">
        <x:v>No verified portrait was present in the repository or canonical evidence ledger at audit time.</x:v>
      </x:c>
    </x:row>
    <x:row r="174">
      <x:c r="A174" s="97" t="str">
        <x:v>person</x:v>
      </x:c>
      <x:c r="B174" s="97" t="str">
        <x:v>I178</x:v>
      </x:c>
      <x:c r="C174" s="97" t="str">
        <x:v>Mary Gene Muller Chaffee</x:v>
      </x:c>
      <x:c r="D174" s="97" t="str">
        <x:v>no_verified_photo_archived</x:v>
      </x:c>
      <x:c r="E174" s="97" t="str"/>
      <x:c r="F174" s="97" t="str"/>
      <x:c r="G174" s="97" t="str">
        <x:v>I178</x:v>
      </x:c>
      <x:c r="H174" s="97" t="str"/>
      <x:c r="I174" s="97" t="str"/>
      <x:c r="J174" s="97" t="str"/>
      <x:c r="K174" s="97" t="str"/>
      <x:c r="L174" s="97" t="str">
        <x:v>No verified portrait was present in the repository or canonical evidence ledger at audit time.</x:v>
      </x:c>
    </x:row>
    <x:row r="175">
      <x:c r="A175" s="97" t="str">
        <x:v>person</x:v>
      </x:c>
      <x:c r="B175" s="97" t="str">
        <x:v>I179</x:v>
      </x:c>
      <x:c r="C175" s="97" t="str">
        <x:v>Elmer James Chaffee Jr</x:v>
      </x:c>
      <x:c r="D175" s="97" t="str">
        <x:v>no_verified_photo_archived</x:v>
      </x:c>
      <x:c r="E175" s="97" t="str"/>
      <x:c r="F175" s="97" t="str"/>
      <x:c r="G175" s="97" t="str">
        <x:v>I179</x:v>
      </x:c>
      <x:c r="H175" s="97" t="str"/>
      <x:c r="I175" s="97" t="str"/>
      <x:c r="J175" s="97" t="str"/>
      <x:c r="K175" s="97" t="str"/>
      <x:c r="L175" s="97" t="str">
        <x:v>No verified portrait was present in the repository or canonical evidence ledger at audit time.</x:v>
      </x:c>
    </x:row>
    <x:row r="176">
      <x:c r="A176" s="97" t="str">
        <x:v>person</x:v>
      </x:c>
      <x:c r="B176" s="97" t="str">
        <x:v>I180</x:v>
      </x:c>
      <x:c r="C176" s="97" t="str">
        <x:v>Linda Chaffee</x:v>
      </x:c>
      <x:c r="D176" s="97" t="str">
        <x:v>no_verified_photo_archived</x:v>
      </x:c>
      <x:c r="E176" s="97" t="str"/>
      <x:c r="F176" s="97" t="str"/>
      <x:c r="G176" s="97" t="str">
        <x:v>I180</x:v>
      </x:c>
      <x:c r="H176" s="97" t="str"/>
      <x:c r="I176" s="97" t="str"/>
      <x:c r="J176" s="97" t="str"/>
      <x:c r="K176" s="97" t="str"/>
      <x:c r="L176" s="97" t="str">
        <x:v>No verified portrait was present in the repository or canonical evidence ledger at audit time.</x:v>
      </x:c>
    </x:row>
    <x:row r="177">
      <x:c r="A177" s="97" t="str">
        <x:v>person</x:v>
      </x:c>
      <x:c r="B177" s="97" t="str">
        <x:v>I181</x:v>
      </x:c>
      <x:c r="C177" s="97" t="str">
        <x:v>Lori Chaffee Mettler</x:v>
      </x:c>
      <x:c r="D177" s="97" t="str">
        <x:v>no_verified_photo_archived</x:v>
      </x:c>
      <x:c r="E177" s="97" t="str"/>
      <x:c r="F177" s="97" t="str"/>
      <x:c r="G177" s="97" t="str">
        <x:v>I181</x:v>
      </x:c>
      <x:c r="H177" s="97" t="str"/>
      <x:c r="I177" s="97" t="str"/>
      <x:c r="J177" s="97" t="str"/>
      <x:c r="K177" s="97" t="str"/>
      <x:c r="L177" s="97" t="str">
        <x:v>No verified portrait was present in the repository or canonical evidence ledger at audit time.</x:v>
      </x:c>
    </x:row>
    <x:row r="178">
      <x:c r="A178" s="97" t="str">
        <x:v>person</x:v>
      </x:c>
      <x:c r="B178" s="97" t="str">
        <x:v>I182</x:v>
      </x:c>
      <x:c r="C178" s="97" t="str">
        <x:v>James Chaffee</x:v>
      </x:c>
      <x:c r="D178" s="97" t="str">
        <x:v>no_verified_photo_archived</x:v>
      </x:c>
      <x:c r="E178" s="97" t="str"/>
      <x:c r="F178" s="97" t="str"/>
      <x:c r="G178" s="97" t="str">
        <x:v>I182</x:v>
      </x:c>
      <x:c r="H178" s="97" t="str"/>
      <x:c r="I178" s="97" t="str"/>
      <x:c r="J178" s="97" t="str"/>
      <x:c r="K178" s="97" t="str"/>
      <x:c r="L178" s="97" t="str">
        <x:v>No verified portrait was present in the repository or canonical evidence ledger at audit time.</x:v>
      </x:c>
    </x:row>
    <x:row r="179">
      <x:c r="A179" s="97" t="str">
        <x:v>person</x:v>
      </x:c>
      <x:c r="B179" s="97" t="str">
        <x:v>I183</x:v>
      </x:c>
      <x:c r="C179" s="97" t="str">
        <x:v>Jane Lee Muller Swick</x:v>
      </x:c>
      <x:c r="D179" s="97" t="str">
        <x:v>no_verified_photo_archived</x:v>
      </x:c>
      <x:c r="E179" s="97" t="str"/>
      <x:c r="F179" s="97" t="str"/>
      <x:c r="G179" s="97" t="str">
        <x:v>I183</x:v>
      </x:c>
      <x:c r="H179" s="97" t="str"/>
      <x:c r="I179" s="97" t="str"/>
      <x:c r="J179" s="97" t="str"/>
      <x:c r="K179" s="97" t="str"/>
      <x:c r="L179" s="97" t="str">
        <x:v>No verified portrait was present in the repository or canonical evidence ledger at audit time.</x:v>
      </x:c>
    </x:row>
    <x:row r="180">
      <x:c r="A180" s="97" t="str">
        <x:v>person</x:v>
      </x:c>
      <x:c r="B180" s="97" t="str">
        <x:v>I184</x:v>
      </x:c>
      <x:c r="C180" s="97" t="str">
        <x:v>Howard Swick</x:v>
      </x:c>
      <x:c r="D180" s="97" t="str">
        <x:v>no_verified_photo_archived</x:v>
      </x:c>
      <x:c r="E180" s="97" t="str"/>
      <x:c r="F180" s="97" t="str"/>
      <x:c r="G180" s="97" t="str">
        <x:v>I184</x:v>
      </x:c>
      <x:c r="H180" s="97" t="str"/>
      <x:c r="I180" s="97" t="str"/>
      <x:c r="J180" s="97" t="str"/>
      <x:c r="K180" s="97" t="str"/>
      <x:c r="L180" s="97" t="str">
        <x:v>No verified portrait was present in the repository or canonical evidence ledger at audit time.</x:v>
      </x:c>
    </x:row>
    <x:row r="181">
      <x:c r="A181" s="97" t="str">
        <x:v>person</x:v>
      </x:c>
      <x:c r="B181" s="97" t="str">
        <x:v>I185</x:v>
      </x:c>
      <x:c r="C181" s="97" t="str">
        <x:v>Kathy Swick Werblo</x:v>
      </x:c>
      <x:c r="D181" s="97" t="str">
        <x:v>no_verified_photo_archived</x:v>
      </x:c>
      <x:c r="E181" s="97" t="str"/>
      <x:c r="F181" s="97" t="str"/>
      <x:c r="G181" s="97" t="str">
        <x:v>I185</x:v>
      </x:c>
      <x:c r="H181" s="97" t="str"/>
      <x:c r="I181" s="97" t="str"/>
      <x:c r="J181" s="97" t="str"/>
      <x:c r="K181" s="97" t="str"/>
      <x:c r="L181" s="97" t="str">
        <x:v>No verified portrait was present in the repository or canonical evidence ledger at audit time.</x:v>
      </x:c>
    </x:row>
    <x:row r="182">
      <x:c r="A182" s="97" t="str">
        <x:v>person</x:v>
      </x:c>
      <x:c r="B182" s="97" t="str">
        <x:v>I186</x:v>
      </x:c>
      <x:c r="C182" s="97" t="str">
        <x:v>Dave Werblo</x:v>
      </x:c>
      <x:c r="D182" s="97" t="str">
        <x:v>no_verified_photo_archived</x:v>
      </x:c>
      <x:c r="E182" s="97" t="str"/>
      <x:c r="F182" s="97" t="str"/>
      <x:c r="G182" s="97" t="str">
        <x:v>I186</x:v>
      </x:c>
      <x:c r="H182" s="97" t="str"/>
      <x:c r="I182" s="97" t="str"/>
      <x:c r="J182" s="97" t="str"/>
      <x:c r="K182" s="97" t="str"/>
      <x:c r="L182" s="97" t="str">
        <x:v>No verified portrait was present in the repository or canonical evidence ledger at audit time.</x:v>
      </x:c>
    </x:row>
    <x:row r="183">
      <x:c r="A183" s="97" t="str">
        <x:v>person</x:v>
      </x:c>
      <x:c r="B183" s="97" t="str">
        <x:v>I187</x:v>
      </x:c>
      <x:c r="C183" s="97" t="str">
        <x:v>John Swick</x:v>
      </x:c>
      <x:c r="D183" s="97" t="str">
        <x:v>no_verified_photo_archived</x:v>
      </x:c>
      <x:c r="E183" s="97" t="str"/>
      <x:c r="F183" s="97" t="str"/>
      <x:c r="G183" s="97" t="str">
        <x:v>I187</x:v>
      </x:c>
      <x:c r="H183" s="97" t="str"/>
      <x:c r="I183" s="97" t="str"/>
      <x:c r="J183" s="97" t="str"/>
      <x:c r="K183" s="97" t="str"/>
      <x:c r="L183" s="97" t="str">
        <x:v>No verified portrait was present in the repository or canonical evidence ledger at audit time.</x:v>
      </x:c>
    </x:row>
    <x:row r="184">
      <x:c r="A184" s="97" t="str">
        <x:v>person</x:v>
      </x:c>
      <x:c r="B184" s="97" t="str">
        <x:v>I188</x:v>
      </x:c>
      <x:c r="C184" s="97" t="str">
        <x:v>Celeste</x:v>
      </x:c>
      <x:c r="D184" s="97" t="str">
        <x:v>no_verified_photo_archived</x:v>
      </x:c>
      <x:c r="E184" s="97" t="str"/>
      <x:c r="F184" s="97" t="str"/>
      <x:c r="G184" s="97" t="str">
        <x:v>I188</x:v>
      </x:c>
      <x:c r="H184" s="97" t="str"/>
      <x:c r="I184" s="97" t="str"/>
      <x:c r="J184" s="97" t="str"/>
      <x:c r="K184" s="97" t="str"/>
      <x:c r="L184" s="97" t="str">
        <x:v>No verified portrait was present in the repository or canonical evidence ledger at audit time.</x:v>
      </x:c>
    </x:row>
    <x:row r="185">
      <x:c r="A185" s="97" t="str">
        <x:v>person</x:v>
      </x:c>
      <x:c r="B185" s="97" t="str">
        <x:v>I189</x:v>
      </x:c>
      <x:c r="C185" s="97" t="str">
        <x:v>Susan Sue Swick Galbraith</x:v>
      </x:c>
      <x:c r="D185" s="97" t="str">
        <x:v>no_verified_photo_archived</x:v>
      </x:c>
      <x:c r="E185" s="97" t="str"/>
      <x:c r="F185" s="97" t="str"/>
      <x:c r="G185" s="97" t="str">
        <x:v>I189</x:v>
      </x:c>
      <x:c r="H185" s="97" t="str"/>
      <x:c r="I185" s="97" t="str"/>
      <x:c r="J185" s="97" t="str"/>
      <x:c r="K185" s="97" t="str"/>
      <x:c r="L185" s="97" t="str">
        <x:v>No verified portrait was present in the repository or canonical evidence ledger at audit time.</x:v>
      </x:c>
    </x:row>
    <x:row r="186">
      <x:c r="A186" s="97" t="str">
        <x:v>person</x:v>
      </x:c>
      <x:c r="B186" s="97" t="str">
        <x:v>I190</x:v>
      </x:c>
      <x:c r="C186" s="97" t="str">
        <x:v>Gordon Galbraith</x:v>
      </x:c>
      <x:c r="D186" s="97" t="str">
        <x:v>no_verified_photo_archived</x:v>
      </x:c>
      <x:c r="E186" s="97" t="str"/>
      <x:c r="F186" s="97" t="str"/>
      <x:c r="G186" s="97" t="str">
        <x:v>I190</x:v>
      </x:c>
      <x:c r="H186" s="97" t="str"/>
      <x:c r="I186" s="97" t="str"/>
      <x:c r="J186" s="97" t="str"/>
      <x:c r="K186" s="97" t="str"/>
      <x:c r="L186" s="97" t="str">
        <x:v>No verified portrait was present in the repository or canonical evidence ledger at audit time.</x:v>
      </x:c>
    </x:row>
    <x:row r="187">
      <x:c r="A187" s="97" t="str">
        <x:v>person</x:v>
      </x:c>
      <x:c r="B187" s="97" t="str">
        <x:v>I191</x:v>
      </x:c>
      <x:c r="C187" s="97" t="str">
        <x:v>Patti Swick</x:v>
      </x:c>
      <x:c r="D187" s="97" t="str">
        <x:v>no_verified_photo_archived</x:v>
      </x:c>
      <x:c r="E187" s="97" t="str"/>
      <x:c r="F187" s="97" t="str"/>
      <x:c r="G187" s="97" t="str">
        <x:v>I191</x:v>
      </x:c>
      <x:c r="H187" s="97" t="str"/>
      <x:c r="I187" s="97" t="str"/>
      <x:c r="J187" s="97" t="str"/>
      <x:c r="K187" s="97" t="str"/>
      <x:c r="L187" s="97" t="str">
        <x:v>No verified portrait was present in the repository or canonical evidence ledger at audit time.</x:v>
      </x:c>
    </x:row>
    <x:row r="188">
      <x:c r="A188" s="97" t="str">
        <x:v>person</x:v>
      </x:c>
      <x:c r="B188" s="97" t="str">
        <x:v>I192</x:v>
      </x:c>
      <x:c r="C188" s="97" t="str">
        <x:v>Rick Lilly</x:v>
      </x:c>
      <x:c r="D188" s="97" t="str">
        <x:v>no_verified_photo_archived</x:v>
      </x:c>
      <x:c r="E188" s="97" t="str"/>
      <x:c r="F188" s="97" t="str"/>
      <x:c r="G188" s="97" t="str">
        <x:v>I192</x:v>
      </x:c>
      <x:c r="H188" s="97" t="str"/>
      <x:c r="I188" s="97" t="str"/>
      <x:c r="J188" s="97" t="str"/>
      <x:c r="K188" s="97" t="str"/>
      <x:c r="L188" s="97" t="str">
        <x:v>No verified portrait was present in the repository or canonical evidence ledger at audit time.</x:v>
      </x:c>
    </x:row>
    <x:row r="189">
      <x:c r="A189" s="97" t="str">
        <x:v>person</x:v>
      </x:c>
      <x:c r="B189" s="97" t="str">
        <x:v>I193</x:v>
      </x:c>
      <x:c r="C189" s="97" t="str">
        <x:v>Philip Brooks McCormick</x:v>
      </x:c>
      <x:c r="D189" s="97" t="str">
        <x:v>external_photo_page</x:v>
      </x:c>
      <x:c r="E189" s="97" t="str"/>
      <x:c r="F189" s="97" t="str">
        <x:v>https://www.legacy.com/obituaries/name/philip-mccormick-obituary?pid=198128174</x:v>
      </x:c>
      <x:c r="G189" s="97" t="str">
        <x:v>I193</x:v>
      </x:c>
      <x:c r="H189" s="97" t="str"/>
      <x:c r="I189" s="97" t="str">
        <x:v>S27;S46</x:v>
      </x:c>
      <x:c r="J189" s="97" t="str"/>
      <x:c r="K189" s="97" t="str"/>
      <x:c r="L189" s="97" t="str">
        <x:v>External obituary image; not copied into the repository. The exact-name obituary page is the verified external page associated with Philip Brooks McCormick and includes a portrait area.</x:v>
      </x:c>
    </x:row>
    <x:row r="190">
      <x:c r="A190" s="97" t="str">
        <x:v>person</x:v>
      </x:c>
      <x:c r="B190" s="97" t="str">
        <x:v>I194</x:v>
      </x:c>
      <x:c r="C190" s="97" t="str">
        <x:v>Elizabeth Betsy Ross McCormick</x:v>
      </x:c>
      <x:c r="D190" s="97" t="str">
        <x:v>no_verified_photo_archived</x:v>
      </x:c>
      <x:c r="E190" s="97" t="str"/>
      <x:c r="F190" s="97" t="str"/>
      <x:c r="G190" s="97" t="str">
        <x:v>I194</x:v>
      </x:c>
      <x:c r="H190" s="97" t="str"/>
      <x:c r="I190" s="97" t="str"/>
      <x:c r="J190" s="97" t="str"/>
      <x:c r="K190" s="97" t="str"/>
      <x:c r="L190" s="97" t="str">
        <x:v>No verified portrait was present in the repository or canonical evidence ledger at audit time.</x:v>
      </x:c>
    </x:row>
    <x:row r="191">
      <x:c r="A191" s="97" t="str">
        <x:v>person</x:v>
      </x:c>
      <x:c r="B191" s="97" t="str">
        <x:v>I195</x:v>
      </x:c>
      <x:c r="C191" s="97" t="str">
        <x:v>Sandy McCormick Hill</x:v>
      </x:c>
      <x:c r="D191" s="97" t="str">
        <x:v>no_verified_photo_archived</x:v>
      </x:c>
      <x:c r="E191" s="97" t="str"/>
      <x:c r="F191" s="97" t="str"/>
      <x:c r="G191" s="97" t="str">
        <x:v>I195</x:v>
      </x:c>
      <x:c r="H191" s="97" t="str"/>
      <x:c r="I191" s="97" t="str"/>
      <x:c r="J191" s="97" t="str"/>
      <x:c r="K191" s="97" t="str"/>
      <x:c r="L191" s="97" t="str">
        <x:v>No verified portrait was present in the repository or canonical evidence ledger at audit time.</x:v>
      </x:c>
    </x:row>
    <x:row r="192">
      <x:c r="A192" s="97" t="str">
        <x:v>person</x:v>
      </x:c>
      <x:c r="B192" s="97" t="str">
        <x:v>I196</x:v>
      </x:c>
      <x:c r="C192" s="97" t="str">
        <x:v>John Hill</x:v>
      </x:c>
      <x:c r="D192" s="97" t="str">
        <x:v>no_verified_photo_archived</x:v>
      </x:c>
      <x:c r="E192" s="97" t="str"/>
      <x:c r="F192" s="97" t="str"/>
      <x:c r="G192" s="97" t="str">
        <x:v>I196</x:v>
      </x:c>
      <x:c r="H192" s="97" t="str"/>
      <x:c r="I192" s="97" t="str"/>
      <x:c r="J192" s="97" t="str"/>
      <x:c r="K192" s="97" t="str"/>
      <x:c r="L192" s="97" t="str">
        <x:v>No verified portrait was present in the repository or canonical evidence ledger at audit time.</x:v>
      </x:c>
    </x:row>
    <x:row r="193">
      <x:c r="A193" s="97" t="str">
        <x:v>person</x:v>
      </x:c>
      <x:c r="B193" s="97" t="str">
        <x:v>I197</x:v>
      </x:c>
      <x:c r="C193" s="97" t="str">
        <x:v>Ross McCormick</x:v>
      </x:c>
      <x:c r="D193" s="97" t="str">
        <x:v>no_verified_photo_archived</x:v>
      </x:c>
      <x:c r="E193" s="97" t="str"/>
      <x:c r="F193" s="97" t="str"/>
      <x:c r="G193" s="97" t="str">
        <x:v>I197</x:v>
      </x:c>
      <x:c r="H193" s="97" t="str"/>
      <x:c r="I193" s="97" t="str"/>
      <x:c r="J193" s="97" t="str"/>
      <x:c r="K193" s="97" t="str"/>
      <x:c r="L193" s="97" t="str">
        <x:v>No verified portrait was present in the repository or canonical evidence ledger at audit time.</x:v>
      </x:c>
    </x:row>
    <x:row r="194">
      <x:c r="A194" s="97" t="str">
        <x:v>person</x:v>
      </x:c>
      <x:c r="B194" s="97" t="str">
        <x:v>I198</x:v>
      </x:c>
      <x:c r="C194" s="97" t="str">
        <x:v>Carrie McCormick</x:v>
      </x:c>
      <x:c r="D194" s="97" t="str">
        <x:v>no_verified_photo_archived</x:v>
      </x:c>
      <x:c r="E194" s="97" t="str"/>
      <x:c r="F194" s="97" t="str"/>
      <x:c r="G194" s="97" t="str">
        <x:v>I198</x:v>
      </x:c>
      <x:c r="H194" s="97" t="str"/>
      <x:c r="I194" s="97" t="str"/>
      <x:c r="J194" s="97" t="str"/>
      <x:c r="K194" s="97" t="str"/>
      <x:c r="L194" s="97" t="str">
        <x:v>No verified portrait was present in the repository or canonical evidence ledger at audit time.</x:v>
      </x:c>
    </x:row>
    <x:row r="195">
      <x:c r="A195" s="97" t="str">
        <x:v>person</x:v>
      </x:c>
      <x:c r="B195" s="97" t="str">
        <x:v>I199</x:v>
      </x:c>
      <x:c r="C195" s="97" t="str">
        <x:v>Tina McCormick</x:v>
      </x:c>
      <x:c r="D195" s="97" t="str">
        <x:v>no_verified_photo_archived</x:v>
      </x:c>
      <x:c r="E195" s="97" t="str"/>
      <x:c r="F195" s="97" t="str"/>
      <x:c r="G195" s="97" t="str">
        <x:v>I199</x:v>
      </x:c>
      <x:c r="H195" s="97" t="str"/>
      <x:c r="I195" s="97" t="str"/>
      <x:c r="J195" s="97" t="str"/>
      <x:c r="K195" s="97" t="str"/>
      <x:c r="L195" s="97" t="str">
        <x:v>No verified portrait was present in the repository or canonical evidence ledger at audit time.</x:v>
      </x:c>
    </x:row>
    <x:row r="196">
      <x:c r="A196" s="97" t="str">
        <x:v>person</x:v>
      </x:c>
      <x:c r="B196" s="97" t="str">
        <x:v>I200</x:v>
      </x:c>
      <x:c r="C196" s="97" t="str">
        <x:v>Charles McCormick</x:v>
      </x:c>
      <x:c r="D196" s="97" t="str">
        <x:v>no_verified_photo_archived</x:v>
      </x:c>
      <x:c r="E196" s="97" t="str"/>
      <x:c r="F196" s="97" t="str"/>
      <x:c r="G196" s="97" t="str">
        <x:v>I200</x:v>
      </x:c>
      <x:c r="H196" s="97" t="str"/>
      <x:c r="I196" s="97" t="str"/>
      <x:c r="J196" s="97" t="str"/>
      <x:c r="K196" s="97" t="str"/>
      <x:c r="L196" s="97" t="str">
        <x:v>No verified portrait was present in the repository or canonical evidence ledger at audit time.</x:v>
      </x:c>
    </x:row>
    <x:row r="197">
      <x:c r="A197" s="97" t="str">
        <x:v>person</x:v>
      </x:c>
      <x:c r="B197" s="97" t="str">
        <x:v>I201</x:v>
      </x:c>
      <x:c r="C197" s="97" t="str">
        <x:v>Judy McCormick</x:v>
      </x:c>
      <x:c r="D197" s="97" t="str">
        <x:v>no_verified_photo_archived</x:v>
      </x:c>
      <x:c r="E197" s="97" t="str"/>
      <x:c r="F197" s="97" t="str"/>
      <x:c r="G197" s="97" t="str">
        <x:v>I201</x:v>
      </x:c>
      <x:c r="H197" s="97" t="str"/>
      <x:c r="I197" s="97" t="str"/>
      <x:c r="J197" s="97" t="str"/>
      <x:c r="K197" s="97" t="str"/>
      <x:c r="L197" s="97" t="str">
        <x:v>No verified portrait was present in the repository or canonical evidence ledger at audit time.</x:v>
      </x:c>
    </x:row>
    <x:row r="198">
      <x:c r="A198" s="97" t="str">
        <x:v>person</x:v>
      </x:c>
      <x:c r="B198" s="97" t="str">
        <x:v>I202</x:v>
      </x:c>
      <x:c r="C198" s="97" t="str">
        <x:v>Gwendolyn Gwen McCormick Hull</x:v>
      </x:c>
      <x:c r="D198" s="97" t="str">
        <x:v>no_verified_photo_archived</x:v>
      </x:c>
      <x:c r="E198" s="97" t="str"/>
      <x:c r="F198" s="97" t="str"/>
      <x:c r="G198" s="97" t="str">
        <x:v>I202</x:v>
      </x:c>
      <x:c r="H198" s="97" t="str"/>
      <x:c r="I198" s="97" t="str"/>
      <x:c r="J198" s="97" t="str"/>
      <x:c r="K198" s="97" t="str"/>
      <x:c r="L198" s="97" t="str">
        <x:v>No verified portrait was present in the repository or canonical evidence ledger at audit time.</x:v>
      </x:c>
    </x:row>
    <x:row r="199">
      <x:c r="A199" s="97" t="str">
        <x:v>person</x:v>
      </x:c>
      <x:c r="B199" s="97" t="str">
        <x:v>I203</x:v>
      </x:c>
      <x:c r="C199" s="97" t="str">
        <x:v>Jim Hull</x:v>
      </x:c>
      <x:c r="D199" s="97" t="str">
        <x:v>no_verified_photo_archived</x:v>
      </x:c>
      <x:c r="E199" s="97" t="str"/>
      <x:c r="F199" s="97" t="str"/>
      <x:c r="G199" s="97" t="str">
        <x:v>I203</x:v>
      </x:c>
      <x:c r="H199" s="97" t="str"/>
      <x:c r="I199" s="97" t="str"/>
      <x:c r="J199" s="97" t="str"/>
      <x:c r="K199" s="97" t="str"/>
      <x:c r="L199" s="97" t="str">
        <x:v>No verified portrait was present in the repository or canonical evidence ledger at audit time.</x:v>
      </x:c>
    </x:row>
    <x:row r="200">
      <x:c r="A200" s="97" t="str">
        <x:v>person</x:v>
      </x:c>
      <x:c r="B200" s="97" t="str">
        <x:v>I204</x:v>
      </x:c>
      <x:c r="C200" s="97" t="str">
        <x:v>Carey Zaura</x:v>
      </x:c>
      <x:c r="D200" s="97" t="str">
        <x:v>no_verified_photo_archived</x:v>
      </x:c>
      <x:c r="E200" s="97" t="str"/>
      <x:c r="F200" s="97" t="str"/>
      <x:c r="G200" s="97" t="str">
        <x:v>I204</x:v>
      </x:c>
      <x:c r="H200" s="97" t="str"/>
      <x:c r="I200" s="97" t="str"/>
      <x:c r="J200" s="97" t="str"/>
      <x:c r="K200" s="97" t="str"/>
      <x:c r="L200" s="97" t="str">
        <x:v>No verified portrait was present in the repository or canonical evidence ledger at audit time.</x:v>
      </x:c>
    </x:row>
    <x:row r="201">
      <x:c r="A201" s="97" t="str">
        <x:v>person</x:v>
      </x:c>
      <x:c r="B201" s="97" t="str">
        <x:v>I205</x:v>
      </x:c>
      <x:c r="C201" s="97" t="str">
        <x:v>Mark Hull</x:v>
      </x:c>
      <x:c r="D201" s="97" t="str">
        <x:v>no_verified_photo_archived</x:v>
      </x:c>
      <x:c r="E201" s="97" t="str"/>
      <x:c r="F201" s="97" t="str"/>
      <x:c r="G201" s="97" t="str">
        <x:v>I205</x:v>
      </x:c>
      <x:c r="H201" s="97" t="str"/>
      <x:c r="I201" s="97" t="str"/>
      <x:c r="J201" s="97" t="str"/>
      <x:c r="K201" s="97" t="str"/>
      <x:c r="L201" s="97" t="str">
        <x:v>No verified portrait was present in the repository or canonical evidence ledger at audit time.</x:v>
      </x:c>
    </x:row>
    <x:row r="202">
      <x:c r="A202" s="97" t="str">
        <x:v>person</x:v>
      </x:c>
      <x:c r="B202" s="97" t="str">
        <x:v>I207</x:v>
      </x:c>
      <x:c r="C202" s="97" t="str">
        <x:v>Charles Frederic Vollmer</x:v>
      </x:c>
      <x:c r="D202" s="97" t="str">
        <x:v>no_verified_photo_archived</x:v>
      </x:c>
      <x:c r="E202" s="97" t="str"/>
      <x:c r="F202" s="97" t="str"/>
      <x:c r="G202" s="97" t="str">
        <x:v>I207</x:v>
      </x:c>
      <x:c r="H202" s="97" t="str">
        <x:v>E033;E038;E039</x:v>
      </x:c>
      <x:c r="I202" s="97" t="str"/>
      <x:c r="J202" s="97" t="str"/>
      <x:c r="K202" s="97" t="str"/>
      <x:c r="L202" s="97" t="str">
        <x:v>No verified portrait was present in the repository or canonical evidence ledger at audit time.</x:v>
      </x:c>
    </x:row>
    <x:row r="203">
      <x:c r="A203" s="97" t="str">
        <x:v>person</x:v>
      </x:c>
      <x:c r="B203" s="97" t="str">
        <x:v>I208</x:v>
      </x:c>
      <x:c r="C203" s="97" t="str">
        <x:v>Henry John Joseph Vollmer</x:v>
      </x:c>
      <x:c r="D203" s="97" t="str">
        <x:v>no_verified_photo_archived</x:v>
      </x:c>
      <x:c r="E203" s="97" t="str"/>
      <x:c r="F203" s="97" t="str"/>
      <x:c r="G203" s="97" t="str">
        <x:v>I208</x:v>
      </x:c>
      <x:c r="H203" s="97" t="str">
        <x:v>E023;E024;E031;E033;E035;E036</x:v>
      </x:c>
      <x:c r="I203" s="97" t="str"/>
      <x:c r="J203" s="97" t="str"/>
      <x:c r="K203" s="97" t="str"/>
      <x:c r="L203" s="97" t="str">
        <x:v>No verified portrait was present in the repository or canonical evidence ledger at audit time.</x:v>
      </x:c>
    </x:row>
    <x:row r="204">
      <x:c r="A204" s="97" t="str">
        <x:v>person</x:v>
      </x:c>
      <x:c r="B204" s="97" t="str">
        <x:v>I209</x:v>
      </x:c>
      <x:c r="C204" s="97" t="str">
        <x:v>Frederick Gottlieb Vollmer</x:v>
      </x:c>
      <x:c r="D204" s="97" t="str">
        <x:v>no_verified_photo_archived</x:v>
      </x:c>
      <x:c r="E204" s="97" t="str"/>
      <x:c r="F204" s="97" t="str"/>
      <x:c r="G204" s="97" t="str">
        <x:v>I209</x:v>
      </x:c>
      <x:c r="H204" s="97" t="str">
        <x:v>E031;E034</x:v>
      </x:c>
      <x:c r="I204" s="97" t="str"/>
      <x:c r="J204" s="97" t="str"/>
      <x:c r="K204" s="97" t="str"/>
      <x:c r="L204" s="97" t="str">
        <x:v>No verified portrait was present in the repository or canonical evidence ledger at audit time.</x:v>
      </x:c>
    </x:row>
    <x:row r="205">
      <x:c r="A205" s="97" t="str">
        <x:v>person</x:v>
      </x:c>
      <x:c r="B205" s="97" t="str">
        <x:v>I210</x:v>
      </x:c>
      <x:c r="C205" s="97" t="str">
        <x:v>Mary Kalwiet</x:v>
      </x:c>
      <x:c r="D205" s="97" t="str">
        <x:v>no_verified_photo_archived</x:v>
      </x:c>
      <x:c r="E205" s="97" t="str"/>
      <x:c r="F205" s="97" t="str"/>
      <x:c r="G205" s="97" t="str">
        <x:v>I210</x:v>
      </x:c>
      <x:c r="H205" s="97" t="str">
        <x:v>E031;E034</x:v>
      </x:c>
      <x:c r="I205" s="97" t="str"/>
      <x:c r="J205" s="97" t="str"/>
      <x:c r="K205" s="97" t="str"/>
      <x:c r="L205" s="97" t="str">
        <x:v>No verified portrait was present in the repository or canonical evidence ledger at audit time.</x:v>
      </x:c>
    </x:row>
    <x:row r="206">
      <x:c r="A206" s="97" t="str">
        <x:v>person</x:v>
      </x:c>
      <x:c r="B206" s="97" t="str">
        <x:v>I211</x:v>
      </x:c>
      <x:c r="C206" s="97" t="str">
        <x:v>Metha Peper Vollmer</x:v>
      </x:c>
      <x:c r="D206" s="97" t="str">
        <x:v>no_verified_photo_archived</x:v>
      </x:c>
      <x:c r="E206" s="97" t="str"/>
      <x:c r="F206" s="97" t="str"/>
      <x:c r="G206" s="97" t="str">
        <x:v>I211</x:v>
      </x:c>
      <x:c r="H206" s="97" t="str">
        <x:v>E026;E031;E033;E036</x:v>
      </x:c>
      <x:c r="I206" s="97" t="str"/>
      <x:c r="J206" s="97" t="str"/>
      <x:c r="K206" s="97" t="str"/>
      <x:c r="L206" s="97" t="str">
        <x:v>No verified portrait was present in the repository or canonical evidence ledger at audit time.</x:v>
      </x:c>
    </x:row>
    <x:row r="207">
      <x:c r="A207" s="97" t="str">
        <x:v>person</x:v>
      </x:c>
      <x:c r="B207" s="97" t="str">
        <x:v>I212</x:v>
      </x:c>
      <x:c r="C207" s="97" t="str">
        <x:v>George Peper</x:v>
      </x:c>
      <x:c r="D207" s="97" t="str">
        <x:v>no_verified_photo_archived</x:v>
      </x:c>
      <x:c r="E207" s="97" t="str"/>
      <x:c r="F207" s="97" t="str"/>
      <x:c r="G207" s="97" t="str">
        <x:v>I212</x:v>
      </x:c>
      <x:c r="H207" s="97" t="str">
        <x:v>E025;E026;E031</x:v>
      </x:c>
      <x:c r="I207" s="97" t="str"/>
      <x:c r="J207" s="97" t="str"/>
      <x:c r="K207" s="97" t="str"/>
      <x:c r="L207" s="97" t="str">
        <x:v>No verified portrait was present in the repository or canonical evidence ledger at audit time.</x:v>
      </x:c>
    </x:row>
    <x:row r="208">
      <x:c r="A208" s="97" t="str">
        <x:v>person</x:v>
      </x:c>
      <x:c r="B208" s="97" t="str">
        <x:v>I213</x:v>
      </x:c>
      <x:c r="C208" s="97" t="str">
        <x:v>Anna Sophie Stelling Peper</x:v>
      </x:c>
      <x:c r="D208" s="97" t="str">
        <x:v>no_verified_photo_archived</x:v>
      </x:c>
      <x:c r="E208" s="97" t="str"/>
      <x:c r="F208" s="97" t="str"/>
      <x:c r="G208" s="97" t="str">
        <x:v>I213</x:v>
      </x:c>
      <x:c r="H208" s="97" t="str">
        <x:v>E025;E026;E031</x:v>
      </x:c>
      <x:c r="I208" s="97" t="str"/>
      <x:c r="J208" s="97" t="str"/>
      <x:c r="K208" s="97" t="str"/>
      <x:c r="L208" s="97" t="str">
        <x:v>No verified portrait was present in the repository or canonical evidence ledger at audit time.</x:v>
      </x:c>
    </x:row>
    <x:row r="209">
      <x:c r="A209" s="97" t="str">
        <x:v>person</x:v>
      </x:c>
      <x:c r="B209" s="97" t="str">
        <x:v>I214</x:v>
      </x:c>
      <x:c r="C209" s="97" t="str">
        <x:v>Peter Peper</x:v>
      </x:c>
      <x:c r="D209" s="97" t="str">
        <x:v>no_verified_photo_archived</x:v>
      </x:c>
      <x:c r="E209" s="97" t="str"/>
      <x:c r="F209" s="97" t="str"/>
      <x:c r="G209" s="97" t="str">
        <x:v>I214</x:v>
      </x:c>
      <x:c r="H209" s="97" t="str">
        <x:v>E025</x:v>
      </x:c>
      <x:c r="I209" s="97" t="str"/>
      <x:c r="J209" s="97" t="str"/>
      <x:c r="K209" s="97" t="str"/>
      <x:c r="L209" s="97" t="str">
        <x:v>No verified portrait was present in the repository or canonical evidence ledger at audit time.</x:v>
      </x:c>
    </x:row>
    <x:row r="210">
      <x:c r="A210" s="97" t="str">
        <x:v>person</x:v>
      </x:c>
      <x:c r="B210" s="97" t="str">
        <x:v>I215</x:v>
      </x:c>
      <x:c r="C210" s="97" t="str">
        <x:v>Meta Francke</x:v>
      </x:c>
      <x:c r="D210" s="97" t="str">
        <x:v>no_verified_photo_archived</x:v>
      </x:c>
      <x:c r="E210" s="97" t="str"/>
      <x:c r="F210" s="97" t="str"/>
      <x:c r="G210" s="97" t="str">
        <x:v>I215</x:v>
      </x:c>
      <x:c r="H210" s="97" t="str">
        <x:v>E025</x:v>
      </x:c>
      <x:c r="I210" s="97" t="str"/>
      <x:c r="J210" s="97" t="str"/>
      <x:c r="K210" s="97" t="str"/>
      <x:c r="L210" s="97" t="str">
        <x:v>No verified portrait was present in the repository or canonical evidence ledger at audit time.</x:v>
      </x:c>
    </x:row>
    <x:row r="211">
      <x:c r="A211" s="97" t="str">
        <x:v>person</x:v>
      </x:c>
      <x:c r="B211" s="97" t="str">
        <x:v>I216</x:v>
      </x:c>
      <x:c r="C211" s="97" t="str">
        <x:v>Charles Stelling</x:v>
      </x:c>
      <x:c r="D211" s="97" t="str">
        <x:v>no_verified_photo_archived</x:v>
      </x:c>
      <x:c r="E211" s="97" t="str"/>
      <x:c r="F211" s="97" t="str"/>
      <x:c r="G211" s="97" t="str">
        <x:v>I216</x:v>
      </x:c>
      <x:c r="H211" s="97" t="str">
        <x:v>E025</x:v>
      </x:c>
      <x:c r="I211" s="97" t="str"/>
      <x:c r="J211" s="97" t="str"/>
      <x:c r="K211" s="97" t="str"/>
      <x:c r="L211" s="97" t="str">
        <x:v>No verified portrait was present in the repository or canonical evidence ledger at audit time.</x:v>
      </x:c>
    </x:row>
    <x:row r="212">
      <x:c r="A212" s="97" t="str">
        <x:v>person</x:v>
      </x:c>
      <x:c r="B212" s="97" t="str">
        <x:v>I217</x:v>
      </x:c>
      <x:c r="C212" s="97" t="str">
        <x:v>Catharine Ahrens</x:v>
      </x:c>
      <x:c r="D212" s="97" t="str">
        <x:v>no_verified_photo_archived</x:v>
      </x:c>
      <x:c r="E212" s="97" t="str"/>
      <x:c r="F212" s="97" t="str"/>
      <x:c r="G212" s="97" t="str">
        <x:v>I217</x:v>
      </x:c>
      <x:c r="H212" s="97" t="str">
        <x:v>E025</x:v>
      </x:c>
      <x:c r="I212" s="97" t="str"/>
      <x:c r="J212" s="97" t="str"/>
      <x:c r="K212" s="97" t="str"/>
      <x:c r="L212" s="97" t="str">
        <x:v>No verified portrait was present in the repository or canonical evidence ledger at audit time.</x:v>
      </x:c>
    </x:row>
    <x:row r="213">
      <x:c r="A213" s="97" t="str">
        <x:v>person</x:v>
      </x:c>
      <x:c r="B213" s="97" t="str">
        <x:v>I218</x:v>
      </x:c>
      <x:c r="C213" s="97" t="str">
        <x:v>Doris Josephine Marsh Vollmer</x:v>
      </x:c>
      <x:c r="D213" s="97" t="str">
        <x:v>no_verified_photo_archived</x:v>
      </x:c>
      <x:c r="E213" s="97" t="str"/>
      <x:c r="F213" s="97" t="str"/>
      <x:c r="G213" s="97" t="str">
        <x:v>I218</x:v>
      </x:c>
      <x:c r="H213" s="97" t="str">
        <x:v>E032;E039</x:v>
      </x:c>
      <x:c r="I213" s="97" t="str"/>
      <x:c r="J213" s="97" t="str"/>
      <x:c r="K213" s="97" t="str"/>
      <x:c r="L213" s="97" t="str">
        <x:v>No verified portrait was present in the repository or canonical evidence ledger at audit time.</x:v>
      </x:c>
    </x:row>
    <x:row r="214">
      <x:c r="A214" s="97" t="str">
        <x:v>person</x:v>
      </x:c>
      <x:c r="B214" s="97" t="str">
        <x:v>I219</x:v>
      </x:c>
      <x:c r="C214" s="97" t="str">
        <x:v>Frederick Heath Marsh</x:v>
      </x:c>
      <x:c r="D214" s="97" t="str">
        <x:v>no_verified_photo_archived</x:v>
      </x:c>
      <x:c r="E214" s="97" t="str"/>
      <x:c r="F214" s="97" t="str"/>
      <x:c r="G214" s="97" t="str">
        <x:v>I219</x:v>
      </x:c>
      <x:c r="H214" s="97" t="str">
        <x:v>E032</x:v>
      </x:c>
      <x:c r="I214" s="97" t="str"/>
      <x:c r="J214" s="97" t="str"/>
      <x:c r="K214" s="97" t="str"/>
      <x:c r="L214" s="97" t="str">
        <x:v>No verified portrait was present in the repository or canonical evidence ledger at audit time.</x:v>
      </x:c>
    </x:row>
    <x:row r="215">
      <x:c r="A215" s="97" t="str">
        <x:v>person</x:v>
      </x:c>
      <x:c r="B215" s="97" t="str">
        <x:v>I220</x:v>
      </x:c>
      <x:c r="C215" s="97" t="str">
        <x:v>Andrew J Marsh</x:v>
      </x:c>
      <x:c r="D215" s="97" t="str">
        <x:v>no_verified_photo_archived</x:v>
      </x:c>
      <x:c r="E215" s="97" t="str"/>
      <x:c r="F215" s="97" t="str"/>
      <x:c r="G215" s="97" t="str">
        <x:v>I220</x:v>
      </x:c>
      <x:c r="H215" s="97" t="str">
        <x:v>E032</x:v>
      </x:c>
      <x:c r="I215" s="97" t="str"/>
      <x:c r="J215" s="97" t="str"/>
      <x:c r="K215" s="97" t="str"/>
      <x:c r="L215" s="97" t="str">
        <x:v>No verified portrait was present in the repository or canonical evidence ledger at audit time.</x:v>
      </x:c>
    </x:row>
    <x:row r="216">
      <x:c r="A216" s="97" t="str">
        <x:v>person</x:v>
      </x:c>
      <x:c r="B216" s="97" t="str">
        <x:v>I221</x:v>
      </x:c>
      <x:c r="C216" s="97" t="str">
        <x:v>Malachi Marsh</x:v>
      </x:c>
      <x:c r="D216" s="97" t="str">
        <x:v>no_verified_photo_archived</x:v>
      </x:c>
      <x:c r="E216" s="97" t="str"/>
      <x:c r="F216" s="97" t="str"/>
      <x:c r="G216" s="97" t="str">
        <x:v>I221</x:v>
      </x:c>
      <x:c r="H216" s="97" t="str"/>
      <x:c r="I216" s="97" t="str"/>
      <x:c r="J216" s="97" t="str"/>
      <x:c r="K216" s="97" t="str"/>
      <x:c r="L216" s="97" t="str">
        <x:v>No verified portrait was present in the repository or canonical evidence ledger at audit time.</x:v>
      </x:c>
    </x:row>
    <x:row r="217">
      <x:c r="A217" s="97" t="str">
        <x:v>person</x:v>
      </x:c>
      <x:c r="B217" s="97" t="str">
        <x:v>I222</x:v>
      </x:c>
      <x:c r="C217" s="97" t="str">
        <x:v>Mary Lane Marsh</x:v>
      </x:c>
      <x:c r="D217" s="97" t="str">
        <x:v>no_verified_photo_archived</x:v>
      </x:c>
      <x:c r="E217" s="97" t="str"/>
      <x:c r="F217" s="97" t="str"/>
      <x:c r="G217" s="97" t="str">
        <x:v>I222</x:v>
      </x:c>
      <x:c r="H217" s="97" t="str">
        <x:v>E017</x:v>
      </x:c>
      <x:c r="I217" s="97" t="str"/>
      <x:c r="J217" s="97" t="str"/>
      <x:c r="K217" s="97" t="str"/>
      <x:c r="L217" s="97" t="str">
        <x:v>No verified portrait was present in the repository or canonical evidence ledger at audit time.</x:v>
      </x:c>
    </x:row>
    <x:row r="218">
      <x:c r="A218" s="97" t="str">
        <x:v>person</x:v>
      </x:c>
      <x:c r="B218" s="97" t="str">
        <x:v>I223</x:v>
      </x:c>
      <x:c r="C218" s="97" t="str">
        <x:v>Stephen Lane</x:v>
      </x:c>
      <x:c r="D218" s="97" t="str">
        <x:v>no_verified_photo_archived</x:v>
      </x:c>
      <x:c r="E218" s="97" t="str"/>
      <x:c r="F218" s="97" t="str"/>
      <x:c r="G218" s="97" t="str">
        <x:v>I223</x:v>
      </x:c>
      <x:c r="H218" s="97" t="str">
        <x:v>E012;E016;E018;E019</x:v>
      </x:c>
      <x:c r="I218" s="97" t="str"/>
      <x:c r="J218" s="97" t="str"/>
      <x:c r="K218" s="97" t="str"/>
      <x:c r="L218" s="97" t="str">
        <x:v>No verified portrait was present in the repository or canonical evidence ledger at audit time.</x:v>
      </x:c>
    </x:row>
    <x:row r="219">
      <x:c r="A219" s="97" t="str">
        <x:v>person</x:v>
      </x:c>
      <x:c r="B219" s="97" t="str">
        <x:v>I224</x:v>
      </x:c>
      <x:c r="C219" s="97" t="str">
        <x:v>Lois Currier Lane</x:v>
      </x:c>
      <x:c r="D219" s="97" t="str">
        <x:v>no_verified_photo_archived</x:v>
      </x:c>
      <x:c r="E219" s="97" t="str"/>
      <x:c r="F219" s="97" t="str"/>
      <x:c r="G219" s="97" t="str">
        <x:v>I224</x:v>
      </x:c>
      <x:c r="H219" s="97" t="str">
        <x:v>E016;E018;E019</x:v>
      </x:c>
      <x:c r="I219" s="97" t="str"/>
      <x:c r="J219" s="97" t="str"/>
      <x:c r="K219" s="97" t="str"/>
      <x:c r="L219" s="97" t="str">
        <x:v>No verified portrait was present in the repository or canonical evidence ledger at audit time.</x:v>
      </x:c>
    </x:row>
    <x:row r="220">
      <x:c r="A220" s="97" t="str">
        <x:v>person</x:v>
      </x:c>
      <x:c r="B220" s="97" t="str">
        <x:v>I225</x:v>
      </x:c>
      <x:c r="C220" s="97" t="str">
        <x:v>Joshua Lane</x:v>
      </x:c>
      <x:c r="D220" s="97" t="str">
        <x:v>no_verified_photo_archived</x:v>
      </x:c>
      <x:c r="E220" s="97" t="str"/>
      <x:c r="F220" s="97" t="str"/>
      <x:c r="G220" s="97" t="str">
        <x:v>I225</x:v>
      </x:c>
      <x:c r="H220" s="97" t="str">
        <x:v>E010;E011;E012</x:v>
      </x:c>
      <x:c r="I220" s="97" t="str"/>
      <x:c r="J220" s="97" t="str"/>
      <x:c r="K220" s="97" t="str"/>
      <x:c r="L220" s="97" t="str">
        <x:v>No verified portrait was present in the repository or canonical evidence ledger at audit time.</x:v>
      </x:c>
    </x:row>
    <x:row r="221">
      <x:c r="A221" s="97" t="str">
        <x:v>person</x:v>
      </x:c>
      <x:c r="B221" s="97" t="str">
        <x:v>I226</x:v>
      </x:c>
      <x:c r="C221" s="97" t="str">
        <x:v>Hannah Tilton Lane</x:v>
      </x:c>
      <x:c r="D221" s="97" t="str">
        <x:v>no_verified_photo_archived</x:v>
      </x:c>
      <x:c r="E221" s="97" t="str"/>
      <x:c r="F221" s="97" t="str"/>
      <x:c r="G221" s="97" t="str">
        <x:v>I226</x:v>
      </x:c>
      <x:c r="H221" s="97" t="str">
        <x:v>E011;E012</x:v>
      </x:c>
      <x:c r="I221" s="97" t="str"/>
      <x:c r="J221" s="97" t="str"/>
      <x:c r="K221" s="97" t="str"/>
      <x:c r="L221" s="97" t="str">
        <x:v>No verified portrait was present in the repository or canonical evidence ledger at audit time.</x:v>
      </x:c>
    </x:row>
    <x:row r="222">
      <x:c r="A222" s="97" t="str">
        <x:v>person</x:v>
      </x:c>
      <x:c r="B222" s="97" t="str">
        <x:v>I227</x:v>
      </x:c>
      <x:c r="C222" s="97" t="str">
        <x:v>Samuel Lane</x:v>
      </x:c>
      <x:c r="D222" s="97" t="str">
        <x:v>no_verified_photo_archived</x:v>
      </x:c>
      <x:c r="E222" s="97" t="str"/>
      <x:c r="F222" s="97" t="str"/>
      <x:c r="G222" s="97" t="str">
        <x:v>I227</x:v>
      </x:c>
      <x:c r="H222" s="97" t="str">
        <x:v>E007;E009;E010</x:v>
      </x:c>
      <x:c r="I222" s="97" t="str"/>
      <x:c r="J222" s="97" t="str"/>
      <x:c r="K222" s="97" t="str"/>
      <x:c r="L222" s="97" t="str">
        <x:v>No verified portrait was present in the repository or canonical evidence ledger at audit time.</x:v>
      </x:c>
    </x:row>
    <x:row r="223">
      <x:c r="A223" s="97" t="str">
        <x:v>person</x:v>
      </x:c>
      <x:c r="B223" s="97" t="str">
        <x:v>I228</x:v>
      </x:c>
      <x:c r="C223" s="97" t="str">
        <x:v>Mary James Lane</x:v>
      </x:c>
      <x:c r="D223" s="97" t="str">
        <x:v>no_verified_photo_archived</x:v>
      </x:c>
      <x:c r="E223" s="97" t="str"/>
      <x:c r="F223" s="97" t="str"/>
      <x:c r="G223" s="97" t="str">
        <x:v>I228</x:v>
      </x:c>
      <x:c r="H223" s="97" t="str">
        <x:v>E008;E009;E010</x:v>
      </x:c>
      <x:c r="I223" s="97" t="str"/>
      <x:c r="J223" s="97" t="str"/>
      <x:c r="K223" s="97" t="str"/>
      <x:c r="L223" s="97" t="str">
        <x:v>No verified portrait was present in the repository or canonical evidence ledger at audit time.</x:v>
      </x:c>
    </x:row>
    <x:row r="224">
      <x:c r="A224" s="97" t="str">
        <x:v>person</x:v>
      </x:c>
      <x:c r="B224" s="97" t="str">
        <x:v>I229</x:v>
      </x:c>
      <x:c r="C224" s="97" t="str">
        <x:v>Joshua Lane</x:v>
      </x:c>
      <x:c r="D224" s="97" t="str">
        <x:v>no_verified_photo_archived</x:v>
      </x:c>
      <x:c r="E224" s="97" t="str"/>
      <x:c r="F224" s="97" t="str"/>
      <x:c r="G224" s="97" t="str">
        <x:v>I229</x:v>
      </x:c>
      <x:c r="H224" s="97" t="str">
        <x:v>E005;E006;E007</x:v>
      </x:c>
      <x:c r="I224" s="97" t="str"/>
      <x:c r="J224" s="97" t="str"/>
      <x:c r="K224" s="97" t="str"/>
      <x:c r="L224" s="97" t="str">
        <x:v>No verified portrait was present in the repository or canonical evidence ledger at audit time.</x:v>
      </x:c>
    </x:row>
    <x:row r="225">
      <x:c r="A225" s="97" t="str">
        <x:v>person</x:v>
      </x:c>
      <x:c r="B225" s="97" t="str">
        <x:v>I230</x:v>
      </x:c>
      <x:c r="C225" s="97" t="str">
        <x:v>Bathsheba Robie Lane</x:v>
      </x:c>
      <x:c r="D225" s="97" t="str">
        <x:v>no_verified_photo_archived</x:v>
      </x:c>
      <x:c r="E225" s="97" t="str"/>
      <x:c r="F225" s="97" t="str"/>
      <x:c r="G225" s="97" t="str">
        <x:v>I230</x:v>
      </x:c>
      <x:c r="H225" s="97" t="str">
        <x:v>E006;E007</x:v>
      </x:c>
      <x:c r="I225" s="97" t="str"/>
      <x:c r="J225" s="97" t="str"/>
      <x:c r="K225" s="97" t="str"/>
      <x:c r="L225" s="97" t="str">
        <x:v>No verified portrait was present in the repository or canonical evidence ledger at audit time.</x:v>
      </x:c>
    </x:row>
    <x:row r="226">
      <x:c r="A226" s="97" t="str">
        <x:v>person</x:v>
      </x:c>
      <x:c r="B226" s="97" t="str">
        <x:v>I231</x:v>
      </x:c>
      <x:c r="C226" s="97" t="str">
        <x:v>Benjamin James</x:v>
      </x:c>
      <x:c r="D226" s="97" t="str">
        <x:v>no_verified_photo_archived</x:v>
      </x:c>
      <x:c r="E226" s="97" t="str"/>
      <x:c r="F226" s="97" t="str"/>
      <x:c r="G226" s="97" t="str">
        <x:v>I231</x:v>
      </x:c>
      <x:c r="H226" s="97" t="str">
        <x:v>E008</x:v>
      </x:c>
      <x:c r="I226" s="97" t="str"/>
      <x:c r="J226" s="97" t="str"/>
      <x:c r="K226" s="97" t="str"/>
      <x:c r="L226" s="97" t="str">
        <x:v>No verified portrait was present in the repository or canonical evidence ledger at audit time.</x:v>
      </x:c>
    </x:row>
    <x:row r="227">
      <x:c r="A227" s="97" t="str">
        <x:v>person</x:v>
      </x:c>
      <x:c r="B227" s="97" t="str">
        <x:v>I232</x:v>
      </x:c>
      <x:c r="C227" s="97" t="str">
        <x:v>Susanna James</x:v>
      </x:c>
      <x:c r="D227" s="97" t="str">
        <x:v>no_verified_photo_archived</x:v>
      </x:c>
      <x:c r="E227" s="97" t="str"/>
      <x:c r="F227" s="97" t="str"/>
      <x:c r="G227" s="97" t="str">
        <x:v>I232</x:v>
      </x:c>
      <x:c r="H227" s="97" t="str">
        <x:v>E008</x:v>
      </x:c>
      <x:c r="I227" s="97" t="str"/>
      <x:c r="J227" s="97" t="str"/>
      <x:c r="K227" s="97" t="str"/>
      <x:c r="L227" s="97" t="str">
        <x:v>No verified portrait was present in the repository or canonical evidence ledger at audit time.</x:v>
      </x:c>
    </x:row>
    <x:row r="228">
      <x:c r="A228" s="97" t="str">
        <x:v>person</x:v>
      </x:c>
      <x:c r="B228" s="97" t="str">
        <x:v>I233</x:v>
      </x:c>
      <x:c r="C228" s="97" t="str">
        <x:v>William Lane</x:v>
      </x:c>
      <x:c r="D228" s="97" t="str">
        <x:v>no_verified_photo_archived</x:v>
      </x:c>
      <x:c r="E228" s="97" t="str"/>
      <x:c r="F228" s="97" t="str"/>
      <x:c r="G228" s="97" t="str">
        <x:v>I233</x:v>
      </x:c>
      <x:c r="H228" s="97" t="str">
        <x:v>E005</x:v>
      </x:c>
      <x:c r="I228" s="97" t="str"/>
      <x:c r="J228" s="97" t="str"/>
      <x:c r="K228" s="97" t="str"/>
      <x:c r="L228" s="97" t="str">
        <x:v>No verified portrait was present in the repository or canonical evidence ledger at audit time.</x:v>
      </x:c>
    </x:row>
    <x:row r="229">
      <x:c r="A229" s="97" t="str">
        <x:v>person</x:v>
      </x:c>
      <x:c r="B229" s="97" t="str">
        <x:v>I234</x:v>
      </x:c>
      <x:c r="C229" s="97" t="str">
        <x:v>Sarah Lane</x:v>
      </x:c>
      <x:c r="D229" s="97" t="str">
        <x:v>no_verified_photo_archived</x:v>
      </x:c>
      <x:c r="E229" s="97" t="str"/>
      <x:c r="F229" s="97" t="str"/>
      <x:c r="G229" s="97" t="str">
        <x:v>I234</x:v>
      </x:c>
      <x:c r="H229" s="97" t="str">
        <x:v>E005</x:v>
      </x:c>
      <x:c r="I229" s="97" t="str"/>
      <x:c r="J229" s="97" t="str"/>
      <x:c r="K229" s="97" t="str"/>
      <x:c r="L229" s="97" t="str">
        <x:v>No verified portrait was present in the repository or canonical evidence ledger at audit time.</x:v>
      </x:c>
    </x:row>
    <x:row r="230">
      <x:c r="A230" s="97" t="str">
        <x:v>person</x:v>
      </x:c>
      <x:c r="B230" s="97" t="str">
        <x:v>I235</x:v>
      </x:c>
      <x:c r="C230" s="97" t="str">
        <x:v>Amelia Whitney Marsh</x:v>
      </x:c>
      <x:c r="D230" s="97" t="str">
        <x:v>no_verified_photo_archived</x:v>
      </x:c>
      <x:c r="E230" s="97" t="str"/>
      <x:c r="F230" s="97" t="str"/>
      <x:c r="G230" s="97" t="str">
        <x:v>I235</x:v>
      </x:c>
      <x:c r="H230" s="97" t="str"/>
      <x:c r="I230" s="97" t="str"/>
      <x:c r="J230" s="97" t="str"/>
      <x:c r="K230" s="97" t="str"/>
      <x:c r="L230" s="97" t="str">
        <x:v>No verified portrait was present in the repository or canonical evidence ledger at audit time.</x:v>
      </x:c>
    </x:row>
    <x:row r="231">
      <x:c r="A231" s="97" t="str">
        <x:v>person</x:v>
      </x:c>
      <x:c r="B231" s="97" t="str">
        <x:v>I236</x:v>
      </x:c>
      <x:c r="C231" s="97" t="str">
        <x:v>Alvin L Whitney</x:v>
      </x:c>
      <x:c r="D231" s="97" t="str">
        <x:v>no_verified_photo_archived</x:v>
      </x:c>
      <x:c r="E231" s="97" t="str"/>
      <x:c r="F231" s="97" t="str"/>
      <x:c r="G231" s="97" t="str">
        <x:v>I236</x:v>
      </x:c>
      <x:c r="H231" s="97" t="str"/>
      <x:c r="I231" s="97" t="str"/>
      <x:c r="J231" s="97" t="str"/>
      <x:c r="K231" s="97" t="str"/>
      <x:c r="L231" s="97" t="str">
        <x:v>No verified portrait was present in the repository or canonical evidence ledger at audit time.</x:v>
      </x:c>
    </x:row>
    <x:row r="232">
      <x:c r="A232" s="97" t="str">
        <x:v>person</x:v>
      </x:c>
      <x:c r="B232" s="97" t="str">
        <x:v>I237</x:v>
      </x:c>
      <x:c r="C232" s="97" t="str">
        <x:v>James Whitney</x:v>
      </x:c>
      <x:c r="D232" s="97" t="str">
        <x:v>no_verified_photo_archived</x:v>
      </x:c>
      <x:c r="E232" s="97" t="str"/>
      <x:c r="F232" s="97" t="str"/>
      <x:c r="G232" s="97" t="str">
        <x:v>I237</x:v>
      </x:c>
      <x:c r="H232" s="97" t="str"/>
      <x:c r="I232" s="97" t="str"/>
      <x:c r="J232" s="97" t="str"/>
      <x:c r="K232" s="97" t="str"/>
      <x:c r="L232" s="97" t="str">
        <x:v>No verified portrait was present in the repository or canonical evidence ledger at audit time.</x:v>
      </x:c>
    </x:row>
    <x:row r="233">
      <x:c r="A233" s="97" t="str">
        <x:v>person</x:v>
      </x:c>
      <x:c r="B233" s="97" t="str">
        <x:v>I238</x:v>
      </x:c>
      <x:c r="C233" s="97" t="str">
        <x:v>Betsey Cook Whitney</x:v>
      </x:c>
      <x:c r="D233" s="97" t="str">
        <x:v>no_verified_photo_archived</x:v>
      </x:c>
      <x:c r="E233" s="97" t="str"/>
      <x:c r="F233" s="97" t="str"/>
      <x:c r="G233" s="97" t="str">
        <x:v>I238</x:v>
      </x:c>
      <x:c r="H233" s="97" t="str">
        <x:v>E020</x:v>
      </x:c>
      <x:c r="I233" s="97" t="str"/>
      <x:c r="J233" s="97" t="str"/>
      <x:c r="K233" s="97" t="str"/>
      <x:c r="L233" s="97" t="str">
        <x:v>No verified portrait was present in the repository or canonical evidence ledger at audit time.</x:v>
      </x:c>
    </x:row>
    <x:row r="234">
      <x:c r="A234" s="97" t="str">
        <x:v>person</x:v>
      </x:c>
      <x:c r="B234" s="97" t="str">
        <x:v>I239</x:v>
      </x:c>
      <x:c r="C234" s="97" t="str">
        <x:v>Levi Cook</x:v>
      </x:c>
      <x:c r="D234" s="97" t="str">
        <x:v>no_verified_photo_archived</x:v>
      </x:c>
      <x:c r="E234" s="97" t="str"/>
      <x:c r="F234" s="97" t="str"/>
      <x:c r="G234" s="97" t="str">
        <x:v>I239</x:v>
      </x:c>
      <x:c r="H234" s="97" t="str">
        <x:v>E013;E015;E020</x:v>
      </x:c>
      <x:c r="I234" s="97" t="str"/>
      <x:c r="J234" s="97" t="str"/>
      <x:c r="K234" s="97" t="str"/>
      <x:c r="L234" s="97" t="str">
        <x:v>No verified portrait was present in the repository or canonical evidence ledger at audit time.</x:v>
      </x:c>
    </x:row>
    <x:row r="235">
      <x:c r="A235" s="97" t="str">
        <x:v>person</x:v>
      </x:c>
      <x:c r="B235" s="97" t="str">
        <x:v>I240</x:v>
      </x:c>
      <x:c r="C235" s="97" t="str">
        <x:v>Betsey Brown Cook</x:v>
      </x:c>
      <x:c r="D235" s="97" t="str">
        <x:v>no_verified_photo_archived</x:v>
      </x:c>
      <x:c r="E235" s="97" t="str"/>
      <x:c r="F235" s="97" t="str"/>
      <x:c r="G235" s="97" t="str">
        <x:v>I240</x:v>
      </x:c>
      <x:c r="H235" s="97" t="str">
        <x:v>E014;E015</x:v>
      </x:c>
      <x:c r="I235" s="97" t="str"/>
      <x:c r="J235" s="97" t="str"/>
      <x:c r="K235" s="97" t="str"/>
      <x:c r="L235" s="97" t="str">
        <x:v>No verified portrait was present in the repository or canonical evidence ledger at audit time.</x:v>
      </x:c>
    </x:row>
    <x:row r="236">
      <x:c r="A236" s="97" t="str">
        <x:v>person</x:v>
      </x:c>
      <x:c r="B236" s="97" t="str">
        <x:v>I241</x:v>
      </x:c>
      <x:c r="C236" s="97" t="str">
        <x:v>Hezekiah Cook</x:v>
      </x:c>
      <x:c r="D236" s="97" t="str">
        <x:v>no_verified_photo_archived</x:v>
      </x:c>
      <x:c r="E236" s="97" t="str"/>
      <x:c r="F236" s="97" t="str"/>
      <x:c r="G236" s="97" t="str">
        <x:v>I241</x:v>
      </x:c>
      <x:c r="H236" s="97" t="str">
        <x:v>E013</x:v>
      </x:c>
      <x:c r="I236" s="97" t="str"/>
      <x:c r="J236" s="97" t="str"/>
      <x:c r="K236" s="97" t="str"/>
      <x:c r="L236" s="97" t="str">
        <x:v>No verified portrait was present in the repository or canonical evidence ledger at audit time.</x:v>
      </x:c>
    </x:row>
    <x:row r="237">
      <x:c r="A237" s="97" t="str">
        <x:v>person</x:v>
      </x:c>
      <x:c r="B237" s="97" t="str">
        <x:v>I242</x:v>
      </x:c>
      <x:c r="C237" s="97" t="str">
        <x:v>Lydia Cook</x:v>
      </x:c>
      <x:c r="D237" s="97" t="str">
        <x:v>no_verified_photo_archived</x:v>
      </x:c>
      <x:c r="E237" s="97" t="str"/>
      <x:c r="F237" s="97" t="str"/>
      <x:c r="G237" s="97" t="str">
        <x:v>I242</x:v>
      </x:c>
      <x:c r="H237" s="97" t="str">
        <x:v>E013</x:v>
      </x:c>
      <x:c r="I237" s="97" t="str"/>
      <x:c r="J237" s="97" t="str"/>
      <x:c r="K237" s="97" t="str"/>
      <x:c r="L237" s="97" t="str">
        <x:v>No verified portrait was present in the repository or canonical evidence ledger at audit time.</x:v>
      </x:c>
    </x:row>
    <x:row r="238">
      <x:c r="A238" s="97" t="str">
        <x:v>person</x:v>
      </x:c>
      <x:c r="B238" s="97" t="str">
        <x:v>I243</x:v>
      </x:c>
      <x:c r="C238" s="97" t="str">
        <x:v>Perez Brown</x:v>
      </x:c>
      <x:c r="D238" s="97" t="str">
        <x:v>no_verified_photo_archived</x:v>
      </x:c>
      <x:c r="E238" s="97" t="str"/>
      <x:c r="F238" s="97" t="str"/>
      <x:c r="G238" s="97" t="str">
        <x:v>I243</x:v>
      </x:c>
      <x:c r="H238" s="97" t="str">
        <x:v>E014</x:v>
      </x:c>
      <x:c r="I238" s="97" t="str"/>
      <x:c r="J238" s="97" t="str"/>
      <x:c r="K238" s="97" t="str"/>
      <x:c r="L238" s="97" t="str">
        <x:v>No verified portrait was present in the repository or canonical evidence ledger at audit time.</x:v>
      </x:c>
    </x:row>
    <x:row r="239">
      <x:c r="A239" s="97" t="str">
        <x:v>person</x:v>
      </x:c>
      <x:c r="B239" s="97" t="str">
        <x:v>I244</x:v>
      </x:c>
      <x:c r="C239" s="97" t="str">
        <x:v>Betty Brown</x:v>
      </x:c>
      <x:c r="D239" s="97" t="str">
        <x:v>no_verified_photo_archived</x:v>
      </x:c>
      <x:c r="E239" s="97" t="str"/>
      <x:c r="F239" s="97" t="str"/>
      <x:c r="G239" s="97" t="str">
        <x:v>I244</x:v>
      </x:c>
      <x:c r="H239" s="97" t="str">
        <x:v>E014</x:v>
      </x:c>
      <x:c r="I239" s="97" t="str"/>
      <x:c r="J239" s="97" t="str"/>
      <x:c r="K239" s="97" t="str"/>
      <x:c r="L239" s="97" t="str">
        <x:v>No verified portrait was present in the repository or canonical evidence ledger at audit time.</x:v>
      </x:c>
    </x:row>
    <x:row r="240">
      <x:c r="A240" s="97" t="str">
        <x:v>person</x:v>
      </x:c>
      <x:c r="B240" s="97" t="str">
        <x:v>I245</x:v>
      </x:c>
      <x:c r="C240" s="97" t="str">
        <x:v>Joshua Cooke</x:v>
      </x:c>
      <x:c r="D240" s="97" t="str">
        <x:v>no_verified_photo_archived</x:v>
      </x:c>
      <x:c r="E240" s="97" t="str"/>
      <x:c r="F240" s="97" t="str"/>
      <x:c r="G240" s="97" t="str">
        <x:v>I245</x:v>
      </x:c>
      <x:c r="H240" s="97" t="str">
        <x:v>E003</x:v>
      </x:c>
      <x:c r="I240" s="97" t="str"/>
      <x:c r="J240" s="97" t="str"/>
      <x:c r="K240" s="97" t="str"/>
      <x:c r="L240" s="97" t="str">
        <x:v>No verified portrait was present in the repository or canonical evidence ledger at audit time.</x:v>
      </x:c>
    </x:row>
    <x:row r="241">
      <x:c r="A241" s="97" t="str">
        <x:v>person</x:v>
      </x:c>
      <x:c r="B241" s="97" t="str">
        <x:v>I246</x:v>
      </x:c>
      <x:c r="C241" s="97" t="str">
        <x:v>Patience Doane</x:v>
      </x:c>
      <x:c r="D241" s="97" t="str">
        <x:v>no_verified_photo_archived</x:v>
      </x:c>
      <x:c r="E241" s="97" t="str"/>
      <x:c r="F241" s="97" t="str"/>
      <x:c r="G241" s="97" t="str">
        <x:v>I246</x:v>
      </x:c>
      <x:c r="H241" s="97" t="str">
        <x:v>E004;E030</x:v>
      </x:c>
      <x:c r="I241" s="97" t="str"/>
      <x:c r="J241" s="97" t="str"/>
      <x:c r="K241" s="97" t="str"/>
      <x:c r="L241" s="97" t="str">
        <x:v>No verified portrait was present in the repository or canonical evidence ledger at audit time.</x:v>
      </x:c>
    </x:row>
    <x:row r="242">
      <x:c r="A242" s="97" t="str">
        <x:v>person</x:v>
      </x:c>
      <x:c r="B242" s="97" t="str">
        <x:v>I247</x:v>
      </x:c>
      <x:c r="C242" s="97" t="str">
        <x:v>Josiah Cooke</x:v>
      </x:c>
      <x:c r="D242" s="97" t="str">
        <x:v>no_verified_photo_archived</x:v>
      </x:c>
      <x:c r="E242" s="97" t="str"/>
      <x:c r="F242" s="97" t="str"/>
      <x:c r="G242" s="97" t="str">
        <x:v>I247</x:v>
      </x:c>
      <x:c r="H242" s="97" t="str">
        <x:v>E003</x:v>
      </x:c>
      <x:c r="I242" s="97" t="str"/>
      <x:c r="J242" s="97" t="str"/>
      <x:c r="K242" s="97" t="str"/>
      <x:c r="L242" s="97" t="str">
        <x:v>No verified portrait was present in the repository or canonical evidence ledger at audit time.</x:v>
      </x:c>
    </x:row>
    <x:row r="243">
      <x:c r="A243" s="97" t="str">
        <x:v>person</x:v>
      </x:c>
      <x:c r="B243" s="97" t="str">
        <x:v>I248</x:v>
      </x:c>
      <x:c r="C243" s="97" t="str">
        <x:v>Deborah Hopkins Cooke</x:v>
      </x:c>
      <x:c r="D243" s="97" t="str">
        <x:v>no_verified_photo_archived</x:v>
      </x:c>
      <x:c r="E243" s="97" t="str"/>
      <x:c r="F243" s="97" t="str"/>
      <x:c r="G243" s="97" t="str">
        <x:v>I248</x:v>
      </x:c>
      <x:c r="H243" s="97" t="str">
        <x:v>E001;E003;E041</x:v>
      </x:c>
      <x:c r="I243" s="97" t="str"/>
      <x:c r="J243" s="97" t="str"/>
      <x:c r="K243" s="97" t="str"/>
      <x:c r="L243" s="97" t="str">
        <x:v>No verified portrait was present in the repository or canonical evidence ledger at audit time.</x:v>
      </x:c>
    </x:row>
    <x:row r="244">
      <x:c r="A244" s="97" t="str">
        <x:v>person</x:v>
      </x:c>
      <x:c r="B244" s="97" t="str">
        <x:v>I249</x:v>
      </x:c>
      <x:c r="C244" s="97" t="str">
        <x:v>Ephraim Doane</x:v>
      </x:c>
      <x:c r="D244" s="97" t="str">
        <x:v>no_verified_photo_archived</x:v>
      </x:c>
      <x:c r="E244" s="97" t="str"/>
      <x:c r="F244" s="97" t="str"/>
      <x:c r="G244" s="97" t="str">
        <x:v>I249</x:v>
      </x:c>
      <x:c r="H244" s="97" t="str">
        <x:v>E002;E004;E029;E030</x:v>
      </x:c>
      <x:c r="I244" s="97" t="str"/>
      <x:c r="J244" s="97" t="str"/>
      <x:c r="K244" s="97" t="str"/>
      <x:c r="L244" s="97" t="str">
        <x:v>No verified portrait was present in the repository or canonical evidence ledger at audit time.</x:v>
      </x:c>
    </x:row>
    <x:row r="245">
      <x:c r="A245" s="97" t="str">
        <x:v>person</x:v>
      </x:c>
      <x:c r="B245" s="97" t="str">
        <x:v>I250</x:v>
      </x:c>
      <x:c r="C245" s="97" t="str">
        <x:v>Mary Knowles Doane</x:v>
      </x:c>
      <x:c r="D245" s="97" t="str">
        <x:v>no_verified_photo_archived</x:v>
      </x:c>
      <x:c r="E245" s="97" t="str"/>
      <x:c r="F245" s="97" t="str"/>
      <x:c r="G245" s="97" t="str">
        <x:v>I250</x:v>
      </x:c>
      <x:c r="H245" s="97" t="str">
        <x:v>E002;E004;E030</x:v>
      </x:c>
      <x:c r="I245" s="97" t="str"/>
      <x:c r="J245" s="97" t="str"/>
      <x:c r="K245" s="97" t="str"/>
      <x:c r="L245" s="97" t="str">
        <x:v>No verified portrait was present in the repository or canonical evidence ledger at audit time.</x:v>
      </x:c>
    </x:row>
    <x:row r="246">
      <x:c r="A246" s="97" t="str">
        <x:v>person</x:v>
      </x:c>
      <x:c r="B246" s="97" t="str">
        <x:v>I251</x:v>
      </x:c>
      <x:c r="C246" s="97" t="str">
        <x:v>Giles Hopkins</x:v>
      </x:c>
      <x:c r="D246" s="97" t="str">
        <x:v>no_verified_photo_archived</x:v>
      </x:c>
      <x:c r="E246" s="97" t="str"/>
      <x:c r="F246" s="97" t="str"/>
      <x:c r="G246" s="97" t="str">
        <x:v>I251</x:v>
      </x:c>
      <x:c r="H246" s="97" t="str">
        <x:v>E001;E041</x:v>
      </x:c>
      <x:c r="I246" s="97" t="str"/>
      <x:c r="J246" s="97" t="str"/>
      <x:c r="K246" s="97" t="str"/>
      <x:c r="L246" s="97" t="str">
        <x:v>No verified portrait was present in the repository or canonical evidence ledger at audit time.</x:v>
      </x:c>
    </x:row>
    <x:row r="247">
      <x:c r="A247" s="97" t="str">
        <x:v>person</x:v>
      </x:c>
      <x:c r="B247" s="97" t="str">
        <x:v>I252</x:v>
      </x:c>
      <x:c r="C247" s="97" t="str">
        <x:v>Josiah Cooke Sr.</x:v>
      </x:c>
      <x:c r="D247" s="97" t="str">
        <x:v>no_verified_photo_archived</x:v>
      </x:c>
      <x:c r="E247" s="97" t="str"/>
      <x:c r="F247" s="97" t="str"/>
      <x:c r="G247" s="97" t="str">
        <x:v>I252</x:v>
      </x:c>
      <x:c r="H247" s="97" t="str"/>
      <x:c r="I247" s="97" t="str"/>
      <x:c r="J247" s="97" t="str"/>
      <x:c r="K247" s="97" t="str"/>
      <x:c r="L247" s="97" t="str">
        <x:v>No verified portrait was present in the repository or canonical evidence ledger at audit time.</x:v>
      </x:c>
    </x:row>
    <x:row r="248">
      <x:c r="A248" s="97" t="str">
        <x:v>person</x:v>
      </x:c>
      <x:c r="B248" s="97" t="str">
        <x:v>I253</x:v>
      </x:c>
      <x:c r="C248" s="97" t="str">
        <x:v>Elizabeth Ring Cooke</x:v>
      </x:c>
      <x:c r="D248" s="97" t="str">
        <x:v>no_verified_photo_archived</x:v>
      </x:c>
      <x:c r="E248" s="97" t="str"/>
      <x:c r="F248" s="97" t="str"/>
      <x:c r="G248" s="97" t="str">
        <x:v>I253</x:v>
      </x:c>
      <x:c r="H248" s="97" t="str"/>
      <x:c r="I248" s="97" t="str"/>
      <x:c r="J248" s="97" t="str"/>
      <x:c r="K248" s="97" t="str"/>
      <x:c r="L248" s="97" t="str">
        <x:v>No verified portrait was present in the repository or canonical evidence ledger at audit time.</x:v>
      </x:c>
    </x:row>
    <x:row r="249">
      <x:c r="A249" s="97" t="str">
        <x:v>person</x:v>
      </x:c>
      <x:c r="B249" s="97" t="str">
        <x:v>I254</x:v>
      </x:c>
      <x:c r="C249" s="97" t="str">
        <x:v>Catherine Whelden Hopkins</x:v>
      </x:c>
      <x:c r="D249" s="97" t="str">
        <x:v>no_verified_photo_archived</x:v>
      </x:c>
      <x:c r="E249" s="97" t="str"/>
      <x:c r="F249" s="97" t="str"/>
      <x:c r="G249" s="97" t="str">
        <x:v>I254</x:v>
      </x:c>
      <x:c r="H249" s="97" t="str">
        <x:v>E041</x:v>
      </x:c>
      <x:c r="I249" s="97" t="str"/>
      <x:c r="J249" s="97" t="str"/>
      <x:c r="K249" s="97" t="str"/>
      <x:c r="L249" s="97" t="str">
        <x:v>No verified portrait was present in the repository or canonical evidence ledger at audit time.</x:v>
      </x:c>
    </x:row>
    <x:row r="250">
      <x:c r="A250" s="97" t="str">
        <x:v>person</x:v>
      </x:c>
      <x:c r="B250" s="97" t="str">
        <x:v>I255</x:v>
      </x:c>
      <x:c r="C250" s="97" t="str">
        <x:v>Stephen Hopkins</x:v>
      </x:c>
      <x:c r="D250" s="97" t="str">
        <x:v>no_verified_photo_archived</x:v>
      </x:c>
      <x:c r="E250" s="97" t="str"/>
      <x:c r="F250" s="97" t="str"/>
      <x:c r="G250" s="97" t="str">
        <x:v>I255</x:v>
      </x:c>
      <x:c r="H250" s="97" t="str">
        <x:v>E041</x:v>
      </x:c>
      <x:c r="I250" s="97" t="str"/>
      <x:c r="J250" s="97" t="str"/>
      <x:c r="K250" s="97" t="str"/>
      <x:c r="L250" s="97" t="str">
        <x:v>No verified portrait was present in the repository or canonical evidence ledger at audit time.</x:v>
      </x:c>
    </x:row>
    <x:row r="251">
      <x:c r="A251" s="97" t="str">
        <x:v>person</x:v>
      </x:c>
      <x:c r="B251" s="97" t="str">
        <x:v>I256</x:v>
      </x:c>
      <x:c r="C251" s="97" t="str">
        <x:v>Mary Hopkins</x:v>
      </x:c>
      <x:c r="D251" s="97" t="str">
        <x:v>no_verified_photo_archived</x:v>
      </x:c>
      <x:c r="E251" s="97" t="str"/>
      <x:c r="F251" s="97" t="str"/>
      <x:c r="G251" s="97" t="str">
        <x:v>I256</x:v>
      </x:c>
      <x:c r="H251" s="97" t="str"/>
      <x:c r="I251" s="97" t="str"/>
      <x:c r="J251" s="97" t="str"/>
      <x:c r="K251" s="97" t="str"/>
      <x:c r="L251" s="97" t="str">
        <x:v>No verified portrait was present in the repository or canonical evidence ledger at audit time.</x:v>
      </x:c>
    </x:row>
    <x:row r="252">
      <x:c r="A252" s="97" t="str">
        <x:v>person</x:v>
      </x:c>
      <x:c r="B252" s="97" t="str">
        <x:v>I257</x:v>
      </x:c>
      <x:c r="C252" s="97" t="str">
        <x:v>Gabriel Whelden</x:v>
      </x:c>
      <x:c r="D252" s="97" t="str">
        <x:v>no_verified_photo_archived</x:v>
      </x:c>
      <x:c r="E252" s="97" t="str"/>
      <x:c r="F252" s="97" t="str"/>
      <x:c r="G252" s="97" t="str">
        <x:v>I257</x:v>
      </x:c>
      <x:c r="H252" s="97" t="str"/>
      <x:c r="I252" s="97" t="str"/>
      <x:c r="J252" s="97" t="str"/>
      <x:c r="K252" s="97" t="str"/>
      <x:c r="L252" s="97" t="str">
        <x:v>No verified portrait was present in the repository or canonical evidence ledger at audit time.</x:v>
      </x:c>
    </x:row>
    <x:row r="253">
      <x:c r="A253" s="97" t="str">
        <x:v>person</x:v>
      </x:c>
      <x:c r="B253" s="97" t="str">
        <x:v>I258</x:v>
      </x:c>
      <x:c r="C253" s="97" t="str">
        <x:v>John Doane</x:v>
      </x:c>
      <x:c r="D253" s="97" t="str">
        <x:v>no_verified_photo_archived</x:v>
      </x:c>
      <x:c r="E253" s="97" t="str"/>
      <x:c r="F253" s="97" t="str"/>
      <x:c r="G253" s="97" t="str">
        <x:v>I258</x:v>
      </x:c>
      <x:c r="H253" s="97" t="str">
        <x:v>E029</x:v>
      </x:c>
      <x:c r="I253" s="97" t="str"/>
      <x:c r="J253" s="97" t="str"/>
      <x:c r="K253" s="97" t="str"/>
      <x:c r="L253" s="97" t="str">
        <x:v>No verified portrait was present in the repository or canonical evidence ledger at audit time.</x:v>
      </x:c>
    </x:row>
    <x:row r="254">
      <x:c r="A254" s="97" t="str">
        <x:v>person</x:v>
      </x:c>
      <x:c r="B254" s="97" t="str">
        <x:v>I259</x:v>
      </x:c>
      <x:c r="C254" s="97" t="str">
        <x:v>Ann Doane</x:v>
      </x:c>
      <x:c r="D254" s="97" t="str">
        <x:v>no_verified_photo_archived</x:v>
      </x:c>
      <x:c r="E254" s="97" t="str"/>
      <x:c r="F254" s="97" t="str"/>
      <x:c r="G254" s="97" t="str">
        <x:v>I259</x:v>
      </x:c>
      <x:c r="H254" s="97" t="str"/>
      <x:c r="I254" s="97" t="str"/>
      <x:c r="J254" s="97" t="str"/>
      <x:c r="K254" s="97" t="str"/>
      <x:c r="L254" s="97" t="str">
        <x:v>No verified portrait was present in the repository or canonical evidence ledger at audit time.</x:v>
      </x:c>
    </x:row>
    <x:row r="255">
      <x:c r="A255" s="97" t="str">
        <x:v>person</x:v>
      </x:c>
      <x:c r="B255" s="97" t="str">
        <x:v>I260</x:v>
      </x:c>
      <x:c r="C255" s="97" t="str">
        <x:v>Richard Knowles</x:v>
      </x:c>
      <x:c r="D255" s="97" t="str">
        <x:v>no_verified_photo_archived</x:v>
      </x:c>
      <x:c r="E255" s="97" t="str"/>
      <x:c r="F255" s="97" t="str"/>
      <x:c r="G255" s="97" t="str">
        <x:v>I260</x:v>
      </x:c>
      <x:c r="H255" s="97" t="str">
        <x:v>E042</x:v>
      </x:c>
      <x:c r="I255" s="97" t="str"/>
      <x:c r="J255" s="97" t="str"/>
      <x:c r="K255" s="97" t="str"/>
      <x:c r="L255" s="97" t="str">
        <x:v>No verified portrait was present in the repository or canonical evidence ledger at audit time.</x:v>
      </x:c>
    </x:row>
    <x:row r="256">
      <x:c r="A256" s="97" t="str">
        <x:v>person</x:v>
      </x:c>
      <x:c r="B256" s="97" t="str">
        <x:v>I261</x:v>
      </x:c>
      <x:c r="C256" s="97" t="str">
        <x:v>Ruth Bower Knowles</x:v>
      </x:c>
      <x:c r="D256" s="97" t="str">
        <x:v>no_verified_photo_archived</x:v>
      </x:c>
      <x:c r="E256" s="97" t="str"/>
      <x:c r="F256" s="97" t="str"/>
      <x:c r="G256" s="97" t="str">
        <x:v>I261</x:v>
      </x:c>
      <x:c r="H256" s="97" t="str">
        <x:v>E042</x:v>
      </x:c>
      <x:c r="I256" s="97" t="str"/>
      <x:c r="J256" s="97" t="str"/>
      <x:c r="K256" s="97" t="str"/>
      <x:c r="L256" s="97" t="str">
        <x:v>No verified portrait was present in the repository or canonical evidence ledger at audit time.</x:v>
      </x:c>
    </x:row>
    <x:row r="257">
      <x:c r="A257" s="97" t="str">
        <x:v>person</x:v>
      </x:c>
      <x:c r="B257" s="97" t="str">
        <x:v>I262</x:v>
      </x:c>
      <x:c r="C257" s="97" t="str">
        <x:v>George Bower</x:v>
      </x:c>
      <x:c r="D257" s="97" t="str">
        <x:v>no_verified_photo_archived</x:v>
      </x:c>
      <x:c r="E257" s="97" t="str"/>
      <x:c r="F257" s="97" t="str"/>
      <x:c r="G257" s="97" t="str">
        <x:v>I262</x:v>
      </x:c>
      <x:c r="H257" s="97" t="str"/>
      <x:c r="I257" s="97" t="str"/>
      <x:c r="J257" s="97" t="str"/>
      <x:c r="K257" s="97" t="str"/>
      <x:c r="L257" s="97" t="str">
        <x:v>No verified portrait was present in the repository or canonical evidence ledger at audit time.</x:v>
      </x:c>
    </x:row>
    <x:row r="258">
      <x:c r="A258" s="97" t="str">
        <x:v>person</x:v>
      </x:c>
      <x:c r="B258" s="97" t="str">
        <x:v>I263</x:v>
      </x:c>
      <x:c r="C258" s="97" t="str">
        <x:v>Barbara Bower</x:v>
      </x:c>
      <x:c r="D258" s="97" t="str">
        <x:v>no_verified_photo_archived</x:v>
      </x:c>
      <x:c r="E258" s="97" t="str"/>
      <x:c r="F258" s="97" t="str"/>
      <x:c r="G258" s="97" t="str">
        <x:v>I263</x:v>
      </x:c>
      <x:c r="H258" s="97" t="str"/>
      <x:c r="I258" s="97" t="str"/>
      <x:c r="J258" s="97" t="str"/>
      <x:c r="K258" s="97" t="str"/>
      <x:c r="L258" s="97" t="str">
        <x:v>No verified portrait was present in the repository or canonical evidence ledger at audit time.</x:v>
      </x:c>
    </x:row>
    <x:row r="259">
      <x:c r="A259" s="97" t="str">
        <x:v>person</x:v>
      </x:c>
      <x:c r="B259" s="97" t="str">
        <x:v>I264</x:v>
      </x:c>
      <x:c r="C259" s="97" t="str">
        <x:v>Carrie E McNaughton Marsh</x:v>
      </x:c>
      <x:c r="D259" s="97" t="str">
        <x:v>no_verified_photo_archived</x:v>
      </x:c>
      <x:c r="E259" s="97" t="str"/>
      <x:c r="F259" s="97" t="str"/>
      <x:c r="G259" s="97" t="str">
        <x:v>I264</x:v>
      </x:c>
      <x:c r="H259" s="97" t="str">
        <x:v>E032</x:v>
      </x:c>
      <x:c r="I259" s="97" t="str"/>
      <x:c r="J259" s="97" t="str"/>
      <x:c r="K259" s="97" t="str"/>
      <x:c r="L259" s="97" t="str">
        <x:v>No verified portrait was present in the repository or canonical evidence ledger at audit time.</x:v>
      </x:c>
    </x:row>
    <x:row r="260">
      <x:c r="A260" s="97" t="str">
        <x:v>person</x:v>
      </x:c>
      <x:c r="B260" s="97" t="str">
        <x:v>I265</x:v>
      </x:c>
      <x:c r="C260" s="97" t="str">
        <x:v>Peter William McNaughton</x:v>
      </x:c>
      <x:c r="D260" s="97" t="str">
        <x:v>no_verified_photo_archived</x:v>
      </x:c>
      <x:c r="E260" s="97" t="str"/>
      <x:c r="F260" s="97" t="str"/>
      <x:c r="G260" s="97" t="str">
        <x:v>I265</x:v>
      </x:c>
      <x:c r="H260" s="97" t="str">
        <x:v>E021;E028</x:v>
      </x:c>
      <x:c r="I260" s="97" t="str"/>
      <x:c r="J260" s="97" t="str"/>
      <x:c r="K260" s="97" t="str"/>
      <x:c r="L260" s="97" t="str">
        <x:v>No verified portrait was present in the repository or canonical evidence ledger at audit time.</x:v>
      </x:c>
    </x:row>
    <x:row r="261">
      <x:c r="A261" s="97" t="str">
        <x:v>person</x:v>
      </x:c>
      <x:c r="B261" s="97" t="str">
        <x:v>I266</x:v>
      </x:c>
      <x:c r="C261" s="97" t="str">
        <x:v>William McNaughton</x:v>
      </x:c>
      <x:c r="D261" s="97" t="str">
        <x:v>no_verified_photo_archived</x:v>
      </x:c>
      <x:c r="E261" s="97" t="str"/>
      <x:c r="F261" s="97" t="str"/>
      <x:c r="G261" s="97" t="str">
        <x:v>I266</x:v>
      </x:c>
      <x:c r="H261" s="97" t="str"/>
      <x:c r="I261" s="97" t="str"/>
      <x:c r="J261" s="97" t="str"/>
      <x:c r="K261" s="97" t="str"/>
      <x:c r="L261" s="97" t="str">
        <x:v>No verified portrait was present in the repository or canonical evidence ledger at audit time.</x:v>
      </x:c>
    </x:row>
    <x:row r="262">
      <x:c r="A262" s="97" t="str">
        <x:v>person</x:v>
      </x:c>
      <x:c r="B262" s="97" t="str">
        <x:v>I267</x:v>
      </x:c>
      <x:c r="C262" s="97" t="str">
        <x:v>Relief Gibbs McNaughton</x:v>
      </x:c>
      <x:c r="D262" s="97" t="str">
        <x:v>no_verified_photo_archived</x:v>
      </x:c>
      <x:c r="E262" s="97" t="str"/>
      <x:c r="F262" s="97" t="str"/>
      <x:c r="G262" s="97" t="str">
        <x:v>I267</x:v>
      </x:c>
      <x:c r="H262" s="97" t="str">
        <x:v>E022;E043</x:v>
      </x:c>
      <x:c r="I262" s="97" t="str"/>
      <x:c r="J262" s="97" t="str"/>
      <x:c r="K262" s="97" t="str"/>
      <x:c r="L262" s="97" t="str">
        <x:v>No verified portrait was present in the repository or canonical evidence ledger at audit time.</x:v>
      </x:c>
    </x:row>
    <x:row r="263">
      <x:c r="A263" s="97" t="str">
        <x:v>person</x:v>
      </x:c>
      <x:c r="B263" s="97" t="str">
        <x:v>I268</x:v>
      </x:c>
      <x:c r="C263" s="97" t="str">
        <x:v>Mary A McNaughton</x:v>
      </x:c>
      <x:c r="D263" s="97" t="str">
        <x:v>no_verified_photo_archived</x:v>
      </x:c>
      <x:c r="E263" s="97" t="str"/>
      <x:c r="F263" s="97" t="str"/>
      <x:c r="G263" s="97" t="str">
        <x:v>I268</x:v>
      </x:c>
      <x:c r="H263" s="97" t="str">
        <x:v>E028;E037</x:v>
      </x:c>
      <x:c r="I263" s="97" t="str"/>
      <x:c r="J263" s="97" t="str"/>
      <x:c r="K263" s="97" t="str"/>
      <x:c r="L263" s="97" t="str">
        <x:v>No verified portrait was present in the repository or canonical evidence ledger at audit time.</x:v>
      </x:c>
    </x:row>
    <x:row r="264">
      <x:c r="A264" s="97" t="str">
        <x:v>person</x:v>
      </x:c>
      <x:c r="B264" s="97" t="str">
        <x:v>I269</x:v>
      </x:c>
      <x:c r="C264" s="97" t="str">
        <x:v>Doris Ann Vollmer</x:v>
      </x:c>
      <x:c r="D264" s="97" t="str">
        <x:v>no_verified_photo_archived</x:v>
      </x:c>
      <x:c r="E264" s="97" t="str"/>
      <x:c r="F264" s="97" t="str"/>
      <x:c r="G264" s="97" t="str">
        <x:v>I269</x:v>
      </x:c>
      <x:c r="H264" s="97" t="str">
        <x:v>E039</x:v>
      </x:c>
      <x:c r="I264" s="97" t="str"/>
      <x:c r="J264" s="97" t="str"/>
      <x:c r="K264" s="97" t="str"/>
      <x:c r="L264" s="97" t="str">
        <x:v>No verified portrait was present in the repository or canonical evidence ledger at audit time.</x:v>
      </x:c>
    </x:row>
    <x:row r="265">
      <x:c r="A265" s="97" t="str">
        <x:v>person</x:v>
      </x:c>
      <x:c r="B265" s="97" t="str">
        <x:v>I270</x:v>
      </x:c>
      <x:c r="C265" s="97" t="str">
        <x:v>Marie Anna Vollmer Seeley</x:v>
      </x:c>
      <x:c r="D265" s="97" t="str">
        <x:v>no_verified_photo_archived</x:v>
      </x:c>
      <x:c r="E265" s="97" t="str"/>
      <x:c r="F265" s="97" t="str"/>
      <x:c r="G265" s="97" t="str">
        <x:v>I270</x:v>
      </x:c>
      <x:c r="H265" s="97" t="str"/>
      <x:c r="I265" s="97" t="str"/>
      <x:c r="J265" s="97" t="str"/>
      <x:c r="K265" s="97" t="str"/>
      <x:c r="L265" s="97" t="str">
        <x:v>No verified portrait was present in the repository or canonical evidence ledger at audit time.</x:v>
      </x:c>
    </x:row>
    <x:row r="266">
      <x:c r="A266" s="97" t="str">
        <x:v>person</x:v>
      </x:c>
      <x:c r="B266" s="97" t="str">
        <x:v>I271</x:v>
      </x:c>
      <x:c r="C266" s="97" t="str">
        <x:v>Lester Allan Seeley</x:v>
      </x:c>
      <x:c r="D266" s="97" t="str">
        <x:v>no_verified_photo_archived</x:v>
      </x:c>
      <x:c r="E266" s="97" t="str"/>
      <x:c r="F266" s="97" t="str"/>
      <x:c r="G266" s="97" t="str">
        <x:v>I271</x:v>
      </x:c>
      <x:c r="H266" s="97" t="str"/>
      <x:c r="I266" s="97" t="str"/>
      <x:c r="J266" s="97" t="str"/>
      <x:c r="K266" s="97" t="str"/>
      <x:c r="L266" s="97" t="str">
        <x:v>No verified portrait was present in the repository or canonical evidence ledger at audit time.</x:v>
      </x:c>
    </x:row>
    <x:row r="267">
      <x:c r="A267" s="97" t="str">
        <x:v>person</x:v>
      </x:c>
      <x:c r="B267" s="97" t="str">
        <x:v>I272</x:v>
      </x:c>
      <x:c r="C267" s="97" t="str">
        <x:v>James Seeley</x:v>
      </x:c>
      <x:c r="D267" s="97" t="str">
        <x:v>no_verified_photo_archived</x:v>
      </x:c>
      <x:c r="E267" s="97" t="str"/>
      <x:c r="F267" s="97" t="str"/>
      <x:c r="G267" s="97" t="str">
        <x:v>I272</x:v>
      </x:c>
      <x:c r="H267" s="97" t="str"/>
      <x:c r="I267" s="97" t="str"/>
      <x:c r="J267" s="97" t="str"/>
      <x:c r="K267" s="97" t="str"/>
      <x:c r="L267" s="97" t="str">
        <x:v>No verified portrait was present in the repository or canonical evidence ledger at audit time.</x:v>
      </x:c>
    </x:row>
    <x:row r="268">
      <x:c r="A268" s="97" t="str">
        <x:v>person</x:v>
      </x:c>
      <x:c r="B268" s="97" t="str">
        <x:v>I273</x:v>
      </x:c>
      <x:c r="C268" s="97" t="str">
        <x:v>John Seeley</x:v>
      </x:c>
      <x:c r="D268" s="97" t="str">
        <x:v>no_verified_photo_archived</x:v>
      </x:c>
      <x:c r="E268" s="97" t="str"/>
      <x:c r="F268" s="97" t="str"/>
      <x:c r="G268" s="97" t="str">
        <x:v>I273</x:v>
      </x:c>
      <x:c r="H268" s="97" t="str"/>
      <x:c r="I268" s="97" t="str"/>
      <x:c r="J268" s="97" t="str"/>
      <x:c r="K268" s="97" t="str"/>
      <x:c r="L268" s="97" t="str">
        <x:v>No verified portrait was present in the repository or canonical evidence ledger at audit time.</x:v>
      </x:c>
    </x:row>
    <x:row r="269">
      <x:c r="A269" s="97" t="str">
        <x:v>person</x:v>
      </x:c>
      <x:c r="B269" s="97" t="str">
        <x:v>I274</x:v>
      </x:c>
      <x:c r="C269" s="97" t="str">
        <x:v>Mildred E Marsh Gutelius</x:v>
      </x:c>
      <x:c r="D269" s="97" t="str">
        <x:v>no_verified_photo_archived</x:v>
      </x:c>
      <x:c r="E269" s="97" t="str"/>
      <x:c r="F269" s="97" t="str"/>
      <x:c r="G269" s="97" t="str">
        <x:v>I274</x:v>
      </x:c>
      <x:c r="H269" s="97" t="str">
        <x:v>E032</x:v>
      </x:c>
      <x:c r="I269" s="97" t="str"/>
      <x:c r="J269" s="97" t="str"/>
      <x:c r="K269" s="97" t="str"/>
      <x:c r="L269" s="97" t="str">
        <x:v>No verified portrait was present in the repository or canonical evidence ledger at audit time.</x:v>
      </x:c>
    </x:row>
    <x:row r="270">
      <x:c r="A270" s="97" t="str">
        <x:v>person</x:v>
      </x:c>
      <x:c r="B270" s="97" t="str">
        <x:v>I275</x:v>
      </x:c>
      <x:c r="C270" s="97" t="str">
        <x:v>Harry K Gutelius</x:v>
      </x:c>
      <x:c r="D270" s="97" t="str">
        <x:v>no_verified_photo_archived</x:v>
      </x:c>
      <x:c r="E270" s="97" t="str"/>
      <x:c r="F270" s="97" t="str"/>
      <x:c r="G270" s="97" t="str">
        <x:v>I275</x:v>
      </x:c>
      <x:c r="H270" s="97" t="str"/>
      <x:c r="I270" s="97" t="str"/>
      <x:c r="J270" s="97" t="str"/>
      <x:c r="K270" s="97" t="str"/>
      <x:c r="L270" s="97" t="str">
        <x:v>No verified portrait was present in the repository or canonical evidence ledger at audit time.</x:v>
      </x:c>
    </x:row>
    <x:row r="271">
      <x:c r="A271" s="97" t="str">
        <x:v>person</x:v>
      </x:c>
      <x:c r="B271" s="97" t="str">
        <x:v>I276</x:v>
      </x:c>
      <x:c r="C271" s="97" t="str">
        <x:v>Eileen Gutelius Eaton</x:v>
      </x:c>
      <x:c r="D271" s="97" t="str">
        <x:v>no_verified_photo_archived</x:v>
      </x:c>
      <x:c r="E271" s="97" t="str"/>
      <x:c r="F271" s="97" t="str"/>
      <x:c r="G271" s="97" t="str">
        <x:v>I276</x:v>
      </x:c>
      <x:c r="H271" s="97" t="str"/>
      <x:c r="I271" s="97" t="str"/>
      <x:c r="J271" s="97" t="str"/>
      <x:c r="K271" s="97" t="str"/>
      <x:c r="L271" s="97" t="str">
        <x:v>No verified portrait was present in the repository or canonical evidence ledger at audit time.</x:v>
      </x:c>
    </x:row>
    <x:row r="272">
      <x:c r="A272" s="97" t="str">
        <x:v>person</x:v>
      </x:c>
      <x:c r="B272" s="97" t="str">
        <x:v>I277</x:v>
      </x:c>
      <x:c r="C272" s="97" t="str">
        <x:v>Ronald McNaughton Marsh</x:v>
      </x:c>
      <x:c r="D272" s="97" t="str">
        <x:v>no_verified_photo_archived</x:v>
      </x:c>
      <x:c r="E272" s="97" t="str"/>
      <x:c r="F272" s="97" t="str"/>
      <x:c r="G272" s="97" t="str">
        <x:v>I277</x:v>
      </x:c>
      <x:c r="H272" s="97" t="str">
        <x:v>E032</x:v>
      </x:c>
      <x:c r="I272" s="97" t="str"/>
      <x:c r="J272" s="97" t="str"/>
      <x:c r="K272" s="97" t="str"/>
      <x:c r="L272" s="97" t="str">
        <x:v>No verified portrait was present in the repository or canonical evidence ledger at audit time.</x:v>
      </x:c>
    </x:row>
    <x:row r="273">
      <x:c r="A273" s="97" t="str">
        <x:v>person</x:v>
      </x:c>
      <x:c r="B273" s="97" t="str">
        <x:v>I278</x:v>
      </x:c>
      <x:c r="C273" s="97" t="str">
        <x:v>Eva C St Martin Marsh</x:v>
      </x:c>
      <x:c r="D273" s="97" t="str">
        <x:v>no_verified_photo_archived</x:v>
      </x:c>
      <x:c r="E273" s="97" t="str"/>
      <x:c r="F273" s="97" t="str"/>
      <x:c r="G273" s="97" t="str">
        <x:v>I278</x:v>
      </x:c>
      <x:c r="H273" s="97" t="str"/>
      <x:c r="I273" s="97" t="str"/>
      <x:c r="J273" s="97" t="str"/>
      <x:c r="K273" s="97" t="str"/>
      <x:c r="L273" s="97" t="str">
        <x:v>No verified portrait was present in the repository or canonical evidence ledger at audit time.</x:v>
      </x:c>
    </x:row>
    <x:row r="274">
      <x:c r="A274" s="97" t="str">
        <x:v>person</x:v>
      </x:c>
      <x:c r="B274" s="97" t="str">
        <x:v>I279</x:v>
      </x:c>
      <x:c r="C274" s="97" t="str">
        <x:v>Dorothy Jane Marsh Kidwell</x:v>
      </x:c>
      <x:c r="D274" s="97" t="str">
        <x:v>no_verified_photo_archived</x:v>
      </x:c>
      <x:c r="E274" s="97" t="str"/>
      <x:c r="F274" s="97" t="str"/>
      <x:c r="G274" s="97" t="str">
        <x:v>I279</x:v>
      </x:c>
      <x:c r="H274" s="97" t="str"/>
      <x:c r="I274" s="97" t="str"/>
      <x:c r="J274" s="97" t="str"/>
      <x:c r="K274" s="97" t="str"/>
      <x:c r="L274" s="97" t="str">
        <x:v>No verified portrait was present in the repository or canonical evidence ledger at audit time.</x:v>
      </x:c>
    </x:row>
    <x:row r="275">
      <x:c r="A275" s="97" t="str">
        <x:v>person</x:v>
      </x:c>
      <x:c r="B275" s="97" t="str">
        <x:v>I280</x:v>
      </x:c>
      <x:c r="C275" s="97" t="str">
        <x:v>Robert James Marsh</x:v>
      </x:c>
      <x:c r="D275" s="97" t="str">
        <x:v>no_verified_photo_archived</x:v>
      </x:c>
      <x:c r="E275" s="97" t="str"/>
      <x:c r="F275" s="97" t="str"/>
      <x:c r="G275" s="97" t="str">
        <x:v>I280</x:v>
      </x:c>
      <x:c r="H275" s="97" t="str"/>
      <x:c r="I275" s="97" t="str"/>
      <x:c r="J275" s="97" t="str"/>
      <x:c r="K275" s="97" t="str"/>
      <x:c r="L275" s="97" t="str">
        <x:v>No verified portrait was present in the repository or canonical evidence ledger at audit time.</x:v>
      </x:c>
    </x:row>
    <x:row r="276">
      <x:c r="A276" s="97" t="str">
        <x:v>person</x:v>
      </x:c>
      <x:c r="B276" s="97" t="str">
        <x:v>I281</x:v>
      </x:c>
      <x:c r="C276" s="97" t="str">
        <x:v>Ronald Louis Marsh</x:v>
      </x:c>
      <x:c r="D276" s="97" t="str">
        <x:v>no_verified_photo_archived</x:v>
      </x:c>
      <x:c r="E276" s="97" t="str"/>
      <x:c r="F276" s="97" t="str"/>
      <x:c r="G276" s="97" t="str">
        <x:v>I281</x:v>
      </x:c>
      <x:c r="H276" s="97" t="str"/>
      <x:c r="I276" s="97" t="str"/>
      <x:c r="J276" s="97" t="str"/>
      <x:c r="K276" s="97" t="str"/>
      <x:c r="L276" s="97" t="str">
        <x:v>No verified portrait was present in the repository or canonical evidence ledger at audit time.</x:v>
      </x:c>
    </x:row>
    <x:row r="277">
      <x:c r="A277" s="97" t="str">
        <x:v>person</x:v>
      </x:c>
      <x:c r="B277" s="97" t="str">
        <x:v>I282</x:v>
      </x:c>
      <x:c r="C277" s="97" t="str">
        <x:v>Frederick Gottlieb Heinrich Vollmer</x:v>
      </x:c>
      <x:c r="D277" s="97" t="str">
        <x:v>no_verified_photo_archived</x:v>
      </x:c>
      <x:c r="E277" s="97" t="str"/>
      <x:c r="F277" s="97" t="str"/>
      <x:c r="G277" s="97" t="str">
        <x:v>I282</x:v>
      </x:c>
      <x:c r="H277" s="97" t="str">
        <x:v>E034</x:v>
      </x:c>
      <x:c r="I277" s="97" t="str"/>
      <x:c r="J277" s="97" t="str"/>
      <x:c r="K277" s="97" t="str"/>
      <x:c r="L277" s="97" t="str">
        <x:v>No verified portrait was present in the repository or canonical evidence ledger at audit time.</x:v>
      </x:c>
    </x:row>
    <x:row r="278">
      <x:c r="A278" s="97" t="str">
        <x:v>person</x:v>
      </x:c>
      <x:c r="B278" s="97" t="str">
        <x:v>I283</x:v>
      </x:c>
      <x:c r="C278" s="97" t="str">
        <x:v>Charles Marsh</x:v>
      </x:c>
      <x:c r="D278" s="97" t="str">
        <x:v>no_verified_photo_archived</x:v>
      </x:c>
      <x:c r="E278" s="97" t="str"/>
      <x:c r="F278" s="97" t="str"/>
      <x:c r="G278" s="97" t="str">
        <x:v>I283</x:v>
      </x:c>
      <x:c r="H278" s="97" t="str"/>
      <x:c r="I278" s="97" t="str"/>
      <x:c r="J278" s="97" t="str"/>
      <x:c r="K278" s="97" t="str"/>
      <x:c r="L278" s="97" t="str">
        <x:v>No verified portrait was present in the repository or canonical evidence ledger at audit time.</x:v>
      </x:c>
    </x:row>
    <x:row r="279">
      <x:c r="A279" s="97" t="str">
        <x:v>person</x:v>
      </x:c>
      <x:c r="B279" s="97" t="str">
        <x:v>I284</x:v>
      </x:c>
      <x:c r="C279" s="97" t="str">
        <x:v>Marion McNaughton</x:v>
      </x:c>
      <x:c r="D279" s="97" t="str">
        <x:v>no_verified_photo_archived</x:v>
      </x:c>
      <x:c r="E279" s="97" t="str"/>
      <x:c r="F279" s="97" t="str"/>
      <x:c r="G279" s="97" t="str">
        <x:v>I284</x:v>
      </x:c>
      <x:c r="H279" s="97" t="str"/>
      <x:c r="I279" s="97" t="str"/>
      <x:c r="J279" s="97" t="str"/>
      <x:c r="K279" s="97" t="str"/>
      <x:c r="L279" s="97" t="str">
        <x:v>No verified portrait was present in the repository or canonical evidence ledger at audit time.</x:v>
      </x:c>
    </x:row>
    <x:row r="280">
      <x:c r="A280" s="97" t="str">
        <x:v>person</x:v>
      </x:c>
      <x:c r="B280" s="97" t="str">
        <x:v>I285</x:v>
      </x:c>
      <x:c r="C280" s="97" t="str">
        <x:v>Elizabeth McNaughton Pullyblank</x:v>
      </x:c>
      <x:c r="D280" s="97" t="str">
        <x:v>no_verified_photo_archived</x:v>
      </x:c>
      <x:c r="E280" s="97" t="str"/>
      <x:c r="F280" s="97" t="str"/>
      <x:c r="G280" s="97" t="str">
        <x:v>I285</x:v>
      </x:c>
      <x:c r="H280" s="97" t="str"/>
      <x:c r="I280" s="97" t="str"/>
      <x:c r="J280" s="97" t="str"/>
      <x:c r="K280" s="97" t="str"/>
      <x:c r="L280" s="97" t="str">
        <x:v>No verified portrait was present in the repository or canonical evidence ledger at audit time.</x:v>
      </x:c>
    </x:row>
    <x:row r="281">
      <x:c r="A281" s="97" t="str">
        <x:v>person</x:v>
      </x:c>
      <x:c r="B281" s="97" t="str">
        <x:v>I286</x:v>
      </x:c>
      <x:c r="C281" s="97" t="str">
        <x:v>John C Pullyblank</x:v>
      </x:c>
      <x:c r="D281" s="97" t="str">
        <x:v>no_verified_photo_archived</x:v>
      </x:c>
      <x:c r="E281" s="97" t="str"/>
      <x:c r="F281" s="97" t="str"/>
      <x:c r="G281" s="97" t="str">
        <x:v>I286</x:v>
      </x:c>
      <x:c r="H281" s="97" t="str"/>
      <x:c r="I281" s="97" t="str"/>
      <x:c r="J281" s="97" t="str"/>
      <x:c r="K281" s="97" t="str"/>
      <x:c r="L281" s="97" t="str">
        <x:v>No verified portrait was present in the repository or canonical evidence ledger at audit time.</x:v>
      </x:c>
    </x:row>
    <x:row r="282">
      <x:c r="A282" s="97" t="str">
        <x:v>person</x:v>
      </x:c>
      <x:c r="B282" s="97" t="str">
        <x:v>I287</x:v>
      </x:c>
      <x:c r="C282" s="97" t="str">
        <x:v>MacNaughton Pullyblank</x:v>
      </x:c>
      <x:c r="D282" s="97" t="str">
        <x:v>no_verified_photo_archived</x:v>
      </x:c>
      <x:c r="E282" s="97" t="str"/>
      <x:c r="F282" s="97" t="str"/>
      <x:c r="G282" s="97" t="str">
        <x:v>I287</x:v>
      </x:c>
      <x:c r="H282" s="97" t="str"/>
      <x:c r="I282" s="97" t="str"/>
      <x:c r="J282" s="97" t="str"/>
      <x:c r="K282" s="97" t="str"/>
      <x:c r="L282" s="97" t="str">
        <x:v>No verified portrait was present in the repository or canonical evidence ledger at audit time.</x:v>
      </x:c>
    </x:row>
    <x:row r="283">
      <x:c r="A283" s="97" t="str">
        <x:v>person</x:v>
      </x:c>
      <x:c r="B283" s="97" t="str">
        <x:v>I288</x:v>
      </x:c>
      <x:c r="C283" s="97" t="str">
        <x:v>Floyd W Pullyblank</x:v>
      </x:c>
      <x:c r="D283" s="97" t="str">
        <x:v>no_verified_photo_archived</x:v>
      </x:c>
      <x:c r="E283" s="97" t="str"/>
      <x:c r="F283" s="97" t="str"/>
      <x:c r="G283" s="97" t="str">
        <x:v>I288</x:v>
      </x:c>
      <x:c r="H283" s="97" t="str"/>
      <x:c r="I283" s="97" t="str"/>
      <x:c r="J283" s="97" t="str"/>
      <x:c r="K283" s="97" t="str"/>
      <x:c r="L283" s="97" t="str">
        <x:v>No verified portrait was present in the repository or canonical evidence ledger at audit time.</x:v>
      </x:c>
    </x:row>
    <x:row r="284">
      <x:c r="A284" s="97" t="str">
        <x:v>person</x:v>
      </x:c>
      <x:c r="B284" s="97" t="str">
        <x:v>I289</x:v>
      </x:c>
      <x:c r="C284" s="97" t="str">
        <x:v>Ola L Pullyblank</x:v>
      </x:c>
      <x:c r="D284" s="97" t="str">
        <x:v>no_verified_photo_archived</x:v>
      </x:c>
      <x:c r="E284" s="97" t="str"/>
      <x:c r="F284" s="97" t="str"/>
      <x:c r="G284" s="97" t="str">
        <x:v>I289</x:v>
      </x:c>
      <x:c r="H284" s="97" t="str"/>
      <x:c r="I284" s="97" t="str"/>
      <x:c r="J284" s="97" t="str"/>
      <x:c r="K284" s="97" t="str"/>
      <x:c r="L284" s="97" t="str">
        <x:v>No verified portrait was present in the repository or canonical evidence ledger at audit time.</x:v>
      </x:c>
    </x:row>
    <x:row r="285">
      <x:c r="A285" s="97" t="str">
        <x:v>person</x:v>
      </x:c>
      <x:c r="B285" s="97" t="str">
        <x:v>I290</x:v>
      </x:c>
      <x:c r="C285" s="97" t="str">
        <x:v>Willard R Pullyblank</x:v>
      </x:c>
      <x:c r="D285" s="97" t="str">
        <x:v>no_verified_photo_archived</x:v>
      </x:c>
      <x:c r="E285" s="97" t="str"/>
      <x:c r="F285" s="97" t="str"/>
      <x:c r="G285" s="97" t="str">
        <x:v>I290</x:v>
      </x:c>
      <x:c r="H285" s="97" t="str"/>
      <x:c r="I285" s="97" t="str"/>
      <x:c r="J285" s="97" t="str"/>
      <x:c r="K285" s="97" t="str"/>
      <x:c r="L285" s="97" t="str">
        <x:v>No verified portrait was present in the repository or canonical evidence ledger at audit time.</x:v>
      </x:c>
    </x:row>
    <x:row r="286">
      <x:c r="A286" s="97" t="str">
        <x:v>person</x:v>
      </x:c>
      <x:c r="B286" s="97" t="str">
        <x:v>I291</x:v>
      </x:c>
      <x:c r="C286" s="97" t="str">
        <x:v>John W Pullyblank</x:v>
      </x:c>
      <x:c r="D286" s="97" t="str">
        <x:v>no_verified_photo_archived</x:v>
      </x:c>
      <x:c r="E286" s="97" t="str"/>
      <x:c r="F286" s="97" t="str"/>
      <x:c r="G286" s="97" t="str">
        <x:v>I291</x:v>
      </x:c>
      <x:c r="H286" s="97" t="str"/>
      <x:c r="I286" s="97" t="str"/>
      <x:c r="J286" s="97" t="str"/>
      <x:c r="K286" s="97" t="str"/>
      <x:c r="L286" s="97" t="str">
        <x:v>No verified portrait was present in the repository or canonical evidence ledger at audit time.</x:v>
      </x:c>
    </x:row>
    <x:row r="287">
      <x:c r="A287" s="97" t="str">
        <x:v>person</x:v>
      </x:c>
      <x:c r="B287" s="97" t="str">
        <x:v>I292</x:v>
      </x:c>
      <x:c r="C287" s="97" t="str">
        <x:v>Ruby J Pullyblank</x:v>
      </x:c>
      <x:c r="D287" s="97" t="str">
        <x:v>no_verified_photo_archived</x:v>
      </x:c>
      <x:c r="E287" s="97" t="str"/>
      <x:c r="F287" s="97" t="str"/>
      <x:c r="G287" s="97" t="str">
        <x:v>I292</x:v>
      </x:c>
      <x:c r="H287" s="97" t="str"/>
      <x:c r="I287" s="97" t="str"/>
      <x:c r="J287" s="97" t="str"/>
      <x:c r="K287" s="97" t="str"/>
      <x:c r="L287" s="97" t="str">
        <x:v>No verified portrait was present in the repository or canonical evidence ledger at audit time.</x:v>
      </x:c>
    </x:row>
    <x:row r="288">
      <x:c r="A288" s="97" t="str">
        <x:v>person</x:v>
      </x:c>
      <x:c r="B288" s="97" t="str">
        <x:v>I293</x:v>
      </x:c>
      <x:c r="C288" s="97" t="str">
        <x:v>Helen E Pullyblank</x:v>
      </x:c>
      <x:c r="D288" s="97" t="str">
        <x:v>no_verified_photo_archived</x:v>
      </x:c>
      <x:c r="E288" s="97" t="str"/>
      <x:c r="F288" s="97" t="str"/>
      <x:c r="G288" s="97" t="str">
        <x:v>I293</x:v>
      </x:c>
      <x:c r="H288" s="97" t="str"/>
      <x:c r="I288" s="97" t="str"/>
      <x:c r="J288" s="97" t="str"/>
      <x:c r="K288" s="97" t="str"/>
      <x:c r="L288" s="97" t="str">
        <x:v>No verified portrait was present in the repository or canonical evidence ledger at audit time.</x:v>
      </x:c>
    </x:row>
    <x:row r="289">
      <x:c r="A289" s="97" t="str">
        <x:v>person</x:v>
      </x:c>
      <x:c r="B289" s="97" t="str">
        <x:v>I294</x:v>
      </x:c>
      <x:c r="C289" s="97" t="str">
        <x:v>Lulu McNaughton</x:v>
      </x:c>
      <x:c r="D289" s="97" t="str">
        <x:v>no_verified_photo_archived</x:v>
      </x:c>
      <x:c r="E289" s="97" t="str"/>
      <x:c r="F289" s="97" t="str"/>
      <x:c r="G289" s="97" t="str">
        <x:v>I294</x:v>
      </x:c>
      <x:c r="H289" s="97" t="str"/>
      <x:c r="I289" s="97" t="str"/>
      <x:c r="J289" s="97" t="str"/>
      <x:c r="K289" s="97" t="str"/>
      <x:c r="L289" s="97" t="str">
        <x:v>No verified portrait was present in the repository or canonical evidence ledger at audit time.</x:v>
      </x:c>
    </x:row>
    <x:row r="290">
      <x:c r="A290" s="97" t="str">
        <x:v>person</x:v>
      </x:c>
      <x:c r="B290" s="97" t="str">
        <x:v>I310</x:v>
      </x:c>
      <x:c r="C290" s="97" t="str">
        <x:v>C Rudolph Muller</x:v>
      </x:c>
      <x:c r="D290" s="97" t="str">
        <x:v>no_verified_photo_archived</x:v>
      </x:c>
      <x:c r="E290" s="97" t="str"/>
      <x:c r="F290" s="97" t="str"/>
      <x:c r="G290" s="97" t="str">
        <x:v>I310</x:v>
      </x:c>
      <x:c r="H290" s="97" t="str"/>
      <x:c r="I290" s="97" t="str"/>
      <x:c r="J290" s="97" t="str"/>
      <x:c r="K290" s="97" t="str"/>
      <x:c r="L290" s="97" t="str">
        <x:v>No verified portrait was present in the repository or canonical evidence ledger at audit time.</x:v>
      </x:c>
    </x:row>
    <x:row r="291">
      <x:c r="A291" s="97" t="str">
        <x:v>person</x:v>
      </x:c>
      <x:c r="B291" s="97" t="str">
        <x:v>I311</x:v>
      </x:c>
      <x:c r="C291" s="97" t="str">
        <x:v>David Paul Muller</x:v>
      </x:c>
      <x:c r="D291" s="97" t="str">
        <x:v>no_verified_photo_archived</x:v>
      </x:c>
      <x:c r="E291" s="97" t="str"/>
      <x:c r="F291" s="97" t="str"/>
      <x:c r="G291" s="97" t="str">
        <x:v>I311</x:v>
      </x:c>
      <x:c r="H291" s="97" t="str"/>
      <x:c r="I291" s="97" t="str"/>
      <x:c r="J291" s="97" t="str"/>
      <x:c r="K291" s="97" t="str"/>
      <x:c r="L291" s="97" t="str">
        <x:v>No verified portrait was present in the repository or canonical evidence ledger at audit time.</x:v>
      </x:c>
    </x:row>
    <x:row r="292">
      <x:c r="A292" s="97" t="str">
        <x:v>person</x:v>
      </x:c>
      <x:c r="B292" s="97" t="str">
        <x:v>I314</x:v>
      </x:c>
      <x:c r="C292" s="97" t="str">
        <x:v>Hazel G Lee</x:v>
      </x:c>
      <x:c r="D292" s="97" t="str">
        <x:v>no_verified_photo_archived</x:v>
      </x:c>
      <x:c r="E292" s="97" t="str"/>
      <x:c r="F292" s="97" t="str"/>
      <x:c r="G292" s="97" t="str">
        <x:v>I314</x:v>
      </x:c>
      <x:c r="H292" s="97" t="str"/>
      <x:c r="I292" s="97" t="str"/>
      <x:c r="J292" s="97" t="str"/>
      <x:c r="K292" s="97" t="str"/>
      <x:c r="L292" s="97" t="str">
        <x:v>No verified portrait was present in the repository or canonical evidence ledger at audit time.</x:v>
      </x:c>
    </x:row>
    <x:row r="293">
      <x:c r="A293" s="97" t="str">
        <x:v>person</x:v>
      </x:c>
      <x:c r="B293" s="97" t="str">
        <x:v>I315</x:v>
      </x:c>
      <x:c r="C293" s="97" t="str">
        <x:v>Hubbard Stone Lee Sr</x:v>
      </x:c>
      <x:c r="D293" s="97" t="str">
        <x:v>no_verified_photo_archived</x:v>
      </x:c>
      <x:c r="E293" s="97" t="str"/>
      <x:c r="F293" s="97" t="str"/>
      <x:c r="G293" s="97" t="str">
        <x:v>I315</x:v>
      </x:c>
      <x:c r="H293" s="97" t="str"/>
      <x:c r="I293" s="97" t="str"/>
      <x:c r="J293" s="97" t="str"/>
      <x:c r="K293" s="97" t="str"/>
      <x:c r="L293" s="97" t="str">
        <x:v>No verified portrait was present in the repository or canonical evidence ledger at audit time.</x:v>
      </x:c>
    </x:row>
    <x:row r="294">
      <x:c r="A294" s="97" t="str">
        <x:v>person</x:v>
      </x:c>
      <x:c r="B294" s="97" t="str">
        <x:v>I316</x:v>
      </x:c>
      <x:c r="C294" s="97" t="str">
        <x:v>Irene M Burr Lee</x:v>
      </x:c>
      <x:c r="D294" s="97" t="str">
        <x:v>no_verified_photo_archived</x:v>
      </x:c>
      <x:c r="E294" s="97" t="str"/>
      <x:c r="F294" s="97" t="str"/>
      <x:c r="G294" s="97" t="str">
        <x:v>I316</x:v>
      </x:c>
      <x:c r="H294" s="97" t="str"/>
      <x:c r="I294" s="97" t="str"/>
      <x:c r="J294" s="97" t="str"/>
      <x:c r="K294" s="97" t="str"/>
      <x:c r="L294" s="97" t="str">
        <x:v>No verified portrait was present in the repository or canonical evidence ledger at audit time.</x:v>
      </x:c>
    </x:row>
    <x:row r="295">
      <x:c r="A295" s="97" t="str">
        <x:v>person</x:v>
      </x:c>
      <x:c r="B295" s="97" t="str">
        <x:v>I317</x:v>
      </x:c>
      <x:c r="C295" s="97" t="str">
        <x:v>Hubbard Stone Lee Jr</x:v>
      </x:c>
      <x:c r="D295" s="97" t="str">
        <x:v>no_verified_photo_archived</x:v>
      </x:c>
      <x:c r="E295" s="97" t="str"/>
      <x:c r="F295" s="97" t="str"/>
      <x:c r="G295" s="97" t="str">
        <x:v>I317</x:v>
      </x:c>
      <x:c r="H295" s="97" t="str"/>
      <x:c r="I295" s="97" t="str"/>
      <x:c r="J295" s="97" t="str"/>
      <x:c r="K295" s="97" t="str"/>
      <x:c r="L295" s="97" t="str">
        <x:v>No verified portrait was present in the repository or canonical evidence ledger at audit time.</x:v>
      </x:c>
    </x:row>
    <x:row r="296">
      <x:c r="A296" s="97" t="str">
        <x:v>person</x:v>
      </x:c>
      <x:c r="B296" s="97" t="str">
        <x:v>I320</x:v>
      </x:c>
      <x:c r="C296" s="97" t="str">
        <x:v>Martha M McCormick Macdonald</x:v>
      </x:c>
      <x:c r="D296" s="97" t="str">
        <x:v>no_verified_photo_archived</x:v>
      </x:c>
      <x:c r="E296" s="97" t="str"/>
      <x:c r="F296" s="97" t="str"/>
      <x:c r="G296" s="97" t="str">
        <x:v>I320</x:v>
      </x:c>
      <x:c r="H296" s="97" t="str"/>
      <x:c r="I296" s="97" t="str"/>
      <x:c r="J296" s="97" t="str"/>
      <x:c r="K296" s="97" t="str"/>
      <x:c r="L296" s="97" t="str">
        <x:v>No verified portrait was present in the repository or canonical evidence ledger at audit time.</x:v>
      </x:c>
    </x:row>
    <x:row r="297">
      <x:c r="A297" s="97" t="str">
        <x:v>person</x:v>
      </x:c>
      <x:c r="B297" s="97" t="str">
        <x:v>I321</x:v>
      </x:c>
      <x:c r="C297" s="97" t="str">
        <x:v>John R Macdonald</x:v>
      </x:c>
      <x:c r="D297" s="97" t="str">
        <x:v>no_verified_photo_archived</x:v>
      </x:c>
      <x:c r="E297" s="97" t="str"/>
      <x:c r="F297" s="97" t="str"/>
      <x:c r="G297" s="97" t="str">
        <x:v>I321</x:v>
      </x:c>
      <x:c r="H297" s="97" t="str"/>
      <x:c r="I297" s="97" t="str"/>
      <x:c r="J297" s="97" t="str"/>
      <x:c r="K297" s="97" t="str"/>
      <x:c r="L297" s="97" t="str">
        <x:v>No verified portrait was present in the repository or canonical evidence ledger at audit time.</x:v>
      </x:c>
    </x:row>
    <x:row r="298">
      <x:c r="A298" s="97" t="str">
        <x:v>person</x:v>
      </x:c>
      <x:c r="B298" s="97" t="str">
        <x:v>I322</x:v>
      </x:c>
      <x:c r="C298" s="97" t="str">
        <x:v>James D Macdonald</x:v>
      </x:c>
      <x:c r="D298" s="97" t="str">
        <x:v>no_verified_photo_archived</x:v>
      </x:c>
      <x:c r="E298" s="97" t="str"/>
      <x:c r="F298" s="97" t="str"/>
      <x:c r="G298" s="97" t="str">
        <x:v>I322</x:v>
      </x:c>
      <x:c r="H298" s="97" t="str"/>
      <x:c r="I298" s="97" t="str"/>
      <x:c r="J298" s="97" t="str"/>
      <x:c r="K298" s="97" t="str"/>
      <x:c r="L298" s="97" t="str">
        <x:v>No verified portrait was present in the repository or canonical evidence ledger at audit time.</x:v>
      </x:c>
    </x:row>
    <x:row r="299">
      <x:c r="A299" s="97" t="str">
        <x:v>person</x:v>
      </x:c>
      <x:c r="B299" s="97" t="str">
        <x:v>I323</x:v>
      </x:c>
      <x:c r="C299" s="97" t="str">
        <x:v>Jean Ruth Macdonald</x:v>
      </x:c>
      <x:c r="D299" s="97" t="str">
        <x:v>no_verified_photo_archived</x:v>
      </x:c>
      <x:c r="E299" s="97" t="str"/>
      <x:c r="F299" s="97" t="str"/>
      <x:c r="G299" s="97" t="str">
        <x:v>I323</x:v>
      </x:c>
      <x:c r="H299" s="97" t="str"/>
      <x:c r="I299" s="97" t="str"/>
      <x:c r="J299" s="97" t="str"/>
      <x:c r="K299" s="97" t="str"/>
      <x:c r="L299" s="97" t="str">
        <x:v>No verified portrait was present in the repository or canonical evidence ledger at audit time.</x:v>
      </x:c>
    </x:row>
    <x:row r="300">
      <x:c r="A300" s="97" t="str">
        <x:v>person</x:v>
      </x:c>
      <x:c r="B300" s="97" t="str">
        <x:v>I324</x:v>
      </x:c>
      <x:c r="C300" s="97" t="str">
        <x:v>Ruth B McCormick Reese</x:v>
      </x:c>
      <x:c r="D300" s="97" t="str">
        <x:v>no_verified_photo_archived</x:v>
      </x:c>
      <x:c r="E300" s="97" t="str"/>
      <x:c r="F300" s="97" t="str"/>
      <x:c r="G300" s="97" t="str">
        <x:v>I324</x:v>
      </x:c>
      <x:c r="H300" s="97" t="str"/>
      <x:c r="I300" s="97" t="str"/>
      <x:c r="J300" s="97" t="str"/>
      <x:c r="K300" s="97" t="str"/>
      <x:c r="L300" s="97" t="str">
        <x:v>No verified portrait was present in the repository or canonical evidence ledger at audit time.</x:v>
      </x:c>
    </x:row>
    <x:row r="301">
      <x:c r="A301" s="97" t="str">
        <x:v>person</x:v>
      </x:c>
      <x:c r="B301" s="97" t="str">
        <x:v>I327</x:v>
      </x:c>
      <x:c r="C301" s="97" t="str">
        <x:v>Sarah Slaughter Lazenby</x:v>
      </x:c>
      <x:c r="D301" s="97" t="str">
        <x:v>no_verified_photo_archived</x:v>
      </x:c>
      <x:c r="E301" s="97" t="str"/>
      <x:c r="F301" s="97" t="str"/>
      <x:c r="G301" s="97" t="str">
        <x:v>I327</x:v>
      </x:c>
      <x:c r="H301" s="97" t="str"/>
      <x:c r="I301" s="97" t="str"/>
      <x:c r="J301" s="97" t="str"/>
      <x:c r="K301" s="97" t="str"/>
      <x:c r="L301" s="97" t="str">
        <x:v>No verified portrait was present in the repository or canonical evidence ledger at audit time.</x:v>
      </x:c>
    </x:row>
    <x:row r="302">
      <x:c r="A302" s="97" t="str">
        <x:v>person</x:v>
      </x:c>
      <x:c r="B302" s="97" t="str">
        <x:v>I328</x:v>
      </x:c>
      <x:c r="C302" s="97" t="str">
        <x:v>Irene Williams Slaughter Cooke</x:v>
      </x:c>
      <x:c r="D302" s="97" t="str">
        <x:v>no_verified_photo_archived</x:v>
      </x:c>
      <x:c r="E302" s="97" t="str"/>
      <x:c r="F302" s="97" t="str"/>
      <x:c r="G302" s="97" t="str">
        <x:v>I328</x:v>
      </x:c>
      <x:c r="H302" s="97" t="str"/>
      <x:c r="I302" s="97" t="str"/>
      <x:c r="J302" s="97" t="str"/>
      <x:c r="K302" s="97" t="str"/>
      <x:c r="L302" s="97" t="str">
        <x:v>No verified portrait was present in the repository or canonical evidence ledger at audit time.</x:v>
      </x:c>
    </x:row>
    <x:row r="303">
      <x:c r="A303" s="97" t="str">
        <x:v>person</x:v>
      </x:c>
      <x:c r="B303" s="97" t="str">
        <x:v>I329</x:v>
      </x:c>
      <x:c r="C303" s="97" t="str">
        <x:v>Isaac Bush Slaughter Jr</x:v>
      </x:c>
      <x:c r="D303" s="97" t="str">
        <x:v>no_verified_photo_archived</x:v>
      </x:c>
      <x:c r="E303" s="97" t="str"/>
      <x:c r="F303" s="97" t="str"/>
      <x:c r="G303" s="97" t="str">
        <x:v>I329</x:v>
      </x:c>
      <x:c r="H303" s="97" t="str"/>
      <x:c r="I303" s="97" t="str"/>
      <x:c r="J303" s="97" t="str"/>
      <x:c r="K303" s="97" t="str"/>
      <x:c r="L303" s="97" t="str">
        <x:v>No verified portrait was present in the repository or canonical evidence ledger at audit time.</x:v>
      </x:c>
    </x:row>
    <x:row r="304">
      <x:c r="A304" s="97" t="str">
        <x:v>person</x:v>
      </x:c>
      <x:c r="B304" s="97" t="str">
        <x:v>I330</x:v>
      </x:c>
      <x:c r="C304" s="97" t="str">
        <x:v>Mae Belle Watson Slaughter</x:v>
      </x:c>
      <x:c r="D304" s="97" t="str">
        <x:v>no_verified_photo_archived</x:v>
      </x:c>
      <x:c r="E304" s="97" t="str"/>
      <x:c r="F304" s="97" t="str"/>
      <x:c r="G304" s="97" t="str">
        <x:v>I330</x:v>
      </x:c>
      <x:c r="H304" s="97" t="str"/>
      <x:c r="I304" s="97" t="str"/>
      <x:c r="J304" s="97" t="str"/>
      <x:c r="K304" s="97" t="str"/>
      <x:c r="L304" s="97" t="str">
        <x:v>No verified portrait was present in the repository or canonical evidence ledger at audit time.</x:v>
      </x:c>
    </x:row>
    <x:row r="305">
      <x:c r="A305" s="97" t="str">
        <x:v>person</x:v>
      </x:c>
      <x:c r="B305" s="97" t="str">
        <x:v>I331</x:v>
      </x:c>
      <x:c r="C305" s="97" t="str">
        <x:v>Agnes Slaughter</x:v>
      </x:c>
      <x:c r="D305" s="97" t="str">
        <x:v>no_verified_photo_archived</x:v>
      </x:c>
      <x:c r="E305" s="97" t="str"/>
      <x:c r="F305" s="97" t="str"/>
      <x:c r="G305" s="97" t="str">
        <x:v>I331</x:v>
      </x:c>
      <x:c r="H305" s="97" t="str"/>
      <x:c r="I305" s="97" t="str"/>
      <x:c r="J305" s="97" t="str"/>
      <x:c r="K305" s="97" t="str"/>
      <x:c r="L305" s="97" t="str">
        <x:v>No verified portrait was present in the repository or canonical evidence ledger at audit time.</x:v>
      </x:c>
    </x:row>
    <x:row r="306">
      <x:c r="A306" s="97" t="str">
        <x:v>person</x:v>
      </x:c>
      <x:c r="B306" s="97" t="str">
        <x:v>I332</x:v>
      </x:c>
      <x:c r="C306" s="97" t="str">
        <x:v>Hundley Agee Slaughter</x:v>
      </x:c>
      <x:c r="D306" s="97" t="str">
        <x:v>no_verified_photo_archived</x:v>
      </x:c>
      <x:c r="E306" s="97" t="str"/>
      <x:c r="F306" s="97" t="str"/>
      <x:c r="G306" s="97" t="str">
        <x:v>I332</x:v>
      </x:c>
      <x:c r="H306" s="97" t="str"/>
      <x:c r="I306" s="97" t="str"/>
      <x:c r="J306" s="97" t="str"/>
      <x:c r="K306" s="97" t="str"/>
      <x:c r="L306" s="97" t="str">
        <x:v>No verified portrait was present in the repository or canonical evidence ledger at audit time.</x:v>
      </x:c>
    </x:row>
    <x:row r="307">
      <x:c r="A307" s="97" t="str">
        <x:v>person</x:v>
      </x:c>
      <x:c r="B307" s="97" t="str">
        <x:v>I333</x:v>
      </x:c>
      <x:c r="C307" s="97" t="str">
        <x:v>Frank Rives Slaughter</x:v>
      </x:c>
      <x:c r="D307" s="97" t="str">
        <x:v>no_verified_photo_archived</x:v>
      </x:c>
      <x:c r="E307" s="97" t="str"/>
      <x:c r="F307" s="97" t="str"/>
      <x:c r="G307" s="97" t="str">
        <x:v>I333</x:v>
      </x:c>
      <x:c r="H307" s="97" t="str"/>
      <x:c r="I307" s="97" t="str"/>
      <x:c r="J307" s="97" t="str"/>
      <x:c r="K307" s="97" t="str"/>
      <x:c r="L307" s="97" t="str">
        <x:v>No verified portrait was present in the repository or canonical evidence ledger at audit time.</x:v>
      </x:c>
    </x:row>
    <x:row r="308">
      <x:c r="A308" s="97" t="str">
        <x:v>person</x:v>
      </x:c>
      <x:c r="B308" s="97" t="str">
        <x:v>I334</x:v>
      </x:c>
      <x:c r="C308" s="97" t="str">
        <x:v>Mary Alice Thoren</x:v>
      </x:c>
      <x:c r="D308" s="97" t="str">
        <x:v>no_verified_photo_archived</x:v>
      </x:c>
      <x:c r="E308" s="97" t="str"/>
      <x:c r="F308" s="97" t="str"/>
      <x:c r="G308" s="97" t="str">
        <x:v>I334</x:v>
      </x:c>
      <x:c r="H308" s="97" t="str">
        <x:v>E040</x:v>
      </x:c>
      <x:c r="I308" s="97" t="str"/>
      <x:c r="J308" s="97" t="str"/>
      <x:c r="K308" s="97" t="str"/>
      <x:c r="L308" s="97" t="str">
        <x:v>No verified portrait was present in the repository or canonical evidence ledger at audit time.</x:v>
      </x:c>
    </x:row>
    <x:row r="309">
      <x:c r="A309" s="97" t="str">
        <x:v>person</x:v>
      </x:c>
      <x:c r="B309" s="97" t="str">
        <x:v>I335</x:v>
      </x:c>
      <x:c r="C309" s="97" t="str">
        <x:v>Chris Vollmer</x:v>
      </x:c>
      <x:c r="D309" s="97" t="str">
        <x:v>no_verified_photo_archived</x:v>
      </x:c>
      <x:c r="E309" s="97" t="str"/>
      <x:c r="F309" s="97" t="str"/>
      <x:c r="G309" s="97" t="str">
        <x:v>I335</x:v>
      </x:c>
      <x:c r="H309" s="97" t="str"/>
      <x:c r="I309" s="97" t="str"/>
      <x:c r="J309" s="97" t="str"/>
      <x:c r="K309" s="97" t="str"/>
      <x:c r="L309" s="97" t="str">
        <x:v>No verified portrait was present in the repository or canonical evidence ledger at audit time.</x:v>
      </x:c>
    </x:row>
    <x:row r="310">
      <x:c r="A310" s="97" t="str">
        <x:v>person</x:v>
      </x:c>
      <x:c r="B310" s="97" t="str">
        <x:v>I336</x:v>
      </x:c>
      <x:c r="C310" s="97" t="str">
        <x:v>William John Thoren</x:v>
      </x:c>
      <x:c r="D310" s="97" t="str">
        <x:v>no_verified_photo_archived</x:v>
      </x:c>
      <x:c r="E310" s="97" t="str"/>
      <x:c r="F310" s="97" t="str"/>
      <x:c r="G310" s="97" t="str">
        <x:v>I336</x:v>
      </x:c>
      <x:c r="H310" s="97" t="str">
        <x:v>E040</x:v>
      </x:c>
      <x:c r="I310" s="97" t="str"/>
      <x:c r="J310" s="97" t="str"/>
      <x:c r="K310" s="97" t="str"/>
      <x:c r="L310" s="97" t="str">
        <x:v>No verified portrait was present in the repository or canonical evidence ledger at audit time.</x:v>
      </x:c>
    </x:row>
    <x:row r="311">
      <x:c r="A311" s="97" t="str">
        <x:v>person</x:v>
      </x:c>
      <x:c r="B311" s="97" t="str">
        <x:v>I337</x:v>
      </x:c>
      <x:c r="C311" s="97" t="str">
        <x:v>Alice Gallaher</x:v>
      </x:c>
      <x:c r="D311" s="97" t="str">
        <x:v>no_verified_photo_archived</x:v>
      </x:c>
      <x:c r="E311" s="97" t="str"/>
      <x:c r="F311" s="97" t="str"/>
      <x:c r="G311" s="97" t="str">
        <x:v>I337</x:v>
      </x:c>
      <x:c r="H311" s="97" t="str">
        <x:v>E040</x:v>
      </x:c>
      <x:c r="I311" s="97" t="str"/>
      <x:c r="J311" s="97" t="str"/>
      <x:c r="K311" s="97" t="str"/>
      <x:c r="L311" s="97" t="str">
        <x:v>No verified portrait was present in the repository or canonical evidence ledger at audit time.</x:v>
      </x:c>
    </x:row>
    <x:row r="312">
      <x:c r="A312" s="97" t="str">
        <x:v>person</x:v>
      </x:c>
      <x:c r="B312" s="97" t="str">
        <x:v>I338</x:v>
      </x:c>
      <x:c r="C312" s="97" t="str">
        <x:v>Christian Andrew Thoren</x:v>
      </x:c>
      <x:c r="D312" s="97" t="str">
        <x:v>no_verified_photo_archived</x:v>
      </x:c>
      <x:c r="E312" s="97" t="str"/>
      <x:c r="F312" s="97" t="str"/>
      <x:c r="G312" s="97" t="str">
        <x:v>I338</x:v>
      </x:c>
      <x:c r="H312" s="97" t="str"/>
      <x:c r="I312" s="97" t="str"/>
      <x:c r="J312" s="97" t="str"/>
      <x:c r="K312" s="97" t="str"/>
      <x:c r="L312" s="97" t="str">
        <x:v>No verified portrait was present in the repository or canonical evidence ledger at audit time.</x:v>
      </x:c>
    </x:row>
    <x:row r="313">
      <x:c r="A313" s="97" t="str">
        <x:v>person</x:v>
      </x:c>
      <x:c r="B313" s="97" t="str">
        <x:v>I339</x:v>
      </x:c>
      <x:c r="C313" s="97" t="str">
        <x:v>Augusta Nilsdotter</x:v>
      </x:c>
      <x:c r="D313" s="97" t="str">
        <x:v>no_verified_photo_archived</x:v>
      </x:c>
      <x:c r="E313" s="97" t="str"/>
      <x:c r="F313" s="97" t="str"/>
      <x:c r="G313" s="97" t="str">
        <x:v>I339</x:v>
      </x:c>
      <x:c r="H313" s="97" t="str"/>
      <x:c r="I313" s="97" t="str"/>
      <x:c r="J313" s="97" t="str"/>
      <x:c r="K313" s="97" t="str"/>
      <x:c r="L313" s="97" t="str">
        <x:v>No verified portrait was present in the repository or canonical evidence ledger at audit time.</x:v>
      </x:c>
    </x:row>
    <x:row r="314">
      <x:c r="A314" s="97" t="str">
        <x:v>person</x:v>
      </x:c>
      <x:c r="B314" s="97" t="str">
        <x:v>I340</x:v>
      </x:c>
      <x:c r="C314" s="97" t="str">
        <x:v>Anders Troedsson</x:v>
      </x:c>
      <x:c r="D314" s="97" t="str">
        <x:v>no_verified_photo_archived</x:v>
      </x:c>
      <x:c r="E314" s="97" t="str"/>
      <x:c r="F314" s="97" t="str"/>
      <x:c r="G314" s="97" t="str">
        <x:v>I340</x:v>
      </x:c>
      <x:c r="H314" s="97" t="str"/>
      <x:c r="I314" s="97" t="str"/>
      <x:c r="J314" s="97" t="str"/>
      <x:c r="K314" s="97" t="str"/>
      <x:c r="L314" s="97" t="str">
        <x:v>No verified portrait was present in the repository or canonical evidence ledger at audit time.</x:v>
      </x:c>
    </x:row>
    <x:row r="315">
      <x:c r="A315" s="97" t="str">
        <x:v>person</x:v>
      </x:c>
      <x:c r="B315" s="97" t="str">
        <x:v>I341</x:v>
      </x:c>
      <x:c r="C315" s="97" t="str">
        <x:v>Kjersti Månsdotter</x:v>
      </x:c>
      <x:c r="D315" s="97" t="str">
        <x:v>no_verified_photo_archived</x:v>
      </x:c>
      <x:c r="E315" s="97" t="str"/>
      <x:c r="F315" s="97" t="str"/>
      <x:c r="G315" s="97" t="str">
        <x:v>I341</x:v>
      </x:c>
      <x:c r="H315" s="97" t="str"/>
      <x:c r="I315" s="97" t="str"/>
      <x:c r="J315" s="97" t="str"/>
      <x:c r="K315" s="97" t="str"/>
      <x:c r="L315" s="97" t="str">
        <x:v>No verified portrait was present in the repository or canonical evidence ledger at audit time.</x:v>
      </x:c>
    </x:row>
    <x:row r="316">
      <x:c r="A316" s="97" t="str">
        <x:v>person</x:v>
      </x:c>
      <x:c r="B316" s="97" t="str">
        <x:v>I342</x:v>
      </x:c>
      <x:c r="C316" s="97" t="str">
        <x:v>Trued Andersson</x:v>
      </x:c>
      <x:c r="D316" s="97" t="str">
        <x:v>no_verified_photo_archived</x:v>
      </x:c>
      <x:c r="E316" s="97" t="str"/>
      <x:c r="F316" s="97" t="str"/>
      <x:c r="G316" s="97" t="str">
        <x:v>I342</x:v>
      </x:c>
      <x:c r="H316" s="97" t="str"/>
      <x:c r="I316" s="97" t="str"/>
      <x:c r="J316" s="97" t="str"/>
      <x:c r="K316" s="97" t="str"/>
      <x:c r="L316" s="97" t="str">
        <x:v>No verified portrait was present in the repository or canonical evidence ledger at audit time.</x:v>
      </x:c>
    </x:row>
    <x:row r="317">
      <x:c r="A317" s="97" t="str">
        <x:v>person</x:v>
      </x:c>
      <x:c r="B317" s="97" t="str">
        <x:v>I343</x:v>
      </x:c>
      <x:c r="C317" s="97" t="str">
        <x:v>Bortha Nilsdotter</x:v>
      </x:c>
      <x:c r="D317" s="97" t="str">
        <x:v>no_verified_photo_archived</x:v>
      </x:c>
      <x:c r="E317" s="97" t="str"/>
      <x:c r="F317" s="97" t="str"/>
      <x:c r="G317" s="97" t="str">
        <x:v>I343</x:v>
      </x:c>
      <x:c r="H317" s="97" t="str"/>
      <x:c r="I317" s="97" t="str"/>
      <x:c r="J317" s="97" t="str"/>
      <x:c r="K317" s="97" t="str"/>
      <x:c r="L317" s="97" t="str">
        <x:v>No verified portrait was present in the repository or canonical evidence ledger at audit time.</x:v>
      </x:c>
    </x:row>
    <x:row r="318">
      <x:c r="A318" s="97" t="str">
        <x:v>person</x:v>
      </x:c>
      <x:c r="B318" s="97" t="str">
        <x:v>I344</x:v>
      </x:c>
      <x:c r="C318" s="97" t="str">
        <x:v>Nils Svensson</x:v>
      </x:c>
      <x:c r="D318" s="97" t="str">
        <x:v>no_verified_photo_archived</x:v>
      </x:c>
      <x:c r="E318" s="97" t="str"/>
      <x:c r="F318" s="97" t="str"/>
      <x:c r="G318" s="97" t="str">
        <x:v>I344</x:v>
      </x:c>
      <x:c r="H318" s="97" t="str"/>
      <x:c r="I318" s="97" t="str"/>
      <x:c r="J318" s="97" t="str"/>
      <x:c r="K318" s="97" t="str"/>
      <x:c r="L318" s="97" t="str">
        <x:v>No verified portrait was present in the repository or canonical evidence ledger at audit time.</x:v>
      </x:c>
    </x:row>
    <x:row r="319">
      <x:c r="A319" s="97" t="str">
        <x:v>person</x:v>
      </x:c>
      <x:c r="B319" s="97" t="str">
        <x:v>I345</x:v>
      </x:c>
      <x:c r="C319" s="97" t="str">
        <x:v>Christina Persdotter</x:v>
      </x:c>
      <x:c r="D319" s="97" t="str">
        <x:v>no_verified_photo_archived</x:v>
      </x:c>
      <x:c r="E319" s="97" t="str"/>
      <x:c r="F319" s="97" t="str"/>
      <x:c r="G319" s="97" t="str">
        <x:v>I345</x:v>
      </x:c>
      <x:c r="H319" s="97" t="str"/>
      <x:c r="I319" s="97" t="str"/>
      <x:c r="J319" s="97" t="str"/>
      <x:c r="K319" s="97" t="str"/>
      <x:c r="L319" s="97" t="str">
        <x:v>No verified portrait was present in the repository or canonical evidence ledger at audit time.</x:v>
      </x:c>
    </x:row>
    <x:row r="320">
      <x:c r="A320" s="97" t="str">
        <x:v>person</x:v>
      </x:c>
      <x:c r="B320" s="97" t="str">
        <x:v>I346</x:v>
      </x:c>
      <x:c r="C320" s="97" t="str">
        <x:v>Gunnilla Nilsdotter</x:v>
      </x:c>
      <x:c r="D320" s="97" t="str">
        <x:v>no_verified_photo_archived</x:v>
      </x:c>
      <x:c r="E320" s="97" t="str"/>
      <x:c r="F320" s="97" t="str"/>
      <x:c r="G320" s="97" t="str">
        <x:v>I346</x:v>
      </x:c>
      <x:c r="H320" s="97" t="str"/>
      <x:c r="I320" s="97" t="str"/>
      <x:c r="J320" s="97" t="str"/>
      <x:c r="K320" s="97" t="str"/>
      <x:c r="L320" s="97" t="str">
        <x:v>No verified portrait was present in the repository or canonical evidence ledger at audit time.</x:v>
      </x:c>
    </x:row>
    <x:row r="321">
      <x:c r="A321" s="97" t="str">
        <x:v>person</x:v>
      </x:c>
      <x:c r="B321" s="97" t="str">
        <x:v>I347</x:v>
      </x:c>
      <x:c r="C321" s="97" t="str">
        <x:v>Nils Johansson</x:v>
      </x:c>
      <x:c r="D321" s="97" t="str">
        <x:v>no_verified_photo_archived</x:v>
      </x:c>
      <x:c r="E321" s="97" t="str"/>
      <x:c r="F321" s="97" t="str"/>
      <x:c r="G321" s="97" t="str">
        <x:v>I347</x:v>
      </x:c>
      <x:c r="H321" s="97" t="str"/>
      <x:c r="I321" s="97" t="str"/>
      <x:c r="J321" s="97" t="str"/>
      <x:c r="K321" s="97" t="str"/>
      <x:c r="L321" s="97" t="str">
        <x:v>No verified portrait was present in the repository or canonical evidence ledger at audit time.</x:v>
      </x:c>
    </x:row>
    <x:row r="322">
      <x:c r="A322" s="97" t="str">
        <x:v>person</x:v>
      </x:c>
      <x:c r="B322" s="97" t="str">
        <x:v>I348</x:v>
      </x:c>
      <x:c r="C322" s="97" t="str">
        <x:v>Elna Nilsdotter</x:v>
      </x:c>
      <x:c r="D322" s="97" t="str">
        <x:v>no_verified_photo_archived</x:v>
      </x:c>
      <x:c r="E322" s="97" t="str"/>
      <x:c r="F322" s="97" t="str"/>
      <x:c r="G322" s="97" t="str">
        <x:v>I348</x:v>
      </x:c>
      <x:c r="H322" s="97" t="str"/>
      <x:c r="I322" s="97" t="str"/>
      <x:c r="J322" s="97" t="str"/>
      <x:c r="K322" s="97" t="str"/>
      <x:c r="L322" s="97" t="str">
        <x:v>No verified portrait was present in the repository or canonical evidence ledger at audit time.</x:v>
      </x:c>
    </x:row>
    <x:row r="323">
      <x:c r="A323" s="97" t="str">
        <x:v>person</x:v>
      </x:c>
      <x:c r="B323" s="97" t="str">
        <x:v>I349</x:v>
      </x:c>
      <x:c r="C323" s="97" t="str">
        <x:v>Pehr Erlandsson</x:v>
      </x:c>
      <x:c r="D323" s="97" t="str">
        <x:v>no_verified_photo_archived</x:v>
      </x:c>
      <x:c r="E323" s="97" t="str"/>
      <x:c r="F323" s="97" t="str"/>
      <x:c r="G323" s="97" t="str">
        <x:v>I349</x:v>
      </x:c>
      <x:c r="H323" s="97" t="str"/>
      <x:c r="I323" s="97" t="str"/>
      <x:c r="J323" s="97" t="str"/>
      <x:c r="K323" s="97" t="str"/>
      <x:c r="L323" s="97" t="str">
        <x:v>No verified portrait was present in the repository or canonical evidence ledger at audit time.</x:v>
      </x:c>
    </x:row>
    <x:row r="324">
      <x:c r="A324" s="97" t="str">
        <x:v>person</x:v>
      </x:c>
      <x:c r="B324" s="97" t="str">
        <x:v>I350</x:v>
      </x:c>
      <x:c r="C324" s="97" t="str">
        <x:v>Ingier Hansdotter</x:v>
      </x:c>
      <x:c r="D324" s="97" t="str">
        <x:v>no_verified_photo_archived</x:v>
      </x:c>
      <x:c r="E324" s="97" t="str"/>
      <x:c r="F324" s="97" t="str"/>
      <x:c r="G324" s="97" t="str">
        <x:v>I350</x:v>
      </x:c>
      <x:c r="H324" s="97" t="str"/>
      <x:c r="I324" s="97" t="str"/>
      <x:c r="J324" s="97" t="str"/>
      <x:c r="K324" s="97" t="str"/>
      <x:c r="L324" s="97" t="str">
        <x:v>No verified portrait was present in the repository or canonical evidence ledger at audit time.</x:v>
      </x:c>
    </x:row>
    <x:row r="325">
      <x:c r="A325" s="97" t="str">
        <x:v>person</x:v>
      </x:c>
      <x:c r="B325" s="97" t="str">
        <x:v>I351</x:v>
      </x:c>
      <x:c r="C325" s="97" t="str">
        <x:v>Erland Pålsson</x:v>
      </x:c>
      <x:c r="D325" s="97" t="str">
        <x:v>no_verified_photo_archived</x:v>
      </x:c>
      <x:c r="E325" s="97" t="str"/>
      <x:c r="F325" s="97" t="str"/>
      <x:c r="G325" s="97" t="str">
        <x:v>I351</x:v>
      </x:c>
      <x:c r="H325" s="97" t="str"/>
      <x:c r="I325" s="97" t="str"/>
      <x:c r="J325" s="97" t="str"/>
      <x:c r="K325" s="97" t="str"/>
      <x:c r="L325" s="97" t="str">
        <x:v>No verified portrait was present in the repository or canonical evidence ledger at audit time.</x:v>
      </x:c>
    </x:row>
    <x:row r="326">
      <x:c r="A326" s="97" t="str">
        <x:v>person</x:v>
      </x:c>
      <x:c r="B326" s="97" t="str">
        <x:v>I352</x:v>
      </x:c>
      <x:c r="C326" s="97" t="str">
        <x:v>Bengta Pehrsdotter</x:v>
      </x:c>
      <x:c r="D326" s="97" t="str">
        <x:v>no_verified_photo_archived</x:v>
      </x:c>
      <x:c r="E326" s="97" t="str"/>
      <x:c r="F326" s="97" t="str"/>
      <x:c r="G326" s="97" t="str">
        <x:v>I352</x:v>
      </x:c>
      <x:c r="H326" s="97" t="str"/>
      <x:c r="I326" s="97" t="str"/>
      <x:c r="J326" s="97" t="str"/>
      <x:c r="K326" s="97" t="str"/>
      <x:c r="L326" s="97" t="str">
        <x:v>No verified portrait was present in the repository or canonical evidence ledger at audit time.</x:v>
      </x:c>
    </x:row>
    <x:row r="327">
      <x:c r="A327" s="97" t="str">
        <x:v>person</x:v>
      </x:c>
      <x:c r="B327" s="97" t="str">
        <x:v>I353</x:v>
      </x:c>
      <x:c r="C327" s="97" t="str">
        <x:v>Hans Månsson</x:v>
      </x:c>
      <x:c r="D327" s="97" t="str">
        <x:v>no_verified_photo_archived</x:v>
      </x:c>
      <x:c r="E327" s="97" t="str"/>
      <x:c r="F327" s="97" t="str"/>
      <x:c r="G327" s="97" t="str">
        <x:v>I353</x:v>
      </x:c>
      <x:c r="H327" s="97" t="str"/>
      <x:c r="I327" s="97" t="str"/>
      <x:c r="J327" s="97" t="str"/>
      <x:c r="K327" s="97" t="str"/>
      <x:c r="L327" s="97" t="str">
        <x:v>No verified portrait was present in the repository or canonical evidence ledger at audit time.</x:v>
      </x:c>
    </x:row>
    <x:row r="328">
      <x:c r="A328" s="97" t="str">
        <x:v>person</x:v>
      </x:c>
      <x:c r="B328" s="97" t="str">
        <x:v>I354</x:v>
      </x:c>
      <x:c r="C328" s="97" t="str">
        <x:v>Maria Hansdotter</x:v>
      </x:c>
      <x:c r="D328" s="97" t="str">
        <x:v>no_verified_photo_archived</x:v>
      </x:c>
      <x:c r="E328" s="97" t="str"/>
      <x:c r="F328" s="97" t="str"/>
      <x:c r="G328" s="97" t="str">
        <x:v>I354</x:v>
      </x:c>
      <x:c r="H328" s="97" t="str"/>
      <x:c r="I328" s="97" t="str"/>
      <x:c r="J328" s="97" t="str"/>
      <x:c r="K328" s="97" t="str"/>
      <x:c r="L328" s="97" t="str">
        <x:v>No verified portrait was present in the repository or canonical evidence ledger at audit time.</x:v>
      </x:c>
    </x:row>
    <x:row r="329">
      <x:c r="A329" s="97" t="str">
        <x:v>person</x:v>
      </x:c>
      <x:c r="B329" s="97" t="str">
        <x:v>I355</x:v>
      </x:c>
      <x:c r="C329" s="97" t="str">
        <x:v>Peter Vollmer</x:v>
      </x:c>
      <x:c r="D329" s="97" t="str">
        <x:v>no_verified_photo_archived</x:v>
      </x:c>
      <x:c r="E329" s="97" t="str"/>
      <x:c r="F329" s="97" t="str"/>
      <x:c r="G329" s="97" t="str">
        <x:v>I355</x:v>
      </x:c>
      <x:c r="H329" s="97" t="str"/>
      <x:c r="I329" s="97" t="str"/>
      <x:c r="J329" s="97" t="str"/>
      <x:c r="K329" s="97" t="str"/>
      <x:c r="L329" s="97" t="str">
        <x:v>No verified portrait was present in the repository or canonical evidence ledger at audit time.</x:v>
      </x:c>
    </x:row>
    <x:row r="330">
      <x:c r="A330" s="97" t="str">
        <x:v>evidence</x:v>
      </x:c>
      <x:c r="B330" s="97" t="str">
        <x:v>E001</x:v>
      </x:c>
      <x:c r="C330" s="97" t="str">
        <x:v>Deborah Hopkins birth register</x:v>
      </x:c>
      <x:c r="D330" s="97" t="str">
        <x:v>supporting</x:v>
      </x:c>
      <x:c r="E330" s="97" t="str">
        <x:v>records/1648-06-15_deborah-hopkins_birth-register.jpg</x:v>
      </x:c>
      <x:c r="F330" s="97" t="str"/>
      <x:c r="G330" s="97" t="str">
        <x:v>I248;I251</x:v>
      </x:c>
      <x:c r="H330" s="97" t="str"/>
      <x:c r="I330" s="97" t="str">
        <x:v>S26</x:v>
      </x:c>
      <x:c r="J330" s="97" t="str">
        <x:v>S57</x:v>
      </x:c>
      <x:c r="K330" s="97" t="str">
        <x:v>records/1648-06-15_deborah-hopkins_birth-register.jpg</x:v>
      </x:c>
      <x:c r="L330" s="97" t="str"/>
    </x:row>
    <x:row r="331">
      <x:c r="A331" s="97" t="str">
        <x:v>evidence</x:v>
      </x:c>
      <x:c r="B331" s="97" t="str">
        <x:v>E002</x:v>
      </x:c>
      <x:c r="C331" s="97" t="str">
        <x:v>Ephraim Doane and Mary Knowles marriage register</x:v>
      </x:c>
      <x:c r="D331" s="97" t="str">
        <x:v>supporting</x:v>
      </x:c>
      <x:c r="E331" s="97" t="str">
        <x:v>records/1667-02-05_ephraim-doane_mary-knowles_marriage-register.jpg</x:v>
      </x:c>
      <x:c r="F331" s="97" t="str"/>
      <x:c r="G331" s="97" t="str">
        <x:v>I249;I250</x:v>
      </x:c>
      <x:c r="H331" s="97" t="str"/>
      <x:c r="I331" s="97" t="str">
        <x:v>S26</x:v>
      </x:c>
      <x:c r="J331" s="97" t="str">
        <x:v>S54;S60</x:v>
      </x:c>
      <x:c r="K331" s="97" t="str">
        <x:v>records/1667-02-05_ephraim-doane_mary-knowles_marriage-register.jpg</x:v>
      </x:c>
      <x:c r="L331" s="97" t="str"/>
    </x:row>
    <x:row r="332">
      <x:c r="A332" s="97" t="str">
        <x:v>evidence</x:v>
      </x:c>
      <x:c r="B332" s="97" t="str">
        <x:v>E003</x:v>
      </x:c>
      <x:c r="C332" s="97" t="str">
        <x:v>Joshua Cooke birth register</x:v>
      </x:c>
      <x:c r="D332" s="97" t="str">
        <x:v>supporting</x:v>
      </x:c>
      <x:c r="E332" s="97" t="str">
        <x:v>records/1682-02-04_joshua-cook_birth-register.jpg</x:v>
      </x:c>
      <x:c r="F332" s="97" t="str"/>
      <x:c r="G332" s="97" t="str">
        <x:v>I245;I247;I248</x:v>
      </x:c>
      <x:c r="H332" s="97" t="str"/>
      <x:c r="I332" s="97" t="str">
        <x:v>S26</x:v>
      </x:c>
      <x:c r="J332" s="97" t="str">
        <x:v>S51</x:v>
      </x:c>
      <x:c r="K332" s="97" t="str">
        <x:v>records/1682-02-04_joshua-cook_birth-register.jpg</x:v>
      </x:c>
      <x:c r="L332" s="97" t="str"/>
    </x:row>
    <x:row r="333">
      <x:c r="A333" s="97" t="str">
        <x:v>evidence</x:v>
      </x:c>
      <x:c r="B333" s="97" t="str">
        <x:v>E004</x:v>
      </x:c>
      <x:c r="C333" s="97" t="str">
        <x:v>Patience Doane birth register</x:v>
      </x:c>
      <x:c r="D333" s="97" t="str">
        <x:v>supporting</x:v>
      </x:c>
      <x:c r="E333" s="97" t="str">
        <x:v>records/1682-04_patience-doane_birth-register.jpg</x:v>
      </x:c>
      <x:c r="F333" s="97" t="str"/>
      <x:c r="G333" s="97" t="str">
        <x:v>I246;I249;I250</x:v>
      </x:c>
      <x:c r="H333" s="97" t="str"/>
      <x:c r="I333" s="97" t="str">
        <x:v>S26</x:v>
      </x:c>
      <x:c r="J333" s="97" t="str">
        <x:v>S53</x:v>
      </x:c>
      <x:c r="K333" s="97" t="str">
        <x:v>records/1682-04_patience-doane_birth-register.jpg</x:v>
      </x:c>
      <x:c r="L333" s="97" t="str"/>
    </x:row>
    <x:row r="334">
      <x:c r="A334" s="97" t="str">
        <x:v>evidence</x:v>
      </x:c>
      <x:c r="B334" s="97" t="str">
        <x:v>E005</x:v>
      </x:c>
      <x:c r="C334" s="97" t="str">
        <x:v>Joshua Lane birth record</x:v>
      </x:c>
      <x:c r="D334" s="97" t="str">
        <x:v>supporting</x:v>
      </x:c>
      <x:c r="E334" s="97" t="str">
        <x:v>records/1696_joshua-lane_birth-record.jpg</x:v>
      </x:c>
      <x:c r="F334" s="97" t="str"/>
      <x:c r="G334" s="97" t="str">
        <x:v>I229;I233;I234</x:v>
      </x:c>
      <x:c r="H334" s="97" t="str"/>
      <x:c r="I334" s="97" t="str">
        <x:v>S26</x:v>
      </x:c>
      <x:c r="J334" s="97" t="str">
        <x:v>S84</x:v>
      </x:c>
      <x:c r="K334" s="97" t="str">
        <x:v>records/1696_joshua-lane_birth-record.jpg</x:v>
      </x:c>
      <x:c r="L334" s="97" t="str"/>
    </x:row>
    <x:row r="335">
      <x:c r="A335" s="97" t="str">
        <x:v>evidence</x:v>
      </x:c>
      <x:c r="B335" s="97" t="str">
        <x:v>E006</x:v>
      </x:c>
      <x:c r="C335" s="97" t="str">
        <x:v>Joshua Lane and Bathsheba Robie marriage record</x:v>
      </x:c>
      <x:c r="D335" s="97" t="str">
        <x:v>supporting</x:v>
      </x:c>
      <x:c r="E335" s="97" t="str">
        <x:v>records/1717_joshua-lane_bathsheba-robie_marriage-record.jpg</x:v>
      </x:c>
      <x:c r="F335" s="97" t="str"/>
      <x:c r="G335" s="97" t="str">
        <x:v>I229;I230</x:v>
      </x:c>
      <x:c r="H335" s="97" t="str"/>
      <x:c r="I335" s="97" t="str">
        <x:v>S26</x:v>
      </x:c>
      <x:c r="J335" s="97" t="str">
        <x:v>S82</x:v>
      </x:c>
      <x:c r="K335" s="97" t="str">
        <x:v>records/1717_joshua-lane_bathsheba-robie_marriage-record.jpg</x:v>
      </x:c>
      <x:c r="L335" s="97" t="str"/>
    </x:row>
    <x:row r="336">
      <x:c r="A336" s="97" t="str">
        <x:v>evidence</x:v>
      </x:c>
      <x:c r="B336" s="97" t="str">
        <x:v>E007</x:v>
      </x:c>
      <x:c r="C336" s="97" t="str">
        <x:v>Samuel Lane birth record</x:v>
      </x:c>
      <x:c r="D336" s="97" t="str">
        <x:v>supporting</x:v>
      </x:c>
      <x:c r="E336" s="97" t="str">
        <x:v>records/1718_samuel-lane_birth-record.jpg</x:v>
      </x:c>
      <x:c r="F336" s="97" t="str"/>
      <x:c r="G336" s="97" t="str">
        <x:v>I227;I229;I230</x:v>
      </x:c>
      <x:c r="H336" s="97" t="str"/>
      <x:c r="I336" s="97" t="str">
        <x:v>S26</x:v>
      </x:c>
      <x:c r="J336" s="97" t="str">
        <x:v>S81</x:v>
      </x:c>
      <x:c r="K336" s="97" t="str">
        <x:v>records/1718_samuel-lane_birth-record.jpg</x:v>
      </x:c>
      <x:c r="L336" s="97" t="str"/>
    </x:row>
    <x:row r="337">
      <x:c r="A337" s="97" t="str">
        <x:v>evidence</x:v>
      </x:c>
      <x:c r="B337" s="97" t="str">
        <x:v>E008</x:v>
      </x:c>
      <x:c r="C337" s="97" t="str">
        <x:v>Mary James birth record</x:v>
      </x:c>
      <x:c r="D337" s="97" t="str">
        <x:v>supporting</x:v>
      </x:c>
      <x:c r="E337" s="97" t="str">
        <x:v>records/1722_mary-james_birth-record.jpg</x:v>
      </x:c>
      <x:c r="F337" s="97" t="str"/>
      <x:c r="G337" s="97" t="str">
        <x:v>I228;I231;I232</x:v>
      </x:c>
      <x:c r="H337" s="97" t="str"/>
      <x:c r="I337" s="97" t="str">
        <x:v>S26</x:v>
      </x:c>
      <x:c r="J337" s="97" t="str">
        <x:v>S83</x:v>
      </x:c>
      <x:c r="K337" s="97" t="str">
        <x:v>records/1722_mary-james_birth-record.jpg</x:v>
      </x:c>
      <x:c r="L337" s="97" t="str">
        <x:v>The record supplies Susanna only by given name; no maiden surname is inferred.</x:v>
      </x:c>
    </x:row>
    <x:row r="338">
      <x:c r="A338" s="97" t="str">
        <x:v>evidence</x:v>
      </x:c>
      <x:c r="B338" s="97" t="str">
        <x:v>E009</x:v>
      </x:c>
      <x:c r="C338" s="97" t="str">
        <x:v>Samuel Lane and Mary James marriage record</x:v>
      </x:c>
      <x:c r="D338" s="97" t="str">
        <x:v>supporting</x:v>
      </x:c>
      <x:c r="E338" s="97" t="str">
        <x:v>records/1741-12-24_samuel-lane_mary-james_marriage.jpg</x:v>
      </x:c>
      <x:c r="F338" s="97" t="str"/>
      <x:c r="G338" s="97" t="str">
        <x:v>I227;I228</x:v>
      </x:c>
      <x:c r="H338" s="97" t="str"/>
      <x:c r="I338" s="97" t="str">
        <x:v>S26</x:v>
      </x:c>
      <x:c r="J338" s="97" t="str">
        <x:v>S77</x:v>
      </x:c>
      <x:c r="K338" s="97" t="str">
        <x:v>records/1741-12-24_samuel-lane_mary-james_marriage.jpg</x:v>
      </x:c>
      <x:c r="L338" s="97" t="str"/>
    </x:row>
    <x:row r="339">
      <x:c r="A339" s="97" t="str">
        <x:v>evidence</x:v>
      </x:c>
      <x:c r="B339" s="97" t="str">
        <x:v>E010</x:v>
      </x:c>
      <x:c r="C339" s="97" t="str">
        <x:v>Joshua Lane New Hampshire birth record</x:v>
      </x:c>
      <x:c r="D339" s="97" t="str">
        <x:v>supporting</x:v>
      </x:c>
      <x:c r="E339" s="97" t="str">
        <x:v>records/1748-02-09_joshua-lane_nh-birth.jpg</x:v>
      </x:c>
      <x:c r="F339" s="97" t="str"/>
      <x:c r="G339" s="97" t="str">
        <x:v>I225;I227;I228</x:v>
      </x:c>
      <x:c r="H339" s="97" t="str"/>
      <x:c r="I339" s="97" t="str">
        <x:v>S26</x:v>
      </x:c>
      <x:c r="J339" s="97" t="str">
        <x:v>S75</x:v>
      </x:c>
      <x:c r="K339" s="97" t="str">
        <x:v>records/1748-02-09_joshua-lane_nh-birth.jpg</x:v>
      </x:c>
      <x:c r="L339" s="97" t="str"/>
    </x:row>
    <x:row r="340">
      <x:c r="A340" s="97" t="str">
        <x:v>evidence</x:v>
      </x:c>
      <x:c r="B340" s="97" t="str">
        <x:v>E011</x:v>
      </x:c>
      <x:c r="C340" s="97" t="str">
        <x:v>Joshua Lane and Hannah Tilton marriage record</x:v>
      </x:c>
      <x:c r="D340" s="97" t="str">
        <x:v>supporting</x:v>
      </x:c>
      <x:c r="E340" s="97" t="str">
        <x:v>records/1769-11-15_joshua-lane_hannah-tilton_marriage.jpg</x:v>
      </x:c>
      <x:c r="F340" s="97" t="str"/>
      <x:c r="G340" s="97" t="str">
        <x:v>I225;I226</x:v>
      </x:c>
      <x:c r="H340" s="97" t="str"/>
      <x:c r="I340" s="97" t="str">
        <x:v>S26</x:v>
      </x:c>
      <x:c r="J340" s="97" t="str">
        <x:v>S76</x:v>
      </x:c>
      <x:c r="K340" s="97" t="str">
        <x:v>records/1769-11-15_joshua-lane_hannah-tilton_marriage.jpg</x:v>
      </x:c>
      <x:c r="L340" s="97" t="str"/>
    </x:row>
    <x:row r="341">
      <x:c r="A341" s="97" t="str">
        <x:v>evidence</x:v>
      </x:c>
      <x:c r="B341" s="97" t="str">
        <x:v>E012</x:v>
      </x:c>
      <x:c r="C341" s="97" t="str">
        <x:v>Stephen Lane New Hampshire birth record</x:v>
      </x:c>
      <x:c r="D341" s="97" t="str">
        <x:v>supporting</x:v>
      </x:c>
      <x:c r="E341" s="97" t="str">
        <x:v>records/1771-12-08_stephen-lane_nh-birth.jpg</x:v>
      </x:c>
      <x:c r="F341" s="97" t="str"/>
      <x:c r="G341" s="97" t="str">
        <x:v>I223;I225;I226</x:v>
      </x:c>
      <x:c r="H341" s="97" t="str"/>
      <x:c r="I341" s="97" t="str">
        <x:v>S26</x:v>
      </x:c>
      <x:c r="J341" s="97" t="str">
        <x:v>S73</x:v>
      </x:c>
      <x:c r="K341" s="97" t="str">
        <x:v>records/1771-12-08_stephen-lane_nh-birth.jpg</x:v>
      </x:c>
      <x:c r="L341" s="97" t="str"/>
    </x:row>
    <x:row r="342">
      <x:c r="A342" s="97" t="str">
        <x:v>evidence</x:v>
      </x:c>
      <x:c r="B342" s="97" t="str">
        <x:v>E013</x:v>
      </x:c>
      <x:c r="C342" s="97" t="str">
        <x:v>Levi Cook birth register</x:v>
      </x:c>
      <x:c r="D342" s="97" t="str">
        <x:v>supporting</x:v>
      </x:c>
      <x:c r="E342" s="97" t="str">
        <x:v>records/1774-02-26_levi-cook_birth-register.jpg</x:v>
      </x:c>
      <x:c r="F342" s="97" t="str"/>
      <x:c r="G342" s="97" t="str">
        <x:v>I239;I241;I242</x:v>
      </x:c>
      <x:c r="H342" s="97" t="str"/>
      <x:c r="I342" s="97" t="str">
        <x:v>S26</x:v>
      </x:c>
      <x:c r="J342" s="97" t="str">
        <x:v>S49</x:v>
      </x:c>
      <x:c r="K342" s="97" t="str">
        <x:v>records/1774-02-26_levi-cook_birth-register.jpg</x:v>
      </x:c>
      <x:c r="L342" s="97" t="str"/>
    </x:row>
    <x:row r="343">
      <x:c r="A343" s="97" t="str">
        <x:v>evidence</x:v>
      </x:c>
      <x:c r="B343" s="97" t="str">
        <x:v>E014</x:v>
      </x:c>
      <x:c r="C343" s="97" t="str">
        <x:v>Betsey Brown birth register</x:v>
      </x:c>
      <x:c r="D343" s="97" t="str">
        <x:v>supporting</x:v>
      </x:c>
      <x:c r="E343" s="97" t="str">
        <x:v>records/1779-01-07_betsey-brown_birth-register.jpg</x:v>
      </x:c>
      <x:c r="F343" s="97" t="str"/>
      <x:c r="G343" s="97" t="str">
        <x:v>I240;I243;I244</x:v>
      </x:c>
      <x:c r="H343" s="97" t="str"/>
      <x:c r="I343" s="97" t="str">
        <x:v>S26</x:v>
      </x:c>
      <x:c r="J343" s="97" t="str">
        <x:v>S50</x:v>
      </x:c>
      <x:c r="K343" s="97" t="str">
        <x:v>records/1779-01-07_betsey-brown_birth-register.jpg</x:v>
      </x:c>
      <x:c r="L343" s="97" t="str"/>
    </x:row>
    <x:row r="344">
      <x:c r="A344" s="97" t="str">
        <x:v>evidence</x:v>
      </x:c>
      <x:c r="B344" s="97" t="str">
        <x:v>E015</x:v>
      </x:c>
      <x:c r="C344" s="97" t="str">
        <x:v>Levi Cook and Betsey Brown marriage register</x:v>
      </x:c>
      <x:c r="D344" s="97" t="str">
        <x:v>supporting</x:v>
      </x:c>
      <x:c r="E344" s="97" t="str">
        <x:v>records/1794-07-24_levi-cook_betsey-brown_marriage-register.jpg</x:v>
      </x:c>
      <x:c r="F344" s="97" t="str"/>
      <x:c r="G344" s="97" t="str">
        <x:v>I239;I240</x:v>
      </x:c>
      <x:c r="H344" s="97" t="str"/>
      <x:c r="I344" s="97" t="str">
        <x:v>S26</x:v>
      </x:c>
      <x:c r="J344" s="97" t="str">
        <x:v>S48</x:v>
      </x:c>
      <x:c r="K344" s="97" t="str">
        <x:v>records/1794-07-24_levi-cook_betsey-brown_marriage-register.jpg</x:v>
      </x:c>
      <x:c r="L344" s="97" t="str"/>
    </x:row>
    <x:row r="345">
      <x:c r="A345" s="97" t="str">
        <x:v>evidence</x:v>
      </x:c>
      <x:c r="B345" s="97" t="str">
        <x:v>E016</x:v>
      </x:c>
      <x:c r="C345" s="97" t="str">
        <x:v>Stephen Lane and Lois Currier marriage record</x:v>
      </x:c>
      <x:c r="D345" s="97" t="str">
        <x:v>supporting</x:v>
      </x:c>
      <x:c r="E345" s="97" t="str">
        <x:v>records/1797-06-05_stephen-lane_lois-currier_marriage.jpg</x:v>
      </x:c>
      <x:c r="F345" s="97" t="str"/>
      <x:c r="G345" s="97" t="str">
        <x:v>I223;I224</x:v>
      </x:c>
      <x:c r="H345" s="97" t="str"/>
      <x:c r="I345" s="97" t="str">
        <x:v>S26</x:v>
      </x:c>
      <x:c r="J345" s="97" t="str">
        <x:v>S74</x:v>
      </x:c>
      <x:c r="K345" s="97" t="str">
        <x:v>records/1797-06-05_stephen-lane_lois-currier_marriage.jpg</x:v>
      </x:c>
      <x:c r="L345" s="97" t="str"/>
    </x:row>
    <x:row r="346">
      <x:c r="A346" s="97" t="str">
        <x:v>evidence</x:v>
      </x:c>
      <x:c r="B346" s="97" t="str">
        <x:v>E017</x:v>
      </x:c>
      <x:c r="C346" s="97" t="str">
        <x:v>Mary Lane New Hampshire birth card</x:v>
      </x:c>
      <x:c r="D346" s="97" t="str">
        <x:v>supporting</x:v>
      </x:c>
      <x:c r="E346" s="97" t="str">
        <x:v>records/1807-02-03_mary-lane_nh-birth-card.jpg</x:v>
      </x:c>
      <x:c r="F346" s="97" t="str"/>
      <x:c r="G346" s="97" t="str">
        <x:v>I222</x:v>
      </x:c>
      <x:c r="H346" s="97" t="str"/>
      <x:c r="I346" s="97" t="str">
        <x:v>S26</x:v>
      </x:c>
      <x:c r="J346" s="97" t="str">
        <x:v>S44</x:v>
      </x:c>
      <x:c r="K346" s="97" t="str">
        <x:v>records/1807-02-03_mary-lane_nh-birth-card.jpg</x:v>
      </x:c>
      <x:c r="L346" s="97" t="str">
        <x:v>The card supports the event but leaves locality and parents blank.</x:v>
      </x:c>
    </x:row>
    <x:row r="347">
      <x:c r="A347" s="97" t="str">
        <x:v>evidence</x:v>
      </x:c>
      <x:c r="B347" s="97" t="str">
        <x:v>E018</x:v>
      </x:c>
      <x:c r="C347" s="97" t="str">
        <x:v>Stephen Lane will</x:v>
      </x:c>
      <x:c r="D347" s="97" t="str">
        <x:v>supporting</x:v>
      </x:c>
      <x:c r="E347" s="97" t="str">
        <x:v>records/1840-09-16_stephen-lane_will.jpg</x:v>
      </x:c>
      <x:c r="F347" s="97" t="str"/>
      <x:c r="G347" s="97" t="str">
        <x:v>I223;I224</x:v>
      </x:c>
      <x:c r="H347" s="97" t="str"/>
      <x:c r="I347" s="97" t="str">
        <x:v>S26</x:v>
      </x:c>
      <x:c r="J347" s="97" t="str">
        <x:v>S72</x:v>
      </x:c>
      <x:c r="K347" s="97" t="str">
        <x:v>records/1840-09-16_stephen-lane_will.jpg</x:v>
      </x:c>
      <x:c r="L347" s="97" t="str"/>
    </x:row>
    <x:row r="348">
      <x:c r="A348" s="97" t="str">
        <x:v>evidence</x:v>
      </x:c>
      <x:c r="B348" s="97" t="str">
        <x:v>E019</x:v>
      </x:c>
      <x:c r="C348" s="97" t="str">
        <x:v>Stephen Lane probate letters</x:v>
      </x:c>
      <x:c r="D348" s="97" t="str">
        <x:v>supporting</x:v>
      </x:c>
      <x:c r="E348" s="97" t="str">
        <x:v>records/1841-05-05_stephen-lane_probate-letters.jpg</x:v>
      </x:c>
      <x:c r="F348" s="97" t="str"/>
      <x:c r="G348" s="97" t="str">
        <x:v>I223;I224</x:v>
      </x:c>
      <x:c r="H348" s="97" t="str"/>
      <x:c r="I348" s="97" t="str">
        <x:v>S26</x:v>
      </x:c>
      <x:c r="J348" s="97" t="str">
        <x:v>S72</x:v>
      </x:c>
      <x:c r="K348" s="97" t="str">
        <x:v>records/1841-05-05_stephen-lane_probate-letters.jpg</x:v>
      </x:c>
      <x:c r="L348" s="97" t="str"/>
    </x:row>
    <x:row r="349">
      <x:c r="A349" s="97" t="str">
        <x:v>evidence</x:v>
      </x:c>
      <x:c r="B349" s="97" t="str">
        <x:v>E020</x:v>
      </x:c>
      <x:c r="C349" s="97" t="str">
        <x:v>Levi Cook will and probate</x:v>
      </x:c>
      <x:c r="D349" s="97" t="str">
        <x:v>supporting</x:v>
      </x:c>
      <x:c r="E349" s="97" t="str">
        <x:v>records/1846-10-30_levi-cook_will_genesee.jpg</x:v>
      </x:c>
      <x:c r="F349" s="97" t="str"/>
      <x:c r="G349" s="97" t="str">
        <x:v>I239;I238</x:v>
      </x:c>
      <x:c r="H349" s="97" t="str"/>
      <x:c r="I349" s="97" t="str">
        <x:v>S26</x:v>
      </x:c>
      <x:c r="J349" s="97" t="str">
        <x:v>S47</x:v>
      </x:c>
      <x:c r="K349" s="97" t="str">
        <x:v>records/1846-10-30_levi-cook_will_genesee.jpg</x:v>
      </x:c>
      <x:c r="L349" s="97" t="str"/>
    </x:row>
    <x:row r="350">
      <x:c r="A350" s="97" t="str">
        <x:v>evidence</x:v>
      </x:c>
      <x:c r="B350" s="97" t="str">
        <x:v>E021</x:v>
      </x:c>
      <x:c r="C350" s="97" t="str">
        <x:v>Peter William McNaughton Civil War town register</x:v>
      </x:c>
      <x:c r="D350" s="97" t="str">
        <x:v>supporting</x:v>
      </x:c>
      <x:c r="E350" s="97" t="str">
        <x:v>records/1862_peter-william-mcnaughton_civil-war-town-register.jpg</x:v>
      </x:c>
      <x:c r="F350" s="97" t="str"/>
      <x:c r="G350" s="97" t="str">
        <x:v>I265</x:v>
      </x:c>
      <x:c r="H350" s="97" t="str"/>
      <x:c r="I350" s="97" t="str">
        <x:v>S26</x:v>
      </x:c>
      <x:c r="J350" s="97" t="str">
        <x:v>S28</x:v>
      </x:c>
      <x:c r="K350" s="97" t="str">
        <x:v>records/1862_peter-william-mcnaughton_civil-war-town-register.jpg</x:v>
      </x:c>
      <x:c r="L350" s="97" t="str"/>
    </x:row>
    <x:row r="351">
      <x:c r="A351" s="97" t="str">
        <x:v>evidence</x:v>
      </x:c>
      <x:c r="B351" s="97" t="str">
        <x:v>E022</x:v>
      </x:c>
      <x:c r="C351" s="97" t="str">
        <x:v>Relief McNaughton dependent-pension numerical index</x:v>
      </x:c>
      <x:c r="D351" s="97" t="str">
        <x:v>supporting</x:v>
      </x:c>
      <x:c r="E351" s="97" t="str">
        <x:v>records/1868_relief-mcnaughton_dependent-pension-numerical-index.jpg</x:v>
      </x:c>
      <x:c r="F351" s="97" t="str"/>
      <x:c r="G351" s="97" t="str">
        <x:v>I267</x:v>
      </x:c>
      <x:c r="H351" s="97" t="str"/>
      <x:c r="I351" s="97" t="str">
        <x:v>S26</x:v>
      </x:c>
      <x:c r="J351" s="97" t="str">
        <x:v>S80</x:v>
      </x:c>
      <x:c r="K351" s="97" t="str">
        <x:v>records/1868_relief-mcnaughton_dependent-pension-numerical-index.jpg</x:v>
      </x:c>
      <x:c r="L351" s="97" t="str">
        <x:v>The numerical index names evidence-only soldier William W McNaughton and corroborates Relief McNaughton’s dependent-mother pension card.</x:v>
      </x:c>
    </x:row>
    <x:row r="352">
      <x:c r="A352" s="97" t="str">
        <x:v>evidence</x:v>
      </x:c>
      <x:c r="B352" s="97" t="str">
        <x:v>E023</x:v>
      </x:c>
      <x:c r="C352" s="97" t="str">
        <x:v>Henry Vollmer arrival on the Main</x:v>
      </x:c>
      <x:c r="D352" s="97" t="str">
        <x:v>supporting_with_uncertainty</x:v>
      </x:c>
      <x:c r="E352" s="97" t="str">
        <x:v>records/1882-08-21_henry-vollmer_arrival-main.jpg</x:v>
      </x:c>
      <x:c r="F352" s="97" t="str"/>
      <x:c r="G352" s="97" t="str">
        <x:v>I208</x:v>
      </x:c>
      <x:c r="H352" s="97" t="str"/>
      <x:c r="I352" s="97" t="str">
        <x:v>S26</x:v>
      </x:c>
      <x:c r="J352" s="97" t="str">
        <x:v>S12</x:v>
      </x:c>
      <x:c r="K352" s="97" t="str">
        <x:v>records/1882-08-21_henry-vollmer_arrival-main.jpg</x:v>
      </x:c>
      <x:c r="L352" s="97" t="str">
        <x:v>The manifest supports Henry’s arrival; adjacency does not prove the relationships of Mary and Louise.</x:v>
      </x:c>
    </x:row>
    <x:row r="353">
      <x:c r="A353" s="97" t="str">
        <x:v>evidence</x:v>
      </x:c>
      <x:c r="B353" s="97" t="str">
        <x:v>E024</x:v>
      </x:c>
      <x:c r="C353" s="97" t="str">
        <x:v>Vollmer entries on the Main passenger manifest</x:v>
      </x:c>
      <x:c r="D353" s="97" t="str">
        <x:v>supporting_with_uncertainty</x:v>
      </x:c>
      <x:c r="E353" s="97" t="str">
        <x:v>records/1882-08-21_vollmer-family_arrival-main_page-0289.jpg</x:v>
      </x:c>
      <x:c r="F353" s="97" t="str"/>
      <x:c r="G353" s="97" t="str">
        <x:v>I208</x:v>
      </x:c>
      <x:c r="H353" s="97" t="str"/>
      <x:c r="I353" s="97" t="str">
        <x:v>S26</x:v>
      </x:c>
      <x:c r="J353" s="97" t="str">
        <x:v>S12</x:v>
      </x:c>
      <x:c r="K353" s="97" t="str">
        <x:v>records/1882-08-21_vollmer-family_arrival-main_page-0289.jpg</x:v>
      </x:c>
      <x:c r="L353" s="97" t="str">
        <x:v>The adjacent entries are preserved without inferring a relationship.</x:v>
      </x:c>
    </x:row>
    <x:row r="354">
      <x:c r="A354" s="97" t="str">
        <x:v>evidence</x:v>
      </x:c>
      <x:c r="B354" s="97" t="str">
        <x:v>E025</x:v>
      </x:c>
      <x:c r="C354" s="97" t="str">
        <x:v>Themes Peper and Anna Sophie Stelling marriage certificate</x:v>
      </x:c>
      <x:c r="D354" s="97" t="str">
        <x:v>supporting</x:v>
      </x:c>
      <x:c r="E354" s="97" t="str">
        <x:v>records/1883-08-12_themes-pepper_anna-stelling_marriage-certificate.pdf</x:v>
      </x:c>
      <x:c r="F354" s="97" t="str"/>
      <x:c r="G354" s="97" t="str">
        <x:v>I212;I213;I214;I215;I216;I217</x:v>
      </x:c>
      <x:c r="H354" s="97" t="str"/>
      <x:c r="I354" s="97" t="str">
        <x:v>S26</x:v>
      </x:c>
      <x:c r="J354" s="97" t="str">
        <x:v>S34</x:v>
      </x:c>
      <x:c r="K354" s="97" t="str">
        <x:v>record-previews/1883-08-12_themes-pepper_anna-stelling_marriage-certificate-1.jpg;record-previews/1883-08-12_themes-pepper_anna-stelling_marriage-certificate-2.jpg</x:v>
      </x:c>
      <x:c r="L354" s="97" t="str"/>
    </x:row>
    <x:row r="355">
      <x:c r="A355" s="97" t="str">
        <x:v>evidence</x:v>
      </x:c>
      <x:c r="B355" s="97" t="str">
        <x:v>E026</x:v>
      </x:c>
      <x:c r="C355" s="97" t="str">
        <x:v>Unnamed female Pepper birth certificate (identified as Metha)</x:v>
      </x:c>
      <x:c r="D355" s="97" t="str">
        <x:v>supporting_with_uncertainty</x:v>
      </x:c>
      <x:c r="E355" s="97" t="str">
        <x:v>records/1884-03-14_female-pepper_birth-certificate.pdf</x:v>
      </x:c>
      <x:c r="F355" s="97" t="str"/>
      <x:c r="G355" s="97" t="str">
        <x:v>I211;I212;I213</x:v>
      </x:c>
      <x:c r="H355" s="97" t="str"/>
      <x:c r="I355" s="97" t="str">
        <x:v>S26</x:v>
      </x:c>
      <x:c r="J355" s="97" t="str">
        <x:v>S33</x:v>
      </x:c>
      <x:c r="K355" s="97" t="str">
        <x:v>record-previews/1884-03-14_female-pepper_birth-certificate-1.jpg</x:v>
      </x:c>
      <x:c r="L355" s="97" t="str">
        <x:v>The original certificate is very high quality for the recorded facts; identifying the unnamed child as Metha is moderate-high confidence.</x:v>
      </x:c>
    </x:row>
    <x:row r="356">
      <x:c r="A356" s="97" t="str">
        <x:v>evidence</x:v>
      </x:c>
      <x:c r="B356" s="97" t="str">
        <x:v>E027</x:v>
      </x:c>
      <x:c r="C356" s="97" t="str">
        <x:v>Excluded 1892 Henry Vollmer household</x:v>
      </x:c>
      <x:c r="D356" s="97" t="str">
        <x:v>excluded_identity_control</x:v>
      </x:c>
      <x:c r="E356" s="97" t="str">
        <x:v>records/1892_henry-vollmer_ny-state-census.jpg</x:v>
      </x:c>
      <x:c r="F356" s="97" t="str"/>
      <x:c r="G356" s="97" t="str"/>
      <x:c r="H356" s="97" t="str"/>
      <x:c r="I356" s="97" t="str">
        <x:v>S26</x:v>
      </x:c>
      <x:c r="J356" s="97" t="str">
        <x:v>X01</x:v>
      </x:c>
      <x:c r="K356" s="97" t="str">
        <x:v>records/1892_henry-vollmer_ny-state-census.jpg</x:v>
      </x:c>
      <x:c r="L356" s="97" t="str">
        <x:v>This household conflicts with Henry John Joseph Vollmer’s original marriage certificate and is not attached to a canonical person.</x:v>
      </x:c>
    </x:row>
    <x:row r="357">
      <x:c r="A357" s="97" t="str">
        <x:v>evidence</x:v>
      </x:c>
      <x:c r="B357" s="97" t="str">
        <x:v>E028</x:v>
      </x:c>
      <x:c r="C357" s="97" t="str">
        <x:v>Mary A McNaughton widow-pension index</x:v>
      </x:c>
      <x:c r="D357" s="97" t="str">
        <x:v>supporting</x:v>
      </x:c>
      <x:c r="E357" s="97" t="str">
        <x:v>records/1896_mary-a-mcnaughton_widow-pension-index.jpg</x:v>
      </x:c>
      <x:c r="F357" s="97" t="str"/>
      <x:c r="G357" s="97" t="str">
        <x:v>I268;I265</x:v>
      </x:c>
      <x:c r="H357" s="97" t="str"/>
      <x:c r="I357" s="97" t="str">
        <x:v>S26</x:v>
      </x:c>
      <x:c r="J357" s="97" t="str">
        <x:v>S78</x:v>
      </x:c>
      <x:c r="K357" s="97" t="str">
        <x:v>records/1896_mary-a-mcnaughton_widow-pension-index.jpg</x:v>
      </x:c>
      <x:c r="L357" s="97" t="str"/>
    </x:row>
    <x:row r="358">
      <x:c r="A358" s="97" t="str">
        <x:v>evidence</x:v>
      </x:c>
      <x:c r="B358" s="97" t="str">
        <x:v>E029</x:v>
      </x:c>
      <x:c r="C358" s="97" t="str">
        <x:v>John Doane will naming son Ephraim</x:v>
      </x:c>
      <x:c r="D358" s="97" t="str">
        <x:v>supporting</x:v>
      </x:c>
      <x:c r="E358" s="97" t="str">
        <x:v>records/1901_mayflower-descendant-vol3_john-doane-will.pdf</x:v>
      </x:c>
      <x:c r="F358" s="97" t="str"/>
      <x:c r="G358" s="97" t="str">
        <x:v>I258;I249</x:v>
      </x:c>
      <x:c r="H358" s="97" t="str"/>
      <x:c r="I358" s="97" t="str">
        <x:v>S26</x:v>
      </x:c>
      <x:c r="J358" s="97" t="str">
        <x:v>S64</x:v>
      </x:c>
      <x:c r="K358" s="97" t="str">
        <x:v>record-previews/1901_mayflower-descendant-vol3_john-doane-will-385.jpg</x:v>
      </x:c>
      <x:c r="L358" s="97" t="str">
        <x:v>The attached preview is PDF page 385, printed page 178, containing the relevant will transcription.</x:v>
      </x:c>
    </x:row>
    <x:row r="359">
      <x:c r="A359" s="97" t="str">
        <x:v>evidence</x:v>
      </x:c>
      <x:c r="B359" s="97" t="str">
        <x:v>E030</x:v>
      </x:c>
      <x:c r="C359" s="97" t="str">
        <x:v>Eastham vital records: Doane–Knowles family</x:v>
      </x:c>
      <x:c r="D359" s="97" t="str">
        <x:v>supporting</x:v>
      </x:c>
      <x:c r="E359" s="97" t="str">
        <x:v>records/1904_mayflower-descendant-vol6_eastham-vital-records.pdf</x:v>
      </x:c>
      <x:c r="F359" s="97" t="str"/>
      <x:c r="G359" s="97" t="str">
        <x:v>I249;I250;I246</x:v>
      </x:c>
      <x:c r="H359" s="97" t="str"/>
      <x:c r="I359" s="97" t="str">
        <x:v>S26</x:v>
      </x:c>
      <x:c r="J359" s="97" t="str">
        <x:v>S61</x:v>
      </x:c>
      <x:c r="K359" s="97" t="str">
        <x:v>record-previews/1904_mayflower-descendant-vol6_eastham-vital-records-047.jpg</x:v>
      </x:c>
      <x:c r="L359" s="97" t="str">
        <x:v>The attached preview is PDF page 47, printed page 13, containing the marriage and children’s births.</x:v>
      </x:c>
    </x:row>
    <x:row r="360">
      <x:c r="A360" s="97" t="str">
        <x:v>evidence</x:v>
      </x:c>
      <x:c r="B360" s="97" t="str">
        <x:v>E031</x:v>
      </x:c>
      <x:c r="C360" s="97" t="str">
        <x:v>Henry John Joseph Vollmer and Metha Peper marriage certificate</x:v>
      </x:c>
      <x:c r="D360" s="97" t="str">
        <x:v>supporting</x:v>
      </x:c>
      <x:c r="E360" s="97" t="str">
        <x:v>records/1905-08-05_henry-jj-vollmer_marriage-certificate.pdf</x:v>
      </x:c>
      <x:c r="F360" s="97" t="str"/>
      <x:c r="G360" s="97" t="str">
        <x:v>I208;I211;I209;I210;I212;I213</x:v>
      </x:c>
      <x:c r="H360" s="97" t="str"/>
      <x:c r="I360" s="97" t="str">
        <x:v>S26</x:v>
      </x:c>
      <x:c r="J360" s="97" t="str">
        <x:v>S09</x:v>
      </x:c>
      <x:c r="K360" s="97" t="str">
        <x:v>record-previews/1905-08-05_henry-jj-vollmer_marriage-certificate-1.jpg;record-previews/1905-08-05_henry-jj-vollmer_marriage-certificate-2.jpg</x:v>
      </x:c>
      <x:c r="L360" s="97" t="str"/>
    </x:row>
    <x:row r="361">
      <x:c r="A361" s="97" t="str">
        <x:v>evidence</x:v>
      </x:c>
      <x:c r="B361" s="97" t="str">
        <x:v>E032</x:v>
      </x:c>
      <x:c r="C361" s="97" t="str">
        <x:v>1910 Frederick and Carrie Marsh household census</x:v>
      </x:c>
      <x:c r="D361" s="97" t="str">
        <x:v>supporting</x:v>
      </x:c>
      <x:c r="E361" s="97" t="str">
        <x:v>records/1910_frederick-carrie-doris-andrew-marsh_us-census.jpg</x:v>
      </x:c>
      <x:c r="F361" s="97" t="str"/>
      <x:c r="G361" s="97" t="str">
        <x:v>I219;I264;I218;I220;I274;I277</x:v>
      </x:c>
      <x:c r="H361" s="97" t="str"/>
      <x:c r="I361" s="97" t="str">
        <x:v>S26</x:v>
      </x:c>
      <x:c r="J361" s="97" t="str">
        <x:v>S14</x:v>
      </x:c>
      <x:c r="K361" s="97" t="str">
        <x:v>records/1910_frederick-carrie-doris-andrew-marsh_us-census.jpg</x:v>
      </x:c>
      <x:c r="L361" s="97" t="str"/>
    </x:row>
    <x:row r="362">
      <x:c r="A362" s="97" t="str">
        <x:v>evidence</x:v>
      </x:c>
      <x:c r="B362" s="97" t="str">
        <x:v>E033</x:v>
      </x:c>
      <x:c r="C362" s="97" t="str">
        <x:v>1910 Henry, Metha, and Charles Vollmer household census</x:v>
      </x:c>
      <x:c r="D362" s="97" t="str">
        <x:v>supporting</x:v>
      </x:c>
      <x:c r="E362" s="97" t="str">
        <x:v>records/1910_henry-madie-charles-vollmer_us-census.jpg</x:v>
      </x:c>
      <x:c r="F362" s="97" t="str"/>
      <x:c r="G362" s="97" t="str">
        <x:v>I208;I211;I207</x:v>
      </x:c>
      <x:c r="H362" s="97" t="str"/>
      <x:c r="I362" s="97" t="str">
        <x:v>S26</x:v>
      </x:c>
      <x:c r="J362" s="97" t="str">
        <x:v>S05;S11</x:v>
      </x:c>
      <x:c r="K362" s="97" t="str">
        <x:v>records/1910_henry-madie-charles-vollmer_us-census.jpg</x:v>
      </x:c>
      <x:c r="L362" s="97" t="str"/>
    </x:row>
    <x:row r="363">
      <x:c r="A363" s="97" t="str">
        <x:v>evidence</x:v>
      </x:c>
      <x:c r="B363" s="97" t="str">
        <x:v>E034</x:v>
      </x:c>
      <x:c r="C363" s="97" t="str">
        <x:v>Frederick Gottlieb Heinrich Vollmer death certificate</x:v>
      </x:c>
      <x:c r="D363" s="97" t="str">
        <x:v>supporting</x:v>
      </x:c>
      <x:c r="E363" s="97" t="str">
        <x:v>records/1917-03-10_frederick-g-vollmer_death-certificate.pdf</x:v>
      </x:c>
      <x:c r="F363" s="97" t="str"/>
      <x:c r="G363" s="97" t="str">
        <x:v>I282;I209;I210</x:v>
      </x:c>
      <x:c r="H363" s="97" t="str"/>
      <x:c r="I363" s="97" t="str">
        <x:v>S26</x:v>
      </x:c>
      <x:c r="J363" s="97" t="str">
        <x:v>S35</x:v>
      </x:c>
      <x:c r="K363" s="97" t="str">
        <x:v>record-previews/1917-03-10_frederick-g-vollmer_death-certificate-1.jpg;record-previews/1917-03-10_frederick-g-vollmer_death-certificate-2.jpg</x:v>
      </x:c>
      <x:c r="L363" s="97" t="str"/>
    </x:row>
    <x:row r="364">
      <x:c r="A364" s="97" t="str">
        <x:v>evidence</x:v>
      </x:c>
      <x:c r="B364" s="97" t="str">
        <x:v>E035</x:v>
      </x:c>
      <x:c r="C364" s="97" t="str">
        <x:v>Henry John Joseph Vollmer First World War draft card</x:v>
      </x:c>
      <x:c r="D364" s="97" t="str">
        <x:v>supporting</x:v>
      </x:c>
      <x:c r="E364" s="97" t="str">
        <x:v>records/1918_henry-john-joseph-volmer_wwi-draft-card.jpg</x:v>
      </x:c>
      <x:c r="F364" s="97" t="str"/>
      <x:c r="G364" s="97" t="str">
        <x:v>I208</x:v>
      </x:c>
      <x:c r="H364" s="97" t="str"/>
      <x:c r="I364" s="97" t="str">
        <x:v>S26</x:v>
      </x:c>
      <x:c r="J364" s="97" t="str">
        <x:v>S10</x:v>
      </x:c>
      <x:c r="K364" s="97" t="str">
        <x:v>records/1918_henry-john-joseph-volmer_wwi-draft-card.jpg</x:v>
      </x:c>
      <x:c r="L364" s="97" t="str"/>
    </x:row>
    <x:row r="365">
      <x:c r="A365" s="97" t="str">
        <x:v>evidence</x:v>
      </x:c>
      <x:c r="B365" s="97" t="str">
        <x:v>E036</x:v>
      </x:c>
      <x:c r="C365" s="97" t="str">
        <x:v>Identity control: Madie Vollmer death certificate (not Metha)</x:v>
      </x:c>
      <x:c r="D365" s="97" t="str">
        <x:v>excluded_identity_control</x:v>
      </x:c>
      <x:c r="E365" s="97" t="str">
        <x:v>records/1919-01-03_madie-vollmer_death-certificate.pdf</x:v>
      </x:c>
      <x:c r="F365" s="97" t="str"/>
      <x:c r="G365" s="97" t="str">
        <x:v>I208;I211</x:v>
      </x:c>
      <x:c r="H365" s="97" t="str"/>
      <x:c r="I365" s="97" t="str">
        <x:v>S26</x:v>
      </x:c>
      <x:c r="J365" s="97" t="str">
        <x:v>S13;VD-R01</x:v>
      </x:c>
      <x:c r="K365" s="97" t="str">
        <x:v>record-previews/1919-01-03_madie-vollmer_death-certificate-1.jpg;record-previews/1919-01-03_madie-vollmer_death-certificate-2.jpg</x:v>
      </x:c>
      <x:c r="L365" s="97" t="str">
        <x:v>The certificate belongs to Henry’s later wife Martha/Madie Desselberg and must not be used as Metha Peper Vollmer’s death record.</x:v>
      </x:c>
    </x:row>
    <x:row r="366">
      <x:c r="A366" s="97" t="str">
        <x:v>evidence</x:v>
      </x:c>
      <x:c r="B366" s="97" t="str">
        <x:v>E037</x:v>
      </x:c>
      <x:c r="C366" s="97" t="str">
        <x:v>Mary A McNaughton New York death index</x:v>
      </x:c>
      <x:c r="D366" s="97" t="str">
        <x:v>supporting</x:v>
      </x:c>
      <x:c r="E366" s="97" t="str">
        <x:v>records/1919-12-17_mary-mcnaughton_ny-death-index.jpg</x:v>
      </x:c>
      <x:c r="F366" s="97" t="str"/>
      <x:c r="G366" s="97" t="str">
        <x:v>I268</x:v>
      </x:c>
      <x:c r="H366" s="97" t="str"/>
      <x:c r="I366" s="97" t="str">
        <x:v>S26</x:v>
      </x:c>
      <x:c r="J366" s="97" t="str">
        <x:v>S40</x:v>
      </x:c>
      <x:c r="K366" s="97" t="str">
        <x:v>records/1919-12-17_mary-mcnaughton_ny-death-index.jpg</x:v>
      </x:c>
      <x:c r="L366" s="97" t="str"/>
    </x:row>
    <x:row r="367">
      <x:c r="A367" s="97" t="str">
        <x:v>evidence</x:v>
      </x:c>
      <x:c r="B367" s="97" t="str">
        <x:v>E038</x:v>
      </x:c>
      <x:c r="C367" s="97" t="str">
        <x:v>Charles Frederic Vollmer Second World War draft card</x:v>
      </x:c>
      <x:c r="D367" s="97" t="str">
        <x:v>supporting</x:v>
      </x:c>
      <x:c r="E367" s="97" t="str">
        <x:v>records/1940-10-16_charles-frederick-vollmer_wwii-draft-card.jpg</x:v>
      </x:c>
      <x:c r="F367" s="97" t="str"/>
      <x:c r="G367" s="97" t="str">
        <x:v>I207</x:v>
      </x:c>
      <x:c r="H367" s="97" t="str"/>
      <x:c r="I367" s="97" t="str">
        <x:v>S26</x:v>
      </x:c>
      <x:c r="J367" s="97" t="str">
        <x:v>S02</x:v>
      </x:c>
      <x:c r="K367" s="97" t="str">
        <x:v>records/1940-10-16_charles-frederick-vollmer_wwii-draft-card.jpg</x:v>
      </x:c>
      <x:c r="L367" s="97" t="str"/>
    </x:row>
    <x:row r="368">
      <x:c r="A368" s="97" t="str">
        <x:v>evidence</x:v>
      </x:c>
      <x:c r="B368" s="97" t="str">
        <x:v>E039</x:v>
      </x:c>
      <x:c r="C368" s="97" t="str">
        <x:v>1940 Charles and Doris Vollmer household census</x:v>
      </x:c>
      <x:c r="D368" s="97" t="str">
        <x:v>supporting</x:v>
      </x:c>
      <x:c r="E368" s="97" t="str">
        <x:v>records/1940_charles-doris-henry-vollmer_us-census.jpg</x:v>
      </x:c>
      <x:c r="F368" s="97" t="str"/>
      <x:c r="G368" s="97" t="str">
        <x:v>I207;I218;I176;I269</x:v>
      </x:c>
      <x:c r="H368" s="97" t="str"/>
      <x:c r="I368" s="97" t="str">
        <x:v>S26</x:v>
      </x:c>
      <x:c r="J368" s="97" t="str">
        <x:v>S01;EF-S01</x:v>
      </x:c>
      <x:c r="K368" s="97" t="str">
        <x:v>records/1940_charles-doris-henry-vollmer_us-census.jpg</x:v>
      </x:c>
      <x:c r="L368" s="97" t="str"/>
    </x:row>
    <x:row r="369">
      <x:c r="A369" s="97" t="str">
        <x:v>evidence</x:v>
      </x:c>
      <x:c r="B369" s="97" t="str">
        <x:v>E040</x:v>
      </x:c>
      <x:c r="C369" s="97" t="str">
        <x:v>1950 William, Alice, and Mary Alice Thoren household census</x:v>
      </x:c>
      <x:c r="D369" s="97" t="str">
        <x:v>supporting</x:v>
      </x:c>
      <x:c r="E369" s="97" t="str">
        <x:v>records/1950_william-alice-mary-thoren_us-census.jpg</x:v>
      </x:c>
      <x:c r="F369" s="97" t="str"/>
      <x:c r="G369" s="97" t="str">
        <x:v>I336;I337;I334</x:v>
      </x:c>
      <x:c r="H369" s="97" t="str"/>
      <x:c r="I369" s="97" t="str">
        <x:v>S32</x:v>
      </x:c>
      <x:c r="J369" s="97" t="str">
        <x:v>S32</x:v>
      </x:c>
      <x:c r="K369" s="97" t="str">
        <x:v>records/1950_william-alice-mary-thoren_us-census.jpg</x:v>
      </x:c>
      <x:c r="L369" s="97" t="str"/>
    </x:row>
    <x:row r="370">
      <x:c r="A370" s="97" t="str">
        <x:v>evidence</x:v>
      </x:c>
      <x:c r="B370" s="97" t="str">
        <x:v>E041</x:v>
      </x:c>
      <x:c r="C370" s="97" t="str">
        <x:v>Giles Hopkins: seventeenth-century records</x:v>
      </x:c>
      <x:c r="D370" s="97" t="str">
        <x:v>supporting</x:v>
      </x:c>
      <x:c r="E370" s="97" t="str">
        <x:v>records/giles-hopkins_17th-century-records_pilgrim-hall.pdf</x:v>
      </x:c>
      <x:c r="F370" s="97" t="str"/>
      <x:c r="G370" s="97" t="str">
        <x:v>I251;I254;I255;I248</x:v>
      </x:c>
      <x:c r="H370" s="97" t="str"/>
      <x:c r="I370" s="97" t="str">
        <x:v>S26</x:v>
      </x:c>
      <x:c r="J370" s="97" t="str">
        <x:v>S67</x:v>
      </x:c>
      <x:c r="K370" s="97" t="str">
        <x:v>record-previews/giles-hopkins_17th-century-records_pilgrim-hall-1.jpg;record-previews/giles-hopkins_17th-century-records_pilgrim-hall-2.jpg;record-previews/giles-hopkins_17th-century-records_pilgrim-hall-3.jpg;record-previews/giles-hopkins_17th-century-records_pilgrim-hall-4.jpg;record-previews/giles-hopkins_17th-century-records_pilgrim-hall-5.jpg;record-previews/giles-hopkins_17th-century-records_pilgrim-hall-6.jpg</x:v>
      </x:c>
      <x:c r="L370" s="97" t="str"/>
    </x:row>
    <x:row r="371">
      <x:c r="A371" s="97" t="str">
        <x:v>evidence</x:v>
      </x:c>
      <x:c r="B371" s="97" t="str">
        <x:v>E042</x:v>
      </x:c>
      <x:c r="C371" s="97" t="str">
        <x:v>Plymouth Colony record: Richard Knowles and Ruth Bower marriage</x:v>
      </x:c>
      <x:c r="D371" s="97" t="str">
        <x:v>supporting</x:v>
      </x:c>
      <x:c r="E371" s="97" t="str">
        <x:v>records/plymouth-colony-records-vol1_1639-marriage.pdf</x:v>
      </x:c>
      <x:c r="F371" s="97" t="str"/>
      <x:c r="G371" s="97" t="str">
        <x:v>I260;I261</x:v>
      </x:c>
      <x:c r="H371" s="97" t="str"/>
      <x:c r="I371" s="97" t="str">
        <x:v>S26</x:v>
      </x:c>
      <x:c r="J371" s="97" t="str">
        <x:v>S63</x:v>
      </x:c>
      <x:c r="K371" s="97" t="str">
        <x:v>record-previews/plymouth-colony-records-vol1_1639-marriage-151.jpg</x:v>
      </x:c>
      <x:c r="L371" s="97" t="str">
        <x:v>The attached preview is PDF page 151, printed page 129, containing the marriage entry.</x:v>
      </x:c>
    </x:row>
    <x:row r="372">
      <x:c r="A372" s="97" t="str">
        <x:v>evidence</x:v>
      </x:c>
      <x:c r="B372" s="97" t="str">
        <x:v>E043</x:v>
      </x:c>
      <x:c r="C372" s="97" t="str">
        <x:v>Relief McNaughton dependent-mother pension index</x:v>
      </x:c>
      <x:c r="D372" s="97" t="str">
        <x:v>supporting</x:v>
      </x:c>
      <x:c r="E372" s="97" t="str">
        <x:v>records/relief-mcnaughton_mother-pension-index.jpg</x:v>
      </x:c>
      <x:c r="F372" s="97" t="str"/>
      <x:c r="G372" s="97" t="str">
        <x:v>I267</x:v>
      </x:c>
      <x:c r="H372" s="97" t="str"/>
      <x:c r="I372" s="97" t="str">
        <x:v>S26</x:v>
      </x:c>
      <x:c r="J372" s="97" t="str">
        <x:v>S79</x:v>
      </x:c>
      <x:c r="K372" s="97" t="str">
        <x:v>records/relief-mcnaughton_mother-pension-index.jpg</x:v>
      </x:c>
      <x:c r="L372" s="97" t="str"/>
    </x:row>
    <x:row r="373">
      <x:c r="A373" s="97" t="str">
        <x:v>external_check</x:v>
      </x:c>
      <x:c r="B373" s="97" t="str">
        <x:v>XWEB01</x:v>
      </x:c>
      <x:c r="C373" s="97" t="str">
        <x:v>Newspapers.com via Ancestry</x:v>
      </x:c>
      <x:c r="D373" s="97" t="str">
        <x:v>index_verified_image_not_archived</x:v>
      </x:c>
      <x:c r="E373" s="97" t="str"/>
      <x:c r="F373" s="97" t="str">
        <x:v>https://www.ancestry.com/search/collections/61843/records/668386200</x:v>
      </x:c>
      <x:c r="G373" s="97" t="str">
        <x:v>I355</x:v>
      </x:c>
      <x:c r="H373" s="97" t="str"/>
      <x:c r="I373" s="97" t="str"/>
      <x:c r="J373" s="97" t="str"/>
      <x:c r="K373" s="97" t="str"/>
      <x:c r="L373" s="97" t="str">
        <x:v>The obituary index supplies Peter Vollmer’s exact dates and family links; no licensed clipping image was available to preserve.</x:v>
      </x:c>
    </x:row>
    <x:row r="374">
      <x:c r="A374" s="97" t="str">
        <x:v>external_check</x:v>
      </x:c>
      <x:c r="B374" s="97" t="str">
        <x:v>XWEB02</x:v>
      </x:c>
      <x:c r="C374" s="97" t="str">
        <x:v>Newspapers.com via Ancestry</x:v>
      </x:c>
      <x:c r="D374" s="97" t="str">
        <x:v>index_verified_image_access_blocked</x:v>
      </x:c>
      <x:c r="E374" s="97" t="str"/>
      <x:c r="F374" s="97" t="str">
        <x:v>https://www.ancestry.com/search/collections/61843/records/4961110</x:v>
      </x:c>
      <x:c r="G374" s="97" t="str">
        <x:v>I219</x:v>
      </x:c>
      <x:c r="H374" s="97" t="str"/>
      <x:c r="I374" s="97" t="str"/>
      <x:c r="J374" s="97" t="str"/>
      <x:c r="K374" s="97" t="str"/>
      <x:c r="L374" s="97" t="str">
        <x:v>The Frederick Heath Marsh obituary index was retained as a moderate lead; the publisher verification page blocked the original newspaper image.</x:v>
      </x:c>
    </x:row>
    <x:row r="375">
      <x:c r="A375" s="97" t="str">
        <x:v>external_check</x:v>
      </x:c>
      <x:c r="B375" s="97" t="str">
        <x:v>XWEB03</x:v>
      </x:c>
      <x:c r="C375" s="97" t="str">
        <x:v>Newspapers.com via Ancestry</x:v>
      </x:c>
      <x:c r="D375" s="97" t="str">
        <x:v>no_exact_match</x:v>
      </x:c>
      <x:c r="E375" s="97" t="str"/>
      <x:c r="F375" s="97" t="str"/>
      <x:c r="G375" s="97" t="str">
        <x:v>I268</x:v>
      </x:c>
      <x:c r="H375" s="97" t="str"/>
      <x:c r="I375" s="97" t="str"/>
      <x:c r="J375" s="97" t="str"/>
      <x:c r="K375" s="97" t="str"/>
      <x:c r="L375" s="97" t="str">
        <x:v>Exact and relaxed searches found no Caledonia or Livingston County obituary for Mary A McNaughton.</x:v>
      </x:c>
    </x:row>
  </x:sheetData>
  <x:conditionalFormatting sqref="D2:D375">
    <x:cfRule type="expression" dxfId="10" priority="1">
      <x:formula>$D2="external_photo_page"</x:formula>
    </x:cfRule>
    <x:cfRule type="expression" dxfId="11" priority="2">
      <x:formula>$D2="privacy_withheld"</x:formula>
    </x:cfRule>
    <x:cfRule type="expression" dxfId="12" priority="3">
      <x:formula>$D2="excluded_identity_control"</x:formula>
    </x:cfRule>
  </x:conditionalFormatting>
  <x:pageMargins left="0.7" right="0.7" top="0.75" bottom="0.75" header="0.3" footer="0.3"/>
  <x:tableParts count="1">
    <x:tablePart xmlns:r="http://schemas.openxmlformats.org/officeDocument/2006/relationships" r:id="R64282ed278a04832"/>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29" hidden="0" customWidth="1"/>
    <x:col min="2" max="2" width="24" hidden="0" customWidth="1"/>
    <x:col min="3" max="3" width="13" hidden="0" customWidth="1"/>
    <x:col min="4" max="4" width="46" hidden="0" customWidth="1"/>
    <x:col min="5" max="5" width="19" hidden="0" customWidth="1"/>
    <x:col min="6" max="6" width="50" hidden="0" customWidth="1"/>
  </x:cols>
  <x:sheetData>
    <x:row r="1" ht="28" customHeight="1">
      <x:c r="A1" s="98" t="str">
        <x:v>Fredric Vollmer Complete Family Tree — Consolidated Index</x:v>
      </x:c>
      <x:c r="B1" s="98"/>
      <x:c r="C1" s="98"/>
      <x:c r="D1" s="98"/>
      <x:c r="E1" s="98"/>
      <x:c r="F1" s="98"/>
    </x:row>
    <x:row r="2" ht="36" customHeight="1">
      <x:c r="A2" s="86" t="str">
        <x:v>One source-of-truth package assembled from the standardized maternal tree and all completed project-chat research</x:v>
      </x:c>
      <x:c r="B2" s="86"/>
      <x:c r="C2" s="86"/>
      <x:c r="D2" s="86"/>
      <x:c r="E2" s="86"/>
      <x:c r="F2" s="86"/>
    </x:row>
    <x:row r="3">
      <x:c r="A3" s="80"/>
      <x:c r="B3" s="80"/>
      <x:c r="C3" s="80"/>
      <x:c r="D3" s="80"/>
      <x:c r="E3" s="80"/>
      <x:c r="F3" s="80"/>
    </x:row>
    <x:row r="4" ht="28" customHeight="1">
      <x:c r="A4" s="88" t="str">
        <x:v>Tree metric</x:v>
      </x:c>
      <x:c r="B4" s="88" t="str">
        <x:v>Current value</x:v>
      </x:c>
      <x:c r="C4" s="80"/>
      <x:c r="D4" s="88" t="str">
        <x:v>Controlling correction</x:v>
      </x:c>
      <x:c r="E4" s="88" t="str">
        <x:v>Status</x:v>
      </x:c>
      <x:c r="F4" s="88" t="str">
        <x:v>Treatment</x:v>
      </x:c>
    </x:row>
    <x:row r="5" ht="28" customHeight="1">
      <x:c r="A5" s="89" t="str">
        <x:v>Individuals</x:v>
      </x:c>
      <x:c r="B5" s="92" t="n">
        <x:f>COUNTA('Consolidated People'!$A$2:$A$329)</x:f>
        <x:v>328</x:v>
      </x:c>
      <x:c r="C5" s="80"/>
      <x:c r="D5" s="94" t="str">
        <x:v>Jan is Fredric's biological mother</x:v>
      </x:c>
      <x:c r="E5" s="95" t="str">
        <x:f>IF(COUNTIF('Consolidated People'!$B$2:$B$329,"Jan Muller Vollmer")=1,"Confirmed","Review")</x:f>
        <x:v>Confirmed</x:v>
      </x:c>
      <x:c r="F5" s="94" t="str">
        <x:v>Biological parent link in GEDCOM family F095</x:v>
      </x:c>
    </x:row>
    <x:row r="6" ht="28" customHeight="1">
      <x:c r="A6" s="89" t="str">
        <x:v>Families</x:v>
      </x:c>
      <x:c r="B6" s="92" t="n">
        <x:f>COUNTA('Consolidated Families'!$A$2:$A$156)</x:f>
        <x:v>155</x:v>
      </x:c>
      <x:c r="C6" s="80"/>
      <x:c r="D6" s="94" t="str">
        <x:v>Mary Alice Thoren identity and parents</x:v>
      </x:c>
      <x:c r="E6" s="95" t="str">
        <x:f>IF(COUNTIF('Consolidated People'!$B$2:$B$329,"Mary Alice Thoren")=1,"Confirmed","Review")</x:f>
        <x:v>Confirmed</x:v>
      </x:c>
      <x:c r="F6" s="94" t="str">
        <x:v>Port Townsend birthplace; William and Alice parent links; William's proven Swedish ancestry added; Alice's parents remain unresolved</x:v>
      </x:c>
    </x:row>
    <x:row r="7" ht="28" customHeight="1">
      <x:c r="A7" s="89" t="str">
        <x:v>GEDCOM source records</x:v>
      </x:c>
      <x:c r="B7" s="92" t="n">
        <x:f>COUNTA('Consolidated Sources'!$A$2:$A$92)-COUNTIF('Consolidated Sources'!$F$2:$F$92,"preserved original or derivative record")</x:f>
        <x:v>48</x:v>
      </x:c>
      <x:c r="C7" s="80"/>
      <x:c r="D7" s="94" t="str">
        <x:v>Jan is Chris Vollmer's stepmother</x:v>
      </x:c>
      <x:c r="E7" s="95" t="str">
        <x:v>Confirmed</x:v>
      </x:c>
      <x:c r="F7" s="94" t="str">
        <x:v>Step relationship recorded; not a biological parent link</x:v>
      </x:c>
    </x:row>
    <x:row r="8" ht="28" customHeight="1">
      <x:c r="A8" s="89" t="str">
        <x:v>Source and record inventory items</x:v>
      </x:c>
      <x:c r="B8" s="92" t="n">
        <x:f>COUNTA('Consolidated Sources'!$A$2:$A$92)</x:f>
        <x:v>91</x:v>
      </x:c>
      <x:c r="C8" s="80"/>
      <x:c r="D8" s="94" t="str">
        <x:v>Chris's father</x:v>
      </x:c>
      <x:c r="E8" s="95" t="str">
        <x:v>Confirmed</x:v>
      </x:c>
      <x:c r="F8" s="94" t="str">
        <x:v>Henry and Mary Alice are the biological parents; Chris is Fredric's paternal half-brother</x:v>
      </x:c>
    </x:row>
    <x:row r="9" ht="28" customHeight="1">
      <x:c r="A9" s="89" t="str">
        <x:v>Birth dates recorded</x:v>
      </x:c>
      <x:c r="B9" s="92" t="n">
        <x:f>COUNTIF('Vital Date Coverage'!$D$2:$D$329,"recorded")</x:f>
        <x:v>203</x:v>
      </x:c>
      <x:c r="C9" s="80"/>
      <x:c r="D9" s="94" t="str">
        <x:v>Janet Chaffee transcription</x:v>
      </x:c>
      <x:c r="E9" s="94" t="str">
        <x:v>Removed</x:v>
      </x:c>
      <x:c r="F9" s="94" t="str">
        <x:v>Corrected to James Chaffee throughout the consolidated tree</x:v>
      </x:c>
    </x:row>
    <x:row r="10" ht="28" customHeight="1">
      <x:c r="A10" s="89" t="str">
        <x:v>Death dates recorded</x:v>
      </x:c>
      <x:c r="B10" s="92" t="n">
        <x:f>COUNTIF('Vital Date Coverage'!$F$2:$F$329,"recorded")</x:f>
        <x:v>189</x:v>
      </x:c>
      <x:c r="C10" s="80"/>
      <x:c r="D10" s="94" t="str">
        <x:v>Bruce Eric Muller vital dates</x:v>
      </x:c>
      <x:c r="E10" s="94" t="str">
        <x:v>Recorded with conflict</x:v>
      </x:c>
      <x:c r="F10" s="94" t="str">
        <x:v>15 Jun 1958–4 Jun 1972; Vancouver hospital death; family age-14 recollection retained</x:v>
      </x:c>
    </x:row>
    <x:row r="11" ht="28" customHeight="1">
      <x:c r="A11" s="89" t="str">
        <x:v>Both vital dates recorded</x:v>
      </x:c>
      <x:c r="B11" s="92" t="n">
        <x:f>COUNTIF('Vital Date Coverage'!$G$2:$G$329,"complete")</x:f>
        <x:v>156</x:v>
      </x:c>
      <x:c r="C11" s="80"/>
      <x:c r="D11" s="94" t="str">
        <x:v>Peter Vollmer identity and dates</x:v>
      </x:c>
      <x:c r="E11" s="94" t="str">
        <x:v>Consolidated</x:v>
      </x:c>
      <x:c r="F11" s="94" t="str">
        <x:v>29 Jun 1959–5 Aug 1975; Henry named as father; Christopher named as sibling; mother unresolved</x:v>
      </x:c>
    </x:row>
    <x:row r="12" ht="28" customHeight="1">
      <x:c r="A12" s="89" t="str">
        <x:v>No dated event: unresolved or private</x:v>
      </x:c>
      <x:c r="B12" s="92" t="n">
        <x:f>COUNTIF('Vital Date Coverage'!$G$2:$G$329,"unresolved")+COUNTIF('Vital Date Coverage'!$G$2:$G$329,"not researched—privacy limited")+COUNTIF('Vital Date Coverage'!$G$2:$G$329,"withheld—living/private")</x:f>
        <x:v>92</x:v>
      </x:c>
      <x:c r="C12" s="80"/>
      <x:c r="D12" s="80"/>
      <x:c r="E12" s="80"/>
      <x:c r="F12" s="80"/>
    </x:row>
    <x:row r="13" ht="28" customHeight="1">
      <x:c r="A13" s="89" t="str">
        <x:v>People with a recorded occupation or role</x:v>
      </x:c>
      <x:c r="B13" s="92" t="n">
        <x:f>COUNTIF('Occupation Coverage'!$E$2:$E$329,"recorded")</x:f>
        <x:v>17</x:v>
      </x:c>
      <x:c r="C13" s="80"/>
      <x:c r="D13" s="80"/>
      <x:c r="E13" s="80"/>
      <x:c r="F13" s="80"/>
    </x:row>
    <x:row r="14" ht="28" customHeight="1">
      <x:c r="A14" s="89" t="str">
        <x:v>Accepted occupation or role events</x:v>
      </x:c>
      <x:c r="B14" s="92" t="n">
        <x:f>COUNTIF('Occupation Coverage'!$D$2:$D$329,"1")+2*COUNTIF('Occupation Coverage'!$D$2:$D$329,"2")+3*COUNTIF('Occupation Coverage'!$D$2:$D$329,"3")</x:f>
        <x:v>23</x:v>
      </x:c>
      <x:c r="C14" s="80"/>
      <x:c r="D14" s="80"/>
      <x:c r="E14" s="80"/>
      <x:c r="F14" s="80"/>
    </x:row>
    <x:row r="15" ht="28" customHeight="1">
      <x:c r="A15" s="89" t="str">
        <x:v>People photo-audited</x:v>
      </x:c>
      <x:c r="B15" s="92" t="n">
        <x:f>COUNTIF('Media Audit'!$A$2:$A$375,"person")</x:f>
        <x:v>328</x:v>
      </x:c>
      <x:c r="C15" s="80"/>
      <x:c r="D15" s="80"/>
      <x:c r="E15" s="80"/>
      <x:c r="F15" s="80"/>
    </x:row>
    <x:row r="16" ht="28" customHeight="1">
      <x:c r="A16" s="89" t="str">
        <x:v>External photo pages located</x:v>
      </x:c>
      <x:c r="B16" s="92" t="n">
        <x:f>COUNTIF('Media Audit'!$D$2:$D$375,"external_photo_page")</x:f>
        <x:v>2</x:v>
      </x:c>
      <x:c r="C16" s="80"/>
      <x:c r="D16" s="80"/>
      <x:c r="E16" s="80"/>
      <x:c r="F16" s="80"/>
    </x:row>
    <x:row r="17" ht="28" customHeight="1">
      <x:c r="A17" s="89" t="str">
        <x:v>Preserved evidence files</x:v>
      </x:c>
      <x:c r="B17" s="92" t="n">
        <x:f>COUNTIF('Media Audit'!$A$2:$A$375,"evidence")</x:f>
        <x:v>43</x:v>
      </x:c>
      <x:c r="C17" s="80"/>
      <x:c r="D17" s="80"/>
      <x:c r="E17" s="80"/>
      <x:c r="F17" s="80"/>
    </x:row>
    <x:row r="18" ht="28" customHeight="1">
      <x:c r="A18" s="80"/>
      <x:c r="B18" s="80"/>
      <x:c r="C18" s="80"/>
      <x:c r="D18" s="80"/>
      <x:c r="E18" s="80"/>
      <x:c r="F18" s="80"/>
    </x:row>
    <x:row r="19" ht="28" customHeight="1">
      <x:c r="A19" s="88" t="str">
        <x:v>Package component</x:v>
      </x:c>
      <x:c r="B19" s="88" t="str">
        <x:v>Role</x:v>
      </x:c>
      <x:c r="C19" s="88" t="str">
        <x:v>Rows / items</x:v>
      </x:c>
      <x:c r="D19" s="88" t="str">
        <x:v>Primary file</x:v>
      </x:c>
      <x:c r="E19" s="88" t="str">
        <x:v>Status</x:v>
      </x:c>
      <x:c r="F19" s="88" t="str">
        <x:v>Notes</x:v>
      </x:c>
    </x:row>
    <x:row r="20" ht="46" customHeight="1">
      <x:c r="A20" s="97" t="str">
        <x:v>GEDCOM</x:v>
      </x:c>
      <x:c r="B20" s="97" t="str">
        <x:v>Canonical tree structure</x:v>
      </x:c>
      <x:c r="C20" s="97" t="n">
        <x:v>328</x:v>
      </x:c>
      <x:c r="D20" s="97" t="str">
        <x:v>Fredric_Vollmer_Complete_Family_Tree.ged</x:v>
      </x:c>
      <x:c r="E20" s="97" t="str">
        <x:v>Current</x:v>
      </x:c>
      <x:c r="F20" s="97" t="str">
        <x:v>Import this file into genealogy software</x:v>
      </x:c>
    </x:row>
    <x:row r="21" ht="46" customHeight="1">
      <x:c r="A21" s="97" t="str">
        <x:v>Canonical JSON</x:v>
      </x:c>
      <x:c r="B21" s="97" t="str">
        <x:v>Structured mirror</x:v>
      </x:c>
      <x:c r="C21" s="97" t="n">
        <x:v>328</x:v>
      </x:c>
      <x:c r="D21" s="97" t="str">
        <x:v>Fredric_Vollmer_Complete_Family_Tree_Canonical_Data.json</x:v>
      </x:c>
      <x:c r="E21" s="97" t="str">
        <x:v>Current</x:v>
      </x:c>
      <x:c r="F21" s="97" t="str">
        <x:v>Machine-readable people, families, and sources</x:v>
      </x:c>
    </x:row>
    <x:row r="22" ht="46" customHeight="1">
      <x:c r="A22" s="97" t="str">
        <x:v>People ledger</x:v>
      </x:c>
      <x:c r="B22" s="97" t="str">
        <x:v>Person-level audit</x:v>
      </x:c>
      <x:c r="C22" s="97" t="n">
        <x:v>328</x:v>
      </x:c>
      <x:c r="D22" s="97" t="str">
        <x:v>Fredric_Vollmer_Complete_Family_Tree_People.csv</x:v>
      </x:c>
      <x:c r="E22" s="97" t="str">
        <x:v>Current</x:v>
      </x:c>
      <x:c r="F22" s="97" t="str">
        <x:v>One row per GEDCOM individual</x:v>
      </x:c>
    </x:row>
    <x:row r="23" ht="46" customHeight="1">
      <x:c r="A23" s="97" t="str">
        <x:v>Families ledger</x:v>
      </x:c>
      <x:c r="B23" s="97" t="str">
        <x:v>Family-level audit</x:v>
      </x:c>
      <x:c r="C23" s="97" t="n">
        <x:v>155</x:v>
      </x:c>
      <x:c r="D23" s="97" t="str">
        <x:v>Fredric_Vollmer_Complete_Family_Tree_Families.csv</x:v>
      </x:c>
      <x:c r="E23" s="97" t="str">
        <x:v>Current</x:v>
      </x:c>
      <x:c r="F23" s="97" t="str">
        <x:v>Parent, spouse, child, and marriage links</x:v>
      </x:c>
    </x:row>
    <x:row r="24" ht="46" customHeight="1">
      <x:c r="A24" s="97" t="str">
        <x:v>Sources ledger</x:v>
      </x:c>
      <x:c r="B24" s="97" t="str">
        <x:v>Citation and record index</x:v>
      </x:c>
      <x:c r="C24" s="97" t="n">
        <x:v>91</x:v>
      </x:c>
      <x:c r="D24" s="97" t="str">
        <x:v>Fredric_Vollmer_Complete_Family_Tree_Source_Inventory.csv</x:v>
      </x:c>
      <x:c r="E24" s="97" t="str">
        <x:v>Current</x:v>
      </x:c>
      <x:c r="F24" s="97" t="str">
        <x:v>Includes 48 GEDCOM sources and 43 preserved record files</x:v>
      </x:c>
    </x:row>
    <x:row r="25" ht="46" customHeight="1">
      <x:c r="A25" s="71" t="str">
        <x:v>Vital-date coverage</x:v>
      </x:c>
      <x:c r="B25" s="71" t="str">
        <x:v>Birth/death status for every person</x:v>
      </x:c>
      <x:c r="C25" s="71" t="n">
        <x:v>328</x:v>
      </x:c>
      <x:c r="D25" s="71" t="str">
        <x:v>Fredric_Vollmer_Complete_Family_Tree_Vital_Date_Coverage.csv</x:v>
      </x:c>
      <x:c r="E25" s="71" t="str">
        <x:v>Current</x:v>
      </x:c>
      <x:c r="F25" s="71" t="str">
        <x:v>Recorded, unresolved, or privacy-limited outcome for every person</x:v>
      </x:c>
    </x:row>
    <x:row r="26" ht="46" customHeight="1">
      <x:c r="A26" s="71" t="str">
        <x:v>Occupation coverage</x:v>
      </x:c>
      <x:c r="B26" s="71" t="str">
        <x:v>Occupation/role status for every person</x:v>
      </x:c>
      <x:c r="C26" s="71" t="n">
        <x:v>328</x:v>
      </x:c>
      <x:c r="D26" s="71" t="str">
        <x:v>Fredric_Vollmer_Complete_Family_Tree_Occupation_Coverage.csv</x:v>
      </x:c>
      <x:c r="E26" s="71" t="str">
        <x:v>Current</x:v>
      </x:c>
      <x:c r="F26" s="71" t="str">
        <x:v>17 people with 23 cited events; every other person has an explicit coverage outcome</x:v>
      </x:c>
    </x:row>
    <x:row r="27" ht="46" customHeight="1">
      <x:c r="A27" s="71" t="str">
        <x:v>Media audit</x:v>
      </x:c>
      <x:c r="B27" s="71" t="str">
        <x:v>Photo coverage and evidence attachments</x:v>
      </x:c>
      <x:c r="C27" s="71" t="n">
        <x:v>374</x:v>
      </x:c>
      <x:c r="D27" s="71" t="str">
        <x:v>Fredric_Vollmer_Complete_Family_Tree_Media_Inventory.csv</x:v>
      </x:c>
      <x:c r="E27" s="71" t="str">
        <x:v>Current</x:v>
      </x:c>
      <x:c r="F27" s="71" t="str">
        <x:v>328 people audited; 43 preserved evidence files; external and restricted photos remain linked rather than copied</x:v>
      </x:c>
    </x:row>
    <x:row r="28" ht="46" customHeight="1">
      <x:c r="A28" s="71" t="str">
        <x:v>Recovered workbook tabs</x:v>
      </x:c>
      <x:c r="B28" s="71" t="str">
        <x:v>Historical reference</x:v>
      </x:c>
      <x:c r="C28" s="71" t="n">
        <x:v>8</x:v>
      </x:c>
      <x:c r="D28" s="71" t="str">
        <x:v>Original tabs in this workbook</x:v>
      </x:c>
      <x:c r="E28" s="71" t="str">
        <x:v>Preserved</x:v>
      </x:c>
      <x:c r="F28" s="71" t="str">
        <x:v>Retained unchanged for provenance</x:v>
      </x:c>
    </x:row>
  </x:sheetData>
  <x:mergeCells>
    <x:mergeCell ref="A1:F1"/>
    <x:mergeCell ref="A2:F2"/>
  </x:mergeCells>
  <x:conditionalFormatting sqref="A20:F28">
    <x:cfRule type="expression" dxfId="4" priority="1">
      <x:formula>MOD(ROW(),2)=0</x:formula>
    </x:cfRule>
  </x:conditionalFormatting>
  <x:pageMargins left="0.7" right="0.7" top="0.75" bottom="0.75" header="0.3" footer="0.3"/>
</x:worksheet>
</file>